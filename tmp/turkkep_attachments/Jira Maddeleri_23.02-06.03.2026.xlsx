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Y:\Proje_Yonetimi_Veri_Analitigi\05_Projeler_Raporu\"/>
    </mc:Choice>
  </mc:AlternateContent>
  <xr:revisionPtr revIDLastSave="0" documentId="13_ncr:1_{7B7D95C5-694D-421A-88C8-C1795A8192F0}" xr6:coauthVersionLast="47" xr6:coauthVersionMax="47" xr10:uidLastSave="{00000000-0000-0000-0000-000000000000}"/>
  <bookViews>
    <workbookView xWindow="210" yWindow="585" windowWidth="27825" windowHeight="14535" tabRatio="830" activeTab="4" xr2:uid="{8E636631-F151-41CF-A398-5AC6C7935B0B}"/>
  </bookViews>
  <sheets>
    <sheet name="özet" sheetId="5" r:id="rId1"/>
    <sheet name="Ürün İş Listesi" sheetId="1" r:id="rId2"/>
    <sheet name="Devam Eden Sprint" sheetId="2" r:id="rId3"/>
    <sheet name="Gelecek Sprint" sheetId="3" r:id="rId4"/>
    <sheet name="Türkkep Jira" sheetId="11" r:id="rId5"/>
  </sheets>
  <definedNames>
    <definedName name="_xlnm._FilterDatabase" localSheetId="2" hidden="1">'Devam Eden Sprint'!$A$1:$H$95</definedName>
    <definedName name="_xlnm._FilterDatabase" localSheetId="3" hidden="1">'Gelecek Sprint'!$A$1:$H$68</definedName>
    <definedName name="_xlnm._FilterDatabase" localSheetId="1" hidden="1">'Ürün İş Listesi'!$A$1:$K$1303</definedName>
  </definedNames>
  <calcPr calcId="191029"/>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1" i="1" l="1"/>
  <c r="Y7" i="1"/>
  <c r="Z7" i="1"/>
  <c r="M7" i="5" s="1"/>
  <c r="Y8" i="1"/>
  <c r="Z8" i="1"/>
  <c r="M8" i="5" s="1"/>
  <c r="Y9" i="1"/>
  <c r="Z9" i="1"/>
  <c r="Y10" i="1"/>
  <c r="Z10" i="1"/>
  <c r="Y11" i="1"/>
  <c r="Z11" i="1"/>
  <c r="Y12" i="1"/>
  <c r="Z12" i="1"/>
  <c r="Y13" i="1"/>
  <c r="Z13" i="1"/>
  <c r="Y14" i="1"/>
  <c r="Z14" i="1"/>
  <c r="Y15" i="1"/>
  <c r="Z15" i="1"/>
  <c r="Y16" i="1"/>
  <c r="Z16" i="1"/>
  <c r="Y17" i="1"/>
  <c r="Z17" i="1"/>
  <c r="Y18" i="1"/>
  <c r="Z18" i="1"/>
  <c r="Y19" i="1"/>
  <c r="Z19" i="1"/>
  <c r="Y20" i="1"/>
  <c r="Z20" i="1"/>
  <c r="Y21" i="1"/>
  <c r="Z21" i="1"/>
  <c r="Y22" i="1"/>
  <c r="Z22" i="1"/>
  <c r="Z6" i="1"/>
  <c r="Y6"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G1280" i="1"/>
  <c r="H1280" i="1"/>
  <c r="G1281" i="1"/>
  <c r="H1281" i="1"/>
  <c r="G1282" i="1"/>
  <c r="H1282" i="1"/>
  <c r="G1283" i="1"/>
  <c r="H1283" i="1"/>
  <c r="G1284" i="1"/>
  <c r="H1284" i="1"/>
  <c r="G1285" i="1"/>
  <c r="H1285" i="1"/>
  <c r="G1286" i="1"/>
  <c r="H1286" i="1"/>
  <c r="G1287" i="1"/>
  <c r="H1287" i="1"/>
  <c r="G1288" i="1"/>
  <c r="H1288" i="1"/>
  <c r="G1289" i="1"/>
  <c r="H1289" i="1"/>
  <c r="G1290" i="1"/>
  <c r="H1290" i="1"/>
  <c r="G1291" i="1"/>
  <c r="H1291" i="1"/>
  <c r="G1292" i="1"/>
  <c r="H1292" i="1"/>
  <c r="G1293" i="1"/>
  <c r="H1293" i="1"/>
  <c r="G1294" i="1"/>
  <c r="H1294" i="1"/>
  <c r="G1295" i="1"/>
  <c r="H1295" i="1"/>
  <c r="G1296" i="1"/>
  <c r="H1296" i="1"/>
  <c r="G1297" i="1"/>
  <c r="H1297" i="1"/>
  <c r="G1298" i="1"/>
  <c r="H1298" i="1"/>
  <c r="G1299" i="1"/>
  <c r="H1299" i="1"/>
  <c r="G1300" i="1"/>
  <c r="H1300" i="1"/>
  <c r="G1301" i="1"/>
  <c r="H1301" i="1"/>
  <c r="G1302" i="1"/>
  <c r="H1302" i="1"/>
  <c r="G1303" i="1"/>
  <c r="H1303" i="1"/>
  <c r="H67" i="2"/>
  <c r="H68" i="2"/>
  <c r="H69" i="2"/>
  <c r="H70" i="2"/>
  <c r="H71" i="2"/>
  <c r="H72" i="2"/>
  <c r="H73" i="2"/>
  <c r="H74" i="2"/>
  <c r="H75" i="2"/>
  <c r="H76" i="2"/>
  <c r="H77" i="2"/>
  <c r="H78" i="2"/>
  <c r="H79" i="2"/>
  <c r="M6" i="5"/>
  <c r="M13" i="5"/>
  <c r="M16" i="5"/>
  <c r="M17" i="5"/>
  <c r="M19" i="5"/>
  <c r="M20" i="5"/>
  <c r="F1274" i="1"/>
  <c r="F1275" i="1"/>
  <c r="F1276" i="1"/>
  <c r="F1277" i="1"/>
  <c r="F1278" i="1"/>
  <c r="F1279" i="1"/>
  <c r="G1274" i="1"/>
  <c r="H1274" i="1"/>
  <c r="G1275" i="1"/>
  <c r="H1275" i="1"/>
  <c r="G1276" i="1"/>
  <c r="H1276" i="1"/>
  <c r="G1277" i="1"/>
  <c r="H1277" i="1"/>
  <c r="G1278" i="1"/>
  <c r="H1278" i="1"/>
  <c r="G1279" i="1"/>
  <c r="H1279" i="1"/>
  <c r="H68" i="3"/>
  <c r="H67" i="3"/>
  <c r="H66" i="3"/>
  <c r="H65" i="3"/>
  <c r="H64" i="3"/>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2" i="1"/>
  <c r="G1263" i="1"/>
  <c r="H1263" i="1"/>
  <c r="G1264" i="1"/>
  <c r="H1264" i="1"/>
  <c r="G1265" i="1"/>
  <c r="H1265" i="1"/>
  <c r="G1266" i="1"/>
  <c r="H1266" i="1"/>
  <c r="G1267" i="1"/>
  <c r="H1267" i="1"/>
  <c r="G1268" i="1"/>
  <c r="H1268" i="1"/>
  <c r="G1269" i="1"/>
  <c r="H1269" i="1"/>
  <c r="G1270" i="1"/>
  <c r="H1270" i="1"/>
  <c r="G1271" i="1"/>
  <c r="H1271" i="1"/>
  <c r="G1272" i="1"/>
  <c r="H1272" i="1"/>
  <c r="G1273" i="1"/>
  <c r="H1273" i="1"/>
  <c r="H1262" i="1"/>
  <c r="G1262" i="1"/>
  <c r="H1261" i="1"/>
  <c r="G1261" i="1"/>
  <c r="H1260" i="1"/>
  <c r="G1260" i="1"/>
  <c r="H1259" i="1"/>
  <c r="G1259" i="1"/>
  <c r="H1258" i="1"/>
  <c r="G1258" i="1"/>
  <c r="H1257" i="1"/>
  <c r="G1257" i="1"/>
  <c r="H1256" i="1"/>
  <c r="G1256" i="1"/>
  <c r="H1255" i="1"/>
  <c r="G1255" i="1"/>
  <c r="H1254" i="1"/>
  <c r="G1254" i="1"/>
  <c r="H1253" i="1"/>
  <c r="G1253" i="1"/>
  <c r="H1252" i="1"/>
  <c r="G1252" i="1"/>
  <c r="H1251" i="1"/>
  <c r="G1251" i="1"/>
  <c r="G1248" i="1"/>
  <c r="H1248" i="1"/>
  <c r="G1249" i="1"/>
  <c r="H1249" i="1"/>
  <c r="G1250" i="1"/>
  <c r="H1250" i="1"/>
  <c r="J11" i="5"/>
  <c r="J12" i="5"/>
  <c r="J13" i="5"/>
  <c r="J14" i="5"/>
  <c r="J15" i="5"/>
  <c r="J16" i="5"/>
  <c r="J17" i="5"/>
  <c r="J18" i="5"/>
  <c r="J19" i="5"/>
  <c r="AM7" i="1"/>
  <c r="AM8" i="1"/>
  <c r="AM9" i="1"/>
  <c r="AM10" i="1"/>
  <c r="AM11" i="1"/>
  <c r="AM12" i="1"/>
  <c r="AM13" i="1"/>
  <c r="AM14" i="1"/>
  <c r="AM15" i="1"/>
  <c r="AM16" i="1"/>
  <c r="AM17" i="1"/>
  <c r="AM18" i="1"/>
  <c r="AM6" i="1"/>
  <c r="G1206" i="1"/>
  <c r="H1206" i="1"/>
  <c r="G1207" i="1"/>
  <c r="H1207" i="1"/>
  <c r="G1208" i="1"/>
  <c r="H1208" i="1"/>
  <c r="G1209" i="1"/>
  <c r="H1209" i="1"/>
  <c r="G1210" i="1"/>
  <c r="H1210" i="1"/>
  <c r="G1211" i="1"/>
  <c r="H1211" i="1"/>
  <c r="G1212" i="1"/>
  <c r="H1212" i="1"/>
  <c r="G1213" i="1"/>
  <c r="H1213" i="1"/>
  <c r="G1214" i="1"/>
  <c r="H1214" i="1"/>
  <c r="G1215" i="1"/>
  <c r="H1215" i="1"/>
  <c r="G1216" i="1"/>
  <c r="H1216" i="1"/>
  <c r="G1217" i="1"/>
  <c r="H1217" i="1"/>
  <c r="G1218" i="1"/>
  <c r="H1218" i="1"/>
  <c r="G1219" i="1"/>
  <c r="H1219" i="1"/>
  <c r="G1220" i="1"/>
  <c r="H1220" i="1"/>
  <c r="G1221" i="1"/>
  <c r="H1221" i="1"/>
  <c r="G1222" i="1"/>
  <c r="H1222" i="1"/>
  <c r="G1223" i="1"/>
  <c r="H1223" i="1"/>
  <c r="G1224" i="1"/>
  <c r="H1224" i="1"/>
  <c r="G1225" i="1"/>
  <c r="H1225" i="1"/>
  <c r="G1226" i="1"/>
  <c r="H1226" i="1"/>
  <c r="G1227" i="1"/>
  <c r="H1227" i="1"/>
  <c r="G1228" i="1"/>
  <c r="H1228" i="1"/>
  <c r="G1229" i="1"/>
  <c r="H1229" i="1"/>
  <c r="G1230" i="1"/>
  <c r="H1230" i="1"/>
  <c r="G1231" i="1"/>
  <c r="H1231" i="1"/>
  <c r="G1232" i="1"/>
  <c r="H1232" i="1"/>
  <c r="G1233" i="1"/>
  <c r="H1233" i="1"/>
  <c r="G1234" i="1"/>
  <c r="H1234" i="1"/>
  <c r="G1235" i="1"/>
  <c r="H1235" i="1"/>
  <c r="G1236" i="1"/>
  <c r="H1236" i="1"/>
  <c r="G1237" i="1"/>
  <c r="H1237" i="1"/>
  <c r="G1238" i="1"/>
  <c r="H1238" i="1"/>
  <c r="G1239" i="1"/>
  <c r="H1239" i="1"/>
  <c r="G1240" i="1"/>
  <c r="H1240" i="1"/>
  <c r="G1241" i="1"/>
  <c r="H1241" i="1"/>
  <c r="G1242" i="1"/>
  <c r="H1242" i="1"/>
  <c r="G1243" i="1"/>
  <c r="H1243" i="1"/>
  <c r="G1244" i="1"/>
  <c r="H1244" i="1"/>
  <c r="G1245" i="1"/>
  <c r="H1245" i="1"/>
  <c r="G1246" i="1"/>
  <c r="H1246" i="1"/>
  <c r="G1247" i="1"/>
  <c r="H1247" i="1"/>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1123" i="1"/>
  <c r="H47" i="2"/>
  <c r="H48" i="2"/>
  <c r="H49" i="2"/>
  <c r="H50" i="2"/>
  <c r="H51" i="2"/>
  <c r="H52" i="2"/>
  <c r="H53" i="2"/>
  <c r="H54" i="2"/>
  <c r="H55" i="2"/>
  <c r="H56" i="2"/>
  <c r="H57" i="2"/>
  <c r="H1205" i="1"/>
  <c r="G1205" i="1"/>
  <c r="H1204" i="1"/>
  <c r="G1204" i="1"/>
  <c r="H1203" i="1"/>
  <c r="G1203" i="1"/>
  <c r="H1202" i="1"/>
  <c r="G1202" i="1"/>
  <c r="G1201" i="1"/>
  <c r="H1200" i="1"/>
  <c r="G1200" i="1"/>
  <c r="H1199" i="1"/>
  <c r="G1199" i="1"/>
  <c r="H1198" i="1"/>
  <c r="G1198" i="1"/>
  <c r="H1197" i="1"/>
  <c r="G1197" i="1"/>
  <c r="H1196" i="1"/>
  <c r="G1196" i="1"/>
  <c r="H1195" i="1"/>
  <c r="G1195" i="1"/>
  <c r="H1194" i="1"/>
  <c r="G1194" i="1"/>
  <c r="H1193" i="1"/>
  <c r="G1193" i="1"/>
  <c r="H1192" i="1"/>
  <c r="G1192" i="1"/>
  <c r="H1191" i="1"/>
  <c r="G1191" i="1"/>
  <c r="H1190" i="1"/>
  <c r="G1190" i="1"/>
  <c r="H1189" i="1"/>
  <c r="G1189" i="1"/>
  <c r="H85" i="2"/>
  <c r="H86" i="2"/>
  <c r="H87" i="2"/>
  <c r="H88" i="2"/>
  <c r="H89" i="2"/>
  <c r="H90" i="2"/>
  <c r="H91" i="2"/>
  <c r="H92" i="2"/>
  <c r="H93" i="2"/>
  <c r="H94" i="2"/>
  <c r="H95" i="2"/>
  <c r="G1167" i="1"/>
  <c r="H1167" i="1"/>
  <c r="G1168" i="1"/>
  <c r="H1168" i="1"/>
  <c r="G1169" i="1"/>
  <c r="H1169" i="1"/>
  <c r="G1170" i="1"/>
  <c r="H1170" i="1"/>
  <c r="G1171" i="1"/>
  <c r="H1171" i="1"/>
  <c r="G1172" i="1"/>
  <c r="H1172" i="1"/>
  <c r="G1173" i="1"/>
  <c r="H1173" i="1"/>
  <c r="G1174" i="1"/>
  <c r="H1174" i="1"/>
  <c r="G1175" i="1"/>
  <c r="H1175" i="1"/>
  <c r="G1176" i="1"/>
  <c r="H1176" i="1"/>
  <c r="G1177" i="1"/>
  <c r="H1177" i="1"/>
  <c r="G1178" i="1"/>
  <c r="H1178" i="1"/>
  <c r="G1179" i="1"/>
  <c r="H1179" i="1"/>
  <c r="G1180" i="1"/>
  <c r="H1180" i="1"/>
  <c r="G1181" i="1"/>
  <c r="H1181" i="1"/>
  <c r="G1182" i="1"/>
  <c r="H1182" i="1"/>
  <c r="G1183" i="1"/>
  <c r="H1183" i="1"/>
  <c r="G1184" i="1"/>
  <c r="H1184" i="1"/>
  <c r="G1185" i="1"/>
  <c r="H1185" i="1"/>
  <c r="G1186" i="1"/>
  <c r="H1186" i="1"/>
  <c r="G1187" i="1"/>
  <c r="H1187" i="1"/>
  <c r="G1188" i="1"/>
  <c r="H1188" i="1"/>
  <c r="J6" i="5"/>
  <c r="J7" i="5"/>
  <c r="J8" i="5"/>
  <c r="J9" i="5"/>
  <c r="J10" i="5"/>
  <c r="J20" i="5"/>
  <c r="J5" i="5"/>
  <c r="K5" i="5"/>
  <c r="H3" i="2"/>
  <c r="H4" i="2"/>
  <c r="H5" i="2"/>
  <c r="H6" i="2"/>
  <c r="H7" i="2"/>
  <c r="H8" i="2"/>
  <c r="H9" i="2"/>
  <c r="H10" i="2"/>
  <c r="H11" i="2"/>
  <c r="H12" i="2"/>
  <c r="H13" i="2"/>
  <c r="H14" i="2"/>
  <c r="H15" i="2"/>
  <c r="H16" i="2"/>
  <c r="H17" i="2"/>
  <c r="H18" i="2"/>
  <c r="H19" i="2"/>
  <c r="G1121" i="1"/>
  <c r="H1121" i="1"/>
  <c r="G1122" i="1"/>
  <c r="H1122" i="1"/>
  <c r="G1123" i="1"/>
  <c r="G1124" i="1"/>
  <c r="H1124" i="1"/>
  <c r="G1125" i="1"/>
  <c r="H1125" i="1"/>
  <c r="G1126" i="1"/>
  <c r="H1126" i="1"/>
  <c r="G1127" i="1"/>
  <c r="H1127" i="1"/>
  <c r="G1128" i="1"/>
  <c r="H1128" i="1"/>
  <c r="G1129" i="1"/>
  <c r="G1130" i="1"/>
  <c r="H1130" i="1"/>
  <c r="G1131" i="1"/>
  <c r="H1131" i="1"/>
  <c r="G1132" i="1"/>
  <c r="H1132" i="1"/>
  <c r="G1133" i="1"/>
  <c r="H1133" i="1"/>
  <c r="G1134" i="1"/>
  <c r="H1134" i="1"/>
  <c r="G1135" i="1"/>
  <c r="H1135" i="1"/>
  <c r="G1136" i="1"/>
  <c r="H1136" i="1"/>
  <c r="G1137" i="1"/>
  <c r="H1137" i="1"/>
  <c r="G1138" i="1"/>
  <c r="H1138" i="1"/>
  <c r="G1139" i="1"/>
  <c r="H1139" i="1"/>
  <c r="G1140" i="1"/>
  <c r="H1140" i="1"/>
  <c r="G1141" i="1"/>
  <c r="H1141" i="1"/>
  <c r="G1142" i="1"/>
  <c r="H1142" i="1"/>
  <c r="G1143" i="1"/>
  <c r="H1143" i="1"/>
  <c r="G1144" i="1"/>
  <c r="H1144" i="1"/>
  <c r="G1145" i="1"/>
  <c r="H1145" i="1"/>
  <c r="G1146" i="1"/>
  <c r="H1146" i="1"/>
  <c r="G1147" i="1"/>
  <c r="H1147" i="1"/>
  <c r="G1148" i="1"/>
  <c r="H1148" i="1"/>
  <c r="G1149" i="1"/>
  <c r="H1149" i="1"/>
  <c r="G1150" i="1"/>
  <c r="H1150" i="1"/>
  <c r="G1151" i="1"/>
  <c r="H1151" i="1"/>
  <c r="G1152" i="1"/>
  <c r="H1152" i="1"/>
  <c r="G1153" i="1"/>
  <c r="H1153" i="1"/>
  <c r="G1154" i="1"/>
  <c r="H1154" i="1"/>
  <c r="G1155" i="1"/>
  <c r="H1155" i="1"/>
  <c r="G1156" i="1"/>
  <c r="H1156" i="1"/>
  <c r="G1157" i="1"/>
  <c r="H1157" i="1"/>
  <c r="G1158" i="1"/>
  <c r="H1158" i="1"/>
  <c r="G1159" i="1"/>
  <c r="H1159" i="1"/>
  <c r="G1160" i="1"/>
  <c r="H1160" i="1"/>
  <c r="G1161" i="1"/>
  <c r="H1161" i="1"/>
  <c r="G1162" i="1"/>
  <c r="H1162" i="1"/>
  <c r="G1163" i="1"/>
  <c r="H1163" i="1"/>
  <c r="G1164" i="1"/>
  <c r="H1164" i="1"/>
  <c r="G1165" i="1"/>
  <c r="H1165" i="1"/>
  <c r="G1166" i="1"/>
  <c r="H1166" i="1"/>
  <c r="G1101" i="1"/>
  <c r="H1101" i="1"/>
  <c r="G1102" i="1"/>
  <c r="H1102" i="1"/>
  <c r="G1103" i="1"/>
  <c r="H1103" i="1"/>
  <c r="G1104" i="1"/>
  <c r="H1104" i="1"/>
  <c r="G1105" i="1"/>
  <c r="H1105" i="1"/>
  <c r="G1106" i="1"/>
  <c r="H1106" i="1"/>
  <c r="G1107" i="1"/>
  <c r="H1107" i="1"/>
  <c r="G1108" i="1"/>
  <c r="H1108" i="1"/>
  <c r="G1109" i="1"/>
  <c r="H1109" i="1"/>
  <c r="G1110" i="1"/>
  <c r="H1110" i="1"/>
  <c r="G1111" i="1"/>
  <c r="H1111" i="1"/>
  <c r="G1112" i="1"/>
  <c r="H1112" i="1"/>
  <c r="G1113" i="1"/>
  <c r="H1113" i="1"/>
  <c r="G1114" i="1"/>
  <c r="H1114" i="1"/>
  <c r="G1115" i="1"/>
  <c r="H1115" i="1"/>
  <c r="G1116" i="1"/>
  <c r="H1116" i="1"/>
  <c r="G1117" i="1"/>
  <c r="H1117" i="1"/>
  <c r="G1118" i="1"/>
  <c r="H1118" i="1"/>
  <c r="G1119" i="1"/>
  <c r="H1119" i="1"/>
  <c r="G1120" i="1"/>
  <c r="H1120" i="1"/>
  <c r="Z32" i="1"/>
  <c r="Z33" i="1"/>
  <c r="Z34" i="1"/>
  <c r="Z35" i="1"/>
  <c r="Z36" i="1"/>
  <c r="Z37" i="1"/>
  <c r="Z38" i="1"/>
  <c r="Z39" i="1"/>
  <c r="Z40" i="1"/>
  <c r="Z41" i="1"/>
  <c r="Z42" i="1"/>
  <c r="Z43" i="1"/>
  <c r="Z44" i="1"/>
  <c r="Z45" i="1"/>
  <c r="Z46" i="1"/>
  <c r="Z47" i="1"/>
  <c r="Z48" i="1"/>
  <c r="G1080" i="1"/>
  <c r="H1080" i="1"/>
  <c r="G1081" i="1"/>
  <c r="H1081" i="1"/>
  <c r="G1082" i="1"/>
  <c r="H1082" i="1"/>
  <c r="G1083" i="1"/>
  <c r="H1083" i="1"/>
  <c r="G1084" i="1"/>
  <c r="H1084" i="1"/>
  <c r="G1085" i="1"/>
  <c r="H1085" i="1"/>
  <c r="G1086" i="1"/>
  <c r="H1086" i="1"/>
  <c r="G1087" i="1"/>
  <c r="H1087" i="1"/>
  <c r="G1088" i="1"/>
  <c r="H1088" i="1"/>
  <c r="G1089" i="1"/>
  <c r="H1089" i="1"/>
  <c r="G1090" i="1"/>
  <c r="H1090" i="1"/>
  <c r="G1091" i="1"/>
  <c r="H1091" i="1"/>
  <c r="G1092" i="1"/>
  <c r="H1092" i="1"/>
  <c r="G1093" i="1"/>
  <c r="H1093" i="1"/>
  <c r="G1094" i="1"/>
  <c r="H1094" i="1"/>
  <c r="G1095" i="1"/>
  <c r="H1095" i="1"/>
  <c r="G1096" i="1"/>
  <c r="H1096" i="1"/>
  <c r="G1097" i="1"/>
  <c r="H1097" i="1"/>
  <c r="G1098" i="1"/>
  <c r="H1098" i="1"/>
  <c r="G1099" i="1"/>
  <c r="H1099" i="1"/>
  <c r="G1100" i="1"/>
  <c r="H1100" i="1"/>
  <c r="G1072" i="1"/>
  <c r="H1072" i="1"/>
  <c r="G1073" i="1"/>
  <c r="H1073" i="1"/>
  <c r="G1074" i="1"/>
  <c r="H1074" i="1"/>
  <c r="G1075" i="1"/>
  <c r="H1075" i="1"/>
  <c r="G1076" i="1"/>
  <c r="H1076" i="1"/>
  <c r="G1077" i="1"/>
  <c r="H1077" i="1"/>
  <c r="G1078" i="1"/>
  <c r="H1078" i="1"/>
  <c r="G1079" i="1"/>
  <c r="H1079" i="1"/>
  <c r="G1056" i="1"/>
  <c r="H1056" i="1"/>
  <c r="G1057" i="1"/>
  <c r="H1057" i="1"/>
  <c r="G1058" i="1"/>
  <c r="H1058" i="1"/>
  <c r="G1059" i="1"/>
  <c r="H1059" i="1"/>
  <c r="G1060" i="1"/>
  <c r="H1060" i="1"/>
  <c r="G1061" i="1"/>
  <c r="H1061" i="1"/>
  <c r="G1062" i="1"/>
  <c r="H1062" i="1"/>
  <c r="G1063" i="1"/>
  <c r="H1063" i="1"/>
  <c r="G1064" i="1"/>
  <c r="H1064" i="1"/>
  <c r="G1065" i="1"/>
  <c r="H1065" i="1"/>
  <c r="G1066" i="1"/>
  <c r="H1066" i="1"/>
  <c r="G1067" i="1"/>
  <c r="H1067" i="1"/>
  <c r="G1068" i="1"/>
  <c r="H1068" i="1"/>
  <c r="G1069" i="1"/>
  <c r="H1069" i="1"/>
  <c r="G1070" i="1"/>
  <c r="H1070" i="1"/>
  <c r="G1071" i="1"/>
  <c r="H1071" i="1"/>
  <c r="H18" i="3"/>
  <c r="H19" i="3"/>
  <c r="H20" i="3"/>
  <c r="H80" i="2"/>
  <c r="H81" i="2"/>
  <c r="H82" i="2"/>
  <c r="H83" i="2"/>
  <c r="H17" i="3"/>
  <c r="H16" i="3"/>
  <c r="H15" i="3"/>
  <c r="H14" i="3"/>
  <c r="H13" i="3"/>
  <c r="H12" i="3"/>
  <c r="H11" i="3"/>
  <c r="H10" i="3"/>
  <c r="H9" i="3"/>
  <c r="H8" i="3"/>
  <c r="H7" i="3"/>
  <c r="H6" i="3"/>
  <c r="H5" i="3"/>
  <c r="H4" i="3"/>
  <c r="H3" i="3"/>
  <c r="H2" i="3"/>
  <c r="H2" i="2"/>
  <c r="H20" i="2"/>
  <c r="H21" i="2"/>
  <c r="H22" i="2"/>
  <c r="H23" i="2"/>
  <c r="H24" i="2"/>
  <c r="H25" i="2"/>
  <c r="H26" i="2"/>
  <c r="H27" i="2"/>
  <c r="H28" i="2"/>
  <c r="H29" i="2"/>
  <c r="H30" i="2"/>
  <c r="G1027" i="1"/>
  <c r="H1027" i="1"/>
  <c r="G1028" i="1"/>
  <c r="H1028" i="1"/>
  <c r="G1029" i="1"/>
  <c r="H1029" i="1"/>
  <c r="G1030" i="1"/>
  <c r="H1030" i="1"/>
  <c r="G1031" i="1"/>
  <c r="H1031" i="1"/>
  <c r="G1032" i="1"/>
  <c r="H1032" i="1"/>
  <c r="G1033" i="1"/>
  <c r="H1033" i="1"/>
  <c r="G1034" i="1"/>
  <c r="H1034" i="1"/>
  <c r="G1035" i="1"/>
  <c r="H1035" i="1"/>
  <c r="G1036" i="1"/>
  <c r="H1036" i="1"/>
  <c r="G1037" i="1"/>
  <c r="H1037" i="1"/>
  <c r="G1038" i="1"/>
  <c r="H1038" i="1"/>
  <c r="G1039" i="1"/>
  <c r="H1039" i="1"/>
  <c r="G1040" i="1"/>
  <c r="H1040" i="1"/>
  <c r="G1041" i="1"/>
  <c r="H1041" i="1"/>
  <c r="G1042" i="1"/>
  <c r="H1042" i="1"/>
  <c r="G1043" i="1"/>
  <c r="H1043" i="1"/>
  <c r="G1044" i="1"/>
  <c r="H1044" i="1"/>
  <c r="G1045" i="1"/>
  <c r="H1045" i="1"/>
  <c r="G1046" i="1"/>
  <c r="H1046" i="1"/>
  <c r="G1047" i="1"/>
  <c r="H1047" i="1"/>
  <c r="G1048" i="1"/>
  <c r="H1048" i="1"/>
  <c r="G1049" i="1"/>
  <c r="H1049" i="1"/>
  <c r="G1050" i="1"/>
  <c r="H1050" i="1"/>
  <c r="G1051" i="1"/>
  <c r="H1051" i="1"/>
  <c r="G1052" i="1"/>
  <c r="H1052" i="1"/>
  <c r="G1053" i="1"/>
  <c r="H1053" i="1"/>
  <c r="G1054" i="1"/>
  <c r="H1054" i="1"/>
  <c r="G1055" i="1"/>
  <c r="H1055" i="1"/>
  <c r="H31" i="2"/>
  <c r="H32" i="2"/>
  <c r="H33" i="2"/>
  <c r="H34" i="2"/>
  <c r="H35" i="2"/>
  <c r="H36" i="2"/>
  <c r="H37" i="2"/>
  <c r="H38" i="2"/>
  <c r="H39" i="2"/>
  <c r="H40" i="2"/>
  <c r="H41" i="2"/>
  <c r="H42" i="2"/>
  <c r="H43" i="2"/>
  <c r="H44" i="2"/>
  <c r="H45" i="2"/>
  <c r="H46" i="2"/>
  <c r="H58" i="2"/>
  <c r="H59" i="2"/>
  <c r="H60" i="2"/>
  <c r="H61" i="2"/>
  <c r="H62" i="2"/>
  <c r="H63" i="2"/>
  <c r="H64" i="2"/>
  <c r="H65" i="2"/>
  <c r="H66" i="2"/>
  <c r="H84" i="2"/>
  <c r="D6" i="5"/>
  <c r="D7" i="5"/>
  <c r="D8" i="5"/>
  <c r="D9" i="5"/>
  <c r="D10" i="5"/>
  <c r="D11" i="5"/>
  <c r="D12" i="5"/>
  <c r="D13" i="5"/>
  <c r="D14" i="5"/>
  <c r="D15" i="5"/>
  <c r="D16" i="5"/>
  <c r="D17" i="5"/>
  <c r="D18" i="5"/>
  <c r="D19" i="5"/>
  <c r="D20" i="5"/>
  <c r="D5" i="5"/>
  <c r="I1303" i="1" l="1"/>
  <c r="M9" i="5"/>
  <c r="L9" i="5" s="1"/>
  <c r="I1283" i="1"/>
  <c r="I1294" i="1"/>
  <c r="I1282" i="1"/>
  <c r="I1281" i="1"/>
  <c r="I1302" i="1"/>
  <c r="I1290" i="1"/>
  <c r="I1301" i="1"/>
  <c r="I1289" i="1"/>
  <c r="I1299" i="1"/>
  <c r="I1293" i="1"/>
  <c r="I1287" i="1"/>
  <c r="I1298" i="1"/>
  <c r="I1286" i="1"/>
  <c r="I1291" i="1"/>
  <c r="I1285" i="1"/>
  <c r="I1300" i="1"/>
  <c r="I1295" i="1"/>
  <c r="I1284" i="1"/>
  <c r="I1292" i="1"/>
  <c r="I1297" i="1"/>
  <c r="I1288" i="1"/>
  <c r="I1296" i="1"/>
  <c r="I1280" i="1"/>
  <c r="M12" i="5"/>
  <c r="L12" i="5" s="1"/>
  <c r="M11" i="5"/>
  <c r="L11" i="5" s="1"/>
  <c r="M10" i="5"/>
  <c r="M18" i="5"/>
  <c r="M15" i="5"/>
  <c r="L15" i="5" s="1"/>
  <c r="M14" i="5"/>
  <c r="I1278" i="1"/>
  <c r="I1277" i="1"/>
  <c r="I1276" i="1"/>
  <c r="I1275" i="1"/>
  <c r="I1279" i="1"/>
  <c r="I1274" i="1"/>
  <c r="I1268" i="1"/>
  <c r="I1270" i="1"/>
  <c r="I1269" i="1"/>
  <c r="I1263" i="1"/>
  <c r="I1267" i="1"/>
  <c r="I1266" i="1"/>
  <c r="I1265" i="1"/>
  <c r="I1271" i="1"/>
  <c r="I1264" i="1"/>
  <c r="I1273" i="1"/>
  <c r="I1272" i="1"/>
  <c r="I1251" i="1"/>
  <c r="I1257" i="1"/>
  <c r="I1252" i="1"/>
  <c r="I1258" i="1"/>
  <c r="I1254" i="1"/>
  <c r="I1260" i="1"/>
  <c r="I1255" i="1"/>
  <c r="I1261" i="1"/>
  <c r="I1256" i="1"/>
  <c r="I1262" i="1"/>
  <c r="I1253" i="1"/>
  <c r="I1259" i="1"/>
  <c r="I1250" i="1"/>
  <c r="I1249" i="1"/>
  <c r="I1248" i="1"/>
  <c r="I1232" i="1"/>
  <c r="I1208" i="1"/>
  <c r="I1237" i="1"/>
  <c r="I1217" i="1"/>
  <c r="I1229" i="1"/>
  <c r="I1212" i="1"/>
  <c r="I1244" i="1"/>
  <c r="I1209" i="1"/>
  <c r="I1213" i="1"/>
  <c r="I1223" i="1"/>
  <c r="I1228" i="1"/>
  <c r="I1220" i="1"/>
  <c r="I1225" i="1"/>
  <c r="I1238" i="1"/>
  <c r="I1221" i="1"/>
  <c r="I1216" i="1"/>
  <c r="I1226" i="1"/>
  <c r="I1231" i="1"/>
  <c r="I1236" i="1"/>
  <c r="I1214" i="1"/>
  <c r="I1219" i="1"/>
  <c r="I1240" i="1"/>
  <c r="I1224" i="1"/>
  <c r="I1245" i="1"/>
  <c r="I1233" i="1"/>
  <c r="I1218" i="1"/>
  <c r="I1207" i="1"/>
  <c r="I1230" i="1"/>
  <c r="I1206" i="1"/>
  <c r="I1235" i="1"/>
  <c r="I1211" i="1"/>
  <c r="I1239" i="1"/>
  <c r="I1234" i="1"/>
  <c r="I1215" i="1"/>
  <c r="I1210" i="1"/>
  <c r="I1243" i="1"/>
  <c r="I1247" i="1"/>
  <c r="I1242" i="1"/>
  <c r="I1227" i="1"/>
  <c r="I1222" i="1"/>
  <c r="I1246" i="1"/>
  <c r="I1241" i="1"/>
  <c r="I1204" i="1"/>
  <c r="I1192" i="1"/>
  <c r="I1198" i="1"/>
  <c r="I1193" i="1"/>
  <c r="I1199" i="1"/>
  <c r="I1205" i="1"/>
  <c r="H1201" i="1"/>
  <c r="I1201" i="1" s="1"/>
  <c r="H1129" i="1"/>
  <c r="I1129" i="1" s="1"/>
  <c r="I1189" i="1"/>
  <c r="I1195" i="1"/>
  <c r="I1190" i="1"/>
  <c r="I1196" i="1"/>
  <c r="I1202" i="1"/>
  <c r="I1191" i="1"/>
  <c r="I1197" i="1"/>
  <c r="I1203" i="1"/>
  <c r="I1194" i="1"/>
  <c r="I1200" i="1"/>
  <c r="I1179" i="1"/>
  <c r="I1176" i="1"/>
  <c r="I1178" i="1"/>
  <c r="I1183" i="1"/>
  <c r="I1170" i="1"/>
  <c r="I1187" i="1"/>
  <c r="I1175" i="1"/>
  <c r="I1182" i="1"/>
  <c r="I1177" i="1"/>
  <c r="I1171" i="1"/>
  <c r="I1181" i="1"/>
  <c r="I1186" i="1"/>
  <c r="I1174" i="1"/>
  <c r="I1167" i="1"/>
  <c r="I1172" i="1"/>
  <c r="I1185" i="1"/>
  <c r="I1180" i="1"/>
  <c r="I1184" i="1"/>
  <c r="I1188" i="1"/>
  <c r="I1169" i="1"/>
  <c r="I1173" i="1"/>
  <c r="I1168" i="1"/>
  <c r="I1125" i="1"/>
  <c r="I1163" i="1"/>
  <c r="I1157" i="1"/>
  <c r="I1145" i="1"/>
  <c r="I1141" i="1"/>
  <c r="I1140" i="1"/>
  <c r="I1134" i="1"/>
  <c r="I1128" i="1"/>
  <c r="I1162" i="1"/>
  <c r="I1156" i="1"/>
  <c r="I1150" i="1"/>
  <c r="I1138" i="1"/>
  <c r="I1132" i="1"/>
  <c r="I1126" i="1"/>
  <c r="I1161" i="1"/>
  <c r="I1155" i="1"/>
  <c r="I1142" i="1"/>
  <c r="I1136" i="1"/>
  <c r="I1130" i="1"/>
  <c r="I1124" i="1"/>
  <c r="I1165" i="1"/>
  <c r="I1159" i="1"/>
  <c r="I1104" i="1"/>
  <c r="I1144" i="1"/>
  <c r="I1139" i="1"/>
  <c r="I1114" i="1"/>
  <c r="I1108" i="1"/>
  <c r="I1149" i="1"/>
  <c r="I1166" i="1"/>
  <c r="I1143" i="1"/>
  <c r="I1160" i="1"/>
  <c r="I1154" i="1"/>
  <c r="I1148" i="1"/>
  <c r="I1137" i="1"/>
  <c r="I1131" i="1"/>
  <c r="I1153" i="1"/>
  <c r="I1147" i="1"/>
  <c r="I1164" i="1"/>
  <c r="I1158" i="1"/>
  <c r="I1152" i="1"/>
  <c r="I1135" i="1"/>
  <c r="I1110" i="1"/>
  <c r="I1133" i="1"/>
  <c r="I1121" i="1"/>
  <c r="I1103" i="1"/>
  <c r="I1120" i="1"/>
  <c r="I1123" i="1"/>
  <c r="I1151" i="1"/>
  <c r="I1146" i="1"/>
  <c r="I1127" i="1"/>
  <c r="I1122" i="1"/>
  <c r="I1118" i="1"/>
  <c r="I1116" i="1"/>
  <c r="I1102" i="1"/>
  <c r="I1107" i="1"/>
  <c r="I1112" i="1"/>
  <c r="I1106" i="1"/>
  <c r="I1095" i="1"/>
  <c r="I1089" i="1"/>
  <c r="I1083" i="1"/>
  <c r="I1115" i="1"/>
  <c r="I1109" i="1"/>
  <c r="I1119" i="1"/>
  <c r="I1113" i="1"/>
  <c r="I1117" i="1"/>
  <c r="I1105" i="1"/>
  <c r="I1111" i="1"/>
  <c r="I1101" i="1"/>
  <c r="I1100" i="1"/>
  <c r="I1092" i="1"/>
  <c r="I1080" i="1"/>
  <c r="I1064" i="1"/>
  <c r="I1058" i="1"/>
  <c r="I1069" i="1"/>
  <c r="I1094" i="1"/>
  <c r="I1088" i="1"/>
  <c r="I1082" i="1"/>
  <c r="I1056" i="1"/>
  <c r="I1097" i="1"/>
  <c r="I1091" i="1"/>
  <c r="I1061" i="1"/>
  <c r="I1096" i="1"/>
  <c r="I1066" i="1"/>
  <c r="I1065" i="1"/>
  <c r="I1099" i="1"/>
  <c r="I1087" i="1"/>
  <c r="I1057" i="1"/>
  <c r="I1085" i="1"/>
  <c r="I1090" i="1"/>
  <c r="I1084" i="1"/>
  <c r="I1093" i="1"/>
  <c r="I1098" i="1"/>
  <c r="I1081" i="1"/>
  <c r="I1086" i="1"/>
  <c r="I1077" i="1"/>
  <c r="I1063" i="1"/>
  <c r="I1068" i="1"/>
  <c r="I1062" i="1"/>
  <c r="I1067" i="1"/>
  <c r="I1060" i="1"/>
  <c r="I1076" i="1"/>
  <c r="I1075" i="1"/>
  <c r="I1071" i="1"/>
  <c r="I1074" i="1"/>
  <c r="I1070" i="1"/>
  <c r="I1079" i="1"/>
  <c r="I1073" i="1"/>
  <c r="I1059" i="1"/>
  <c r="I1078" i="1"/>
  <c r="I1072" i="1"/>
  <c r="I1054" i="1"/>
  <c r="I1053" i="1"/>
  <c r="I1047" i="1"/>
  <c r="I1041" i="1"/>
  <c r="I1032" i="1"/>
  <c r="I1049" i="1"/>
  <c r="I1044" i="1"/>
  <c r="I1043" i="1"/>
  <c r="I1051" i="1"/>
  <c r="I1045" i="1"/>
  <c r="I1039" i="1"/>
  <c r="I1038" i="1"/>
  <c r="I1036" i="1"/>
  <c r="I1030" i="1"/>
  <c r="I1052" i="1"/>
  <c r="I1040" i="1"/>
  <c r="I1034" i="1"/>
  <c r="I1037" i="1"/>
  <c r="I1048" i="1"/>
  <c r="I1042" i="1"/>
  <c r="I1031" i="1"/>
  <c r="I1046" i="1"/>
  <c r="I1035" i="1"/>
  <c r="I1029" i="1"/>
  <c r="I1050" i="1"/>
  <c r="I1033" i="1"/>
  <c r="I1028" i="1"/>
  <c r="I1055" i="1"/>
  <c r="I1027" i="1"/>
  <c r="G1020" i="1"/>
  <c r="H1020" i="1"/>
  <c r="G1021" i="1"/>
  <c r="H1021" i="1"/>
  <c r="G1022" i="1"/>
  <c r="H1022" i="1"/>
  <c r="G1023" i="1"/>
  <c r="H1023" i="1"/>
  <c r="G1024" i="1"/>
  <c r="H1024" i="1"/>
  <c r="G1025" i="1"/>
  <c r="H1025" i="1"/>
  <c r="G1026" i="1"/>
  <c r="H1026" i="1"/>
  <c r="L20" i="5"/>
  <c r="L19" i="5"/>
  <c r="L17" i="5"/>
  <c r="L13" i="5"/>
  <c r="L16" i="5"/>
  <c r="L6" i="5"/>
  <c r="M5" i="5"/>
  <c r="L5" i="5" s="1"/>
  <c r="K20" i="5"/>
  <c r="K19" i="5"/>
  <c r="K18" i="5"/>
  <c r="K17" i="5"/>
  <c r="K16" i="5"/>
  <c r="K15" i="5"/>
  <c r="K14" i="5"/>
  <c r="K13" i="5"/>
  <c r="K12" i="5"/>
  <c r="K11" i="5"/>
  <c r="K10" i="5"/>
  <c r="K9" i="5"/>
  <c r="K8" i="5"/>
  <c r="K7" i="5"/>
  <c r="K6" i="5"/>
  <c r="G22" i="5"/>
  <c r="G1017" i="1"/>
  <c r="H1017" i="1"/>
  <c r="G1018" i="1"/>
  <c r="H1018" i="1"/>
  <c r="G1019" i="1"/>
  <c r="H1019" i="1"/>
  <c r="G999" i="1"/>
  <c r="H999" i="1"/>
  <c r="G1000" i="1"/>
  <c r="H1000" i="1"/>
  <c r="G1001" i="1"/>
  <c r="H1001" i="1"/>
  <c r="G1002" i="1"/>
  <c r="H1002" i="1"/>
  <c r="G1003" i="1"/>
  <c r="H1003" i="1"/>
  <c r="G1004" i="1"/>
  <c r="H1004" i="1"/>
  <c r="G1005" i="1"/>
  <c r="H1005" i="1"/>
  <c r="G1006" i="1"/>
  <c r="H1006" i="1"/>
  <c r="G1007" i="1"/>
  <c r="H1007" i="1"/>
  <c r="G1008" i="1"/>
  <c r="H1008" i="1"/>
  <c r="G1009" i="1"/>
  <c r="H1009" i="1"/>
  <c r="G1010" i="1"/>
  <c r="H1010" i="1"/>
  <c r="G1011" i="1"/>
  <c r="H1011" i="1"/>
  <c r="G1012" i="1"/>
  <c r="H1012" i="1"/>
  <c r="G1013" i="1"/>
  <c r="H1013" i="1"/>
  <c r="G1014" i="1"/>
  <c r="H1014" i="1"/>
  <c r="G1015" i="1"/>
  <c r="H1015" i="1"/>
  <c r="G1016" i="1"/>
  <c r="H1016" i="1"/>
  <c r="G965" i="1"/>
  <c r="H965" i="1"/>
  <c r="G966" i="1"/>
  <c r="H966" i="1"/>
  <c r="G967" i="1"/>
  <c r="H967" i="1"/>
  <c r="G968" i="1"/>
  <c r="H968" i="1"/>
  <c r="G969" i="1"/>
  <c r="H969" i="1"/>
  <c r="G970" i="1"/>
  <c r="H970" i="1"/>
  <c r="G971" i="1"/>
  <c r="H971" i="1"/>
  <c r="G972" i="1"/>
  <c r="H972" i="1"/>
  <c r="G973" i="1"/>
  <c r="H973" i="1"/>
  <c r="G974" i="1"/>
  <c r="H974" i="1"/>
  <c r="G975" i="1"/>
  <c r="H975" i="1"/>
  <c r="G976" i="1"/>
  <c r="H976" i="1"/>
  <c r="G977" i="1"/>
  <c r="H977" i="1"/>
  <c r="G978" i="1"/>
  <c r="H978" i="1"/>
  <c r="G979" i="1"/>
  <c r="H979" i="1"/>
  <c r="G980" i="1"/>
  <c r="H980" i="1"/>
  <c r="G981" i="1"/>
  <c r="H981" i="1"/>
  <c r="G982" i="1"/>
  <c r="H982" i="1"/>
  <c r="G983" i="1"/>
  <c r="H983" i="1"/>
  <c r="G984" i="1"/>
  <c r="H984" i="1"/>
  <c r="G985" i="1"/>
  <c r="H985" i="1"/>
  <c r="G986" i="1"/>
  <c r="H986" i="1"/>
  <c r="G987" i="1"/>
  <c r="H987" i="1"/>
  <c r="G988" i="1"/>
  <c r="H988" i="1"/>
  <c r="G989" i="1"/>
  <c r="H989" i="1"/>
  <c r="G990" i="1"/>
  <c r="H990" i="1"/>
  <c r="G991" i="1"/>
  <c r="H991" i="1"/>
  <c r="G992" i="1"/>
  <c r="H992" i="1"/>
  <c r="G993" i="1"/>
  <c r="H993" i="1"/>
  <c r="G994" i="1"/>
  <c r="H994" i="1"/>
  <c r="G995" i="1"/>
  <c r="H995" i="1"/>
  <c r="G996" i="1"/>
  <c r="H996" i="1"/>
  <c r="G997" i="1"/>
  <c r="H997" i="1"/>
  <c r="G998" i="1"/>
  <c r="H998" i="1"/>
  <c r="H964" i="1"/>
  <c r="G964" i="1"/>
  <c r="H963" i="1"/>
  <c r="G963" i="1"/>
  <c r="H962" i="1"/>
  <c r="G962" i="1"/>
  <c r="H961" i="1"/>
  <c r="G961" i="1"/>
  <c r="H960" i="1"/>
  <c r="G960" i="1"/>
  <c r="H959" i="1"/>
  <c r="G959" i="1"/>
  <c r="H958" i="1"/>
  <c r="G958" i="1"/>
  <c r="H957" i="1"/>
  <c r="G957" i="1"/>
  <c r="H956" i="1"/>
  <c r="G956" i="1"/>
  <c r="H955" i="1"/>
  <c r="G955" i="1"/>
  <c r="H954" i="1"/>
  <c r="G954" i="1"/>
  <c r="H953" i="1"/>
  <c r="G953" i="1"/>
  <c r="H952" i="1"/>
  <c r="G952" i="1"/>
  <c r="H951" i="1"/>
  <c r="G951" i="1"/>
  <c r="H950" i="1"/>
  <c r="G950" i="1"/>
  <c r="H949" i="1"/>
  <c r="G949" i="1"/>
  <c r="H948" i="1"/>
  <c r="G948" i="1"/>
  <c r="H947" i="1"/>
  <c r="G947" i="1"/>
  <c r="H946" i="1"/>
  <c r="G946" i="1"/>
  <c r="H945" i="1"/>
  <c r="G945" i="1"/>
  <c r="H944" i="1"/>
  <c r="G944" i="1"/>
  <c r="H943" i="1"/>
  <c r="G943" i="1"/>
  <c r="H942" i="1"/>
  <c r="G942" i="1"/>
  <c r="H941" i="1"/>
  <c r="G941" i="1"/>
  <c r="H940" i="1"/>
  <c r="G940" i="1"/>
  <c r="H939" i="1"/>
  <c r="G939" i="1"/>
  <c r="H938" i="1"/>
  <c r="G938" i="1"/>
  <c r="H937" i="1"/>
  <c r="G937" i="1"/>
  <c r="H936" i="1"/>
  <c r="G936" i="1"/>
  <c r="H935" i="1"/>
  <c r="G935" i="1"/>
  <c r="H934" i="1"/>
  <c r="G934" i="1"/>
  <c r="H933" i="1"/>
  <c r="G933" i="1"/>
  <c r="H932" i="1"/>
  <c r="G932" i="1"/>
  <c r="H931" i="1"/>
  <c r="G931" i="1"/>
  <c r="H930" i="1"/>
  <c r="G930" i="1"/>
  <c r="H929" i="1"/>
  <c r="G929" i="1"/>
  <c r="H928" i="1"/>
  <c r="G928" i="1"/>
  <c r="H927" i="1"/>
  <c r="G927" i="1"/>
  <c r="H926" i="1"/>
  <c r="G926" i="1"/>
  <c r="H925" i="1"/>
  <c r="G925" i="1"/>
  <c r="H924" i="1"/>
  <c r="G924" i="1"/>
  <c r="H923" i="1"/>
  <c r="G923" i="1"/>
  <c r="H922" i="1"/>
  <c r="G922" i="1"/>
  <c r="H921" i="1"/>
  <c r="G921" i="1"/>
  <c r="H920" i="1"/>
  <c r="G920" i="1"/>
  <c r="H919" i="1"/>
  <c r="G919" i="1"/>
  <c r="H918" i="1"/>
  <c r="G918" i="1"/>
  <c r="H917" i="1"/>
  <c r="G917" i="1"/>
  <c r="H916" i="1"/>
  <c r="G916" i="1"/>
  <c r="H915" i="1"/>
  <c r="G915" i="1"/>
  <c r="H914" i="1"/>
  <c r="G914" i="1"/>
  <c r="H913" i="1"/>
  <c r="G913" i="1"/>
  <c r="H912" i="1"/>
  <c r="G912" i="1"/>
  <c r="H911" i="1"/>
  <c r="G911" i="1"/>
  <c r="H910" i="1"/>
  <c r="G910" i="1"/>
  <c r="H909" i="1"/>
  <c r="G909" i="1"/>
  <c r="H908" i="1"/>
  <c r="G908" i="1"/>
  <c r="H907" i="1"/>
  <c r="G907" i="1"/>
  <c r="H906" i="1"/>
  <c r="G906" i="1"/>
  <c r="H905" i="1"/>
  <c r="G905" i="1"/>
  <c r="H904" i="1"/>
  <c r="G904" i="1"/>
  <c r="H903" i="1"/>
  <c r="G903" i="1"/>
  <c r="H902" i="1"/>
  <c r="G902" i="1"/>
  <c r="E20" i="5"/>
  <c r="E19" i="5"/>
  <c r="E18" i="5"/>
  <c r="E17" i="5"/>
  <c r="E16" i="5"/>
  <c r="E15" i="5"/>
  <c r="E14" i="5"/>
  <c r="E13" i="5"/>
  <c r="E12" i="5"/>
  <c r="E11" i="5"/>
  <c r="E10" i="5"/>
  <c r="E9" i="5"/>
  <c r="E8" i="5"/>
  <c r="E7" i="5"/>
  <c r="E6" i="5"/>
  <c r="E5" i="5"/>
  <c r="L7" i="5" l="1"/>
  <c r="L8" i="5"/>
  <c r="L10" i="5"/>
  <c r="L14" i="5"/>
  <c r="L18" i="5"/>
  <c r="I1023" i="1"/>
  <c r="I1026" i="1"/>
  <c r="I1025" i="1"/>
  <c r="I1024" i="1"/>
  <c r="I1022" i="1"/>
  <c r="I1021" i="1"/>
  <c r="I1020" i="1"/>
  <c r="K22" i="5"/>
  <c r="I1017" i="1"/>
  <c r="I1012" i="1"/>
  <c r="I1006" i="1"/>
  <c r="I1009" i="1"/>
  <c r="I1019" i="1"/>
  <c r="I1008" i="1"/>
  <c r="I1000" i="1"/>
  <c r="I972" i="1"/>
  <c r="I977" i="1"/>
  <c r="I1018" i="1"/>
  <c r="I1010" i="1"/>
  <c r="I1016" i="1"/>
  <c r="I1004" i="1"/>
  <c r="I1014" i="1"/>
  <c r="I976" i="1"/>
  <c r="I969" i="1"/>
  <c r="I1013" i="1"/>
  <c r="I1002" i="1"/>
  <c r="I1001" i="1"/>
  <c r="I1011" i="1"/>
  <c r="I1005" i="1"/>
  <c r="I1015" i="1"/>
  <c r="I987" i="1"/>
  <c r="I981" i="1"/>
  <c r="I999" i="1"/>
  <c r="I989" i="1"/>
  <c r="I1003" i="1"/>
  <c r="I1007" i="1"/>
  <c r="I970" i="1"/>
  <c r="I980" i="1"/>
  <c r="I975" i="1"/>
  <c r="I985" i="1"/>
  <c r="I996" i="1"/>
  <c r="I978" i="1"/>
  <c r="I973" i="1"/>
  <c r="I968" i="1"/>
  <c r="I983" i="1"/>
  <c r="I994" i="1"/>
  <c r="I988" i="1"/>
  <c r="I993" i="1"/>
  <c r="I965" i="1"/>
  <c r="I982" i="1"/>
  <c r="I998" i="1"/>
  <c r="I992" i="1"/>
  <c r="I967" i="1"/>
  <c r="I997" i="1"/>
  <c r="I986" i="1"/>
  <c r="I971" i="1"/>
  <c r="I966" i="1"/>
  <c r="I991" i="1"/>
  <c r="I984" i="1"/>
  <c r="I979" i="1"/>
  <c r="I974" i="1"/>
  <c r="I995" i="1"/>
  <c r="I990" i="1"/>
  <c r="I912" i="1"/>
  <c r="I918" i="1"/>
  <c r="I924" i="1"/>
  <c r="I930" i="1"/>
  <c r="I936" i="1"/>
  <c r="I942" i="1"/>
  <c r="I948" i="1"/>
  <c r="I954" i="1"/>
  <c r="E22" i="5"/>
  <c r="I917" i="1"/>
  <c r="I911" i="1"/>
  <c r="I923" i="1"/>
  <c r="I902" i="1"/>
  <c r="I908" i="1"/>
  <c r="I914" i="1"/>
  <c r="I920" i="1"/>
  <c r="I926" i="1"/>
  <c r="I932" i="1"/>
  <c r="I938" i="1"/>
  <c r="I944" i="1"/>
  <c r="I950" i="1"/>
  <c r="I956" i="1"/>
  <c r="I962" i="1"/>
  <c r="I913" i="1"/>
  <c r="I919" i="1"/>
  <c r="I925" i="1"/>
  <c r="I931" i="1"/>
  <c r="I943" i="1"/>
  <c r="I949" i="1"/>
  <c r="I955" i="1"/>
  <c r="I961" i="1"/>
  <c r="I905" i="1"/>
  <c r="I903" i="1"/>
  <c r="I909" i="1"/>
  <c r="I915" i="1"/>
  <c r="I921" i="1"/>
  <c r="I927" i="1"/>
  <c r="I933" i="1"/>
  <c r="I939" i="1"/>
  <c r="I945" i="1"/>
  <c r="I951" i="1"/>
  <c r="I957" i="1"/>
  <c r="I963" i="1"/>
  <c r="I906" i="1"/>
  <c r="I907" i="1"/>
  <c r="I937" i="1"/>
  <c r="I904" i="1"/>
  <c r="I910" i="1"/>
  <c r="I916" i="1"/>
  <c r="I922" i="1"/>
  <c r="I928" i="1"/>
  <c r="I934" i="1"/>
  <c r="I940" i="1"/>
  <c r="I946" i="1"/>
  <c r="I952" i="1"/>
  <c r="I958" i="1"/>
  <c r="I964" i="1"/>
  <c r="I929" i="1"/>
  <c r="I935" i="1"/>
  <c r="I941" i="1"/>
  <c r="I947" i="1"/>
  <c r="I953" i="1"/>
  <c r="I959" i="1"/>
  <c r="I960" i="1"/>
  <c r="G893" i="1" l="1"/>
  <c r="H893" i="1"/>
  <c r="G894" i="1"/>
  <c r="H894" i="1"/>
  <c r="G895" i="1"/>
  <c r="H895" i="1"/>
  <c r="G896" i="1"/>
  <c r="H896" i="1"/>
  <c r="G897" i="1"/>
  <c r="H897" i="1"/>
  <c r="G898" i="1"/>
  <c r="H898" i="1"/>
  <c r="G899" i="1"/>
  <c r="H899" i="1"/>
  <c r="G900" i="1"/>
  <c r="H900" i="1"/>
  <c r="G901" i="1"/>
  <c r="H901" i="1"/>
  <c r="H892" i="1"/>
  <c r="G892" i="1"/>
  <c r="H891" i="1"/>
  <c r="G891" i="1"/>
  <c r="H890" i="1"/>
  <c r="G890" i="1"/>
  <c r="H889" i="1"/>
  <c r="G889" i="1"/>
  <c r="H888" i="1"/>
  <c r="G888" i="1"/>
  <c r="H887" i="1"/>
  <c r="G887" i="1"/>
  <c r="H886" i="1"/>
  <c r="G886" i="1"/>
  <c r="H885" i="1"/>
  <c r="G885" i="1"/>
  <c r="H884" i="1"/>
  <c r="G884" i="1"/>
  <c r="H883" i="1"/>
  <c r="G883" i="1"/>
  <c r="H882" i="1"/>
  <c r="G882" i="1"/>
  <c r="H881" i="1"/>
  <c r="G881" i="1"/>
  <c r="H880" i="1"/>
  <c r="G880" i="1"/>
  <c r="H879" i="1"/>
  <c r="G879" i="1"/>
  <c r="H878" i="1"/>
  <c r="G878" i="1"/>
  <c r="H877" i="1"/>
  <c r="G877" i="1"/>
  <c r="H876" i="1"/>
  <c r="G876" i="1"/>
  <c r="H875" i="1"/>
  <c r="G875" i="1"/>
  <c r="H874" i="1"/>
  <c r="G874" i="1"/>
  <c r="H873" i="1"/>
  <c r="G873" i="1"/>
  <c r="H872" i="1"/>
  <c r="G872" i="1"/>
  <c r="H871" i="1"/>
  <c r="G871" i="1"/>
  <c r="H870" i="1"/>
  <c r="G870" i="1"/>
  <c r="H869" i="1"/>
  <c r="G869" i="1"/>
  <c r="H868" i="1"/>
  <c r="G868" i="1"/>
  <c r="H867" i="1"/>
  <c r="G867" i="1"/>
  <c r="H866" i="1"/>
  <c r="G866" i="1"/>
  <c r="H865" i="1"/>
  <c r="G865" i="1"/>
  <c r="H864" i="1"/>
  <c r="G864" i="1"/>
  <c r="H863" i="1"/>
  <c r="G863" i="1"/>
  <c r="H862" i="1"/>
  <c r="G862" i="1"/>
  <c r="H861" i="1"/>
  <c r="G861" i="1"/>
  <c r="H860" i="1"/>
  <c r="G860" i="1"/>
  <c r="H859" i="1"/>
  <c r="G859" i="1"/>
  <c r="H858" i="1"/>
  <c r="G858" i="1"/>
  <c r="H857" i="1"/>
  <c r="G857" i="1"/>
  <c r="H856" i="1"/>
  <c r="G856" i="1"/>
  <c r="H855" i="1"/>
  <c r="G855" i="1"/>
  <c r="H854" i="1"/>
  <c r="G854" i="1"/>
  <c r="H853" i="1"/>
  <c r="G853" i="1"/>
  <c r="H852" i="1"/>
  <c r="G852" i="1"/>
  <c r="H851" i="1"/>
  <c r="G851" i="1"/>
  <c r="H850" i="1"/>
  <c r="G850" i="1"/>
  <c r="H849" i="1"/>
  <c r="G849" i="1"/>
  <c r="H848" i="1"/>
  <c r="G848" i="1"/>
  <c r="H847" i="1"/>
  <c r="G847" i="1"/>
  <c r="H846" i="1"/>
  <c r="G846" i="1"/>
  <c r="H845" i="1"/>
  <c r="G845" i="1"/>
  <c r="H844" i="1"/>
  <c r="G844" i="1"/>
  <c r="H843" i="1"/>
  <c r="G843" i="1"/>
  <c r="H842" i="1"/>
  <c r="G842" i="1"/>
  <c r="H841" i="1"/>
  <c r="G841" i="1"/>
  <c r="H840" i="1"/>
  <c r="G840" i="1"/>
  <c r="H839" i="1"/>
  <c r="G839" i="1"/>
  <c r="H838" i="1"/>
  <c r="G838" i="1"/>
  <c r="H837" i="1"/>
  <c r="G837" i="1"/>
  <c r="H836" i="1"/>
  <c r="G836" i="1"/>
  <c r="H835" i="1"/>
  <c r="G835" i="1"/>
  <c r="H834" i="1"/>
  <c r="G834" i="1"/>
  <c r="H833" i="1"/>
  <c r="G833" i="1"/>
  <c r="H832" i="1"/>
  <c r="G832" i="1"/>
  <c r="H831" i="1"/>
  <c r="G831" i="1"/>
  <c r="H830" i="1"/>
  <c r="G830" i="1"/>
  <c r="H829" i="1"/>
  <c r="G829" i="1"/>
  <c r="H828" i="1"/>
  <c r="G828" i="1"/>
  <c r="H827" i="1"/>
  <c r="G827" i="1"/>
  <c r="H826" i="1"/>
  <c r="G826" i="1"/>
  <c r="H825" i="1"/>
  <c r="G825" i="1"/>
  <c r="H824" i="1"/>
  <c r="G824" i="1"/>
  <c r="H823" i="1"/>
  <c r="G823" i="1"/>
  <c r="H822" i="1"/>
  <c r="G822" i="1"/>
  <c r="H821" i="1"/>
  <c r="G821" i="1"/>
  <c r="H820" i="1"/>
  <c r="G820" i="1"/>
  <c r="H819" i="1"/>
  <c r="G819" i="1"/>
  <c r="H818" i="1"/>
  <c r="G818" i="1"/>
  <c r="H817" i="1"/>
  <c r="G817" i="1"/>
  <c r="H816" i="1"/>
  <c r="G816" i="1"/>
  <c r="H815" i="1"/>
  <c r="G815" i="1"/>
  <c r="H814" i="1"/>
  <c r="G814" i="1"/>
  <c r="H813" i="1"/>
  <c r="G813" i="1"/>
  <c r="H812" i="1"/>
  <c r="G812" i="1"/>
  <c r="H811" i="1"/>
  <c r="G811" i="1"/>
  <c r="H810" i="1"/>
  <c r="G810" i="1"/>
  <c r="H809" i="1"/>
  <c r="G809" i="1"/>
  <c r="H808" i="1"/>
  <c r="G808" i="1"/>
  <c r="H807" i="1"/>
  <c r="G807" i="1"/>
  <c r="H806" i="1"/>
  <c r="G806" i="1"/>
  <c r="H805" i="1"/>
  <c r="G805" i="1"/>
  <c r="H804" i="1"/>
  <c r="G804" i="1"/>
  <c r="H803" i="1"/>
  <c r="G803" i="1"/>
  <c r="H802" i="1"/>
  <c r="G802" i="1"/>
  <c r="H801" i="1"/>
  <c r="G801" i="1"/>
  <c r="H800" i="1"/>
  <c r="G800" i="1"/>
  <c r="H799" i="1"/>
  <c r="G799" i="1"/>
  <c r="H798" i="1"/>
  <c r="G798" i="1"/>
  <c r="H797" i="1"/>
  <c r="G797" i="1"/>
  <c r="H796" i="1"/>
  <c r="G796" i="1"/>
  <c r="H795" i="1"/>
  <c r="G795" i="1"/>
  <c r="H794" i="1"/>
  <c r="G794" i="1"/>
  <c r="H793" i="1"/>
  <c r="G793" i="1"/>
  <c r="H792" i="1"/>
  <c r="G792" i="1"/>
  <c r="H791" i="1"/>
  <c r="G791" i="1"/>
  <c r="H790" i="1"/>
  <c r="G790" i="1"/>
  <c r="H789" i="1"/>
  <c r="G789" i="1"/>
  <c r="H788" i="1"/>
  <c r="G788" i="1"/>
  <c r="H787" i="1"/>
  <c r="G787" i="1"/>
  <c r="H786" i="1"/>
  <c r="G786" i="1"/>
  <c r="H785" i="1"/>
  <c r="G785" i="1"/>
  <c r="H784" i="1"/>
  <c r="G784" i="1"/>
  <c r="H783" i="1"/>
  <c r="G783" i="1"/>
  <c r="H782" i="1"/>
  <c r="G782" i="1"/>
  <c r="H781" i="1"/>
  <c r="G781" i="1"/>
  <c r="H780" i="1"/>
  <c r="G780" i="1"/>
  <c r="H779" i="1"/>
  <c r="G779" i="1"/>
  <c r="H778" i="1"/>
  <c r="G778" i="1"/>
  <c r="H777" i="1"/>
  <c r="G777" i="1"/>
  <c r="H776" i="1"/>
  <c r="G776" i="1"/>
  <c r="H775" i="1"/>
  <c r="G775" i="1"/>
  <c r="H774" i="1"/>
  <c r="G774" i="1"/>
  <c r="H773" i="1"/>
  <c r="G773" i="1"/>
  <c r="H772" i="1"/>
  <c r="G772" i="1"/>
  <c r="H771" i="1"/>
  <c r="G771" i="1"/>
  <c r="H770" i="1"/>
  <c r="G770" i="1"/>
  <c r="H769" i="1"/>
  <c r="G769" i="1"/>
  <c r="H768" i="1"/>
  <c r="G768" i="1"/>
  <c r="H767" i="1"/>
  <c r="G767" i="1"/>
  <c r="H766" i="1"/>
  <c r="G766" i="1"/>
  <c r="H765" i="1"/>
  <c r="G765" i="1"/>
  <c r="H764" i="1"/>
  <c r="G764" i="1"/>
  <c r="H763" i="1"/>
  <c r="G763" i="1"/>
  <c r="H762" i="1"/>
  <c r="G762" i="1"/>
  <c r="H761" i="1"/>
  <c r="G761" i="1"/>
  <c r="H760" i="1"/>
  <c r="G760" i="1"/>
  <c r="H759" i="1"/>
  <c r="G759" i="1"/>
  <c r="H758" i="1"/>
  <c r="G758" i="1"/>
  <c r="H757" i="1"/>
  <c r="G757" i="1"/>
  <c r="H756" i="1"/>
  <c r="G756" i="1"/>
  <c r="H755" i="1"/>
  <c r="G755" i="1"/>
  <c r="H754" i="1"/>
  <c r="G754" i="1"/>
  <c r="H753" i="1"/>
  <c r="G753" i="1"/>
  <c r="H752" i="1"/>
  <c r="G752" i="1"/>
  <c r="H751" i="1"/>
  <c r="G751" i="1"/>
  <c r="H750" i="1"/>
  <c r="G750" i="1"/>
  <c r="H749" i="1"/>
  <c r="G749" i="1"/>
  <c r="H748" i="1"/>
  <c r="G748" i="1"/>
  <c r="H747" i="1"/>
  <c r="G747" i="1"/>
  <c r="H746" i="1"/>
  <c r="G746" i="1"/>
  <c r="H745" i="1"/>
  <c r="G745" i="1"/>
  <c r="H744" i="1"/>
  <c r="G744" i="1"/>
  <c r="H743" i="1"/>
  <c r="G743" i="1"/>
  <c r="H742" i="1"/>
  <c r="G742" i="1"/>
  <c r="H741" i="1"/>
  <c r="G741" i="1"/>
  <c r="H740" i="1"/>
  <c r="G740" i="1"/>
  <c r="H739" i="1"/>
  <c r="G739" i="1"/>
  <c r="H738" i="1"/>
  <c r="G738" i="1"/>
  <c r="H737" i="1"/>
  <c r="G737" i="1"/>
  <c r="H736" i="1"/>
  <c r="G736" i="1"/>
  <c r="H735" i="1"/>
  <c r="G735" i="1"/>
  <c r="H734" i="1"/>
  <c r="G734" i="1"/>
  <c r="H733" i="1"/>
  <c r="G733" i="1"/>
  <c r="H732" i="1"/>
  <c r="G732" i="1"/>
  <c r="H731" i="1"/>
  <c r="G731" i="1"/>
  <c r="H730" i="1"/>
  <c r="G730" i="1"/>
  <c r="H729" i="1"/>
  <c r="G729" i="1"/>
  <c r="H728" i="1"/>
  <c r="G728" i="1"/>
  <c r="H727" i="1"/>
  <c r="G727" i="1"/>
  <c r="H726" i="1"/>
  <c r="G726" i="1"/>
  <c r="H725" i="1"/>
  <c r="G725" i="1"/>
  <c r="H724" i="1"/>
  <c r="G724" i="1"/>
  <c r="H723" i="1"/>
  <c r="G723" i="1"/>
  <c r="H722" i="1"/>
  <c r="G722" i="1"/>
  <c r="H721" i="1"/>
  <c r="G721" i="1"/>
  <c r="H720" i="1"/>
  <c r="G720" i="1"/>
  <c r="H719" i="1"/>
  <c r="G719" i="1"/>
  <c r="H718" i="1"/>
  <c r="G718" i="1"/>
  <c r="H717" i="1"/>
  <c r="G717" i="1"/>
  <c r="H716" i="1"/>
  <c r="G716" i="1"/>
  <c r="H715" i="1"/>
  <c r="G715" i="1"/>
  <c r="H714" i="1"/>
  <c r="G714" i="1"/>
  <c r="H713" i="1"/>
  <c r="G713" i="1"/>
  <c r="H712" i="1"/>
  <c r="G712" i="1"/>
  <c r="H711" i="1"/>
  <c r="G711" i="1"/>
  <c r="H710" i="1"/>
  <c r="G710" i="1"/>
  <c r="H709" i="1"/>
  <c r="G709" i="1"/>
  <c r="H708" i="1"/>
  <c r="G708" i="1"/>
  <c r="H707" i="1"/>
  <c r="G707" i="1"/>
  <c r="H706" i="1"/>
  <c r="G706" i="1"/>
  <c r="H705" i="1"/>
  <c r="G705" i="1"/>
  <c r="H704" i="1"/>
  <c r="G704" i="1"/>
  <c r="H703" i="1"/>
  <c r="G703" i="1"/>
  <c r="H702" i="1"/>
  <c r="G702" i="1"/>
  <c r="H701" i="1"/>
  <c r="G701" i="1"/>
  <c r="H700" i="1"/>
  <c r="G700" i="1"/>
  <c r="H699" i="1"/>
  <c r="G699" i="1"/>
  <c r="H698" i="1"/>
  <c r="G698" i="1"/>
  <c r="H697" i="1"/>
  <c r="G697" i="1"/>
  <c r="H696" i="1"/>
  <c r="G696" i="1"/>
  <c r="H695" i="1"/>
  <c r="G695" i="1"/>
  <c r="H694" i="1"/>
  <c r="G694" i="1"/>
  <c r="H693" i="1"/>
  <c r="G693" i="1"/>
  <c r="H692" i="1"/>
  <c r="G692" i="1"/>
  <c r="H691" i="1"/>
  <c r="G691" i="1"/>
  <c r="H690" i="1"/>
  <c r="G690" i="1"/>
  <c r="H689" i="1"/>
  <c r="G689" i="1"/>
  <c r="H688" i="1"/>
  <c r="G688" i="1"/>
  <c r="H687" i="1"/>
  <c r="G687" i="1"/>
  <c r="H686" i="1"/>
  <c r="G686" i="1"/>
  <c r="H685" i="1"/>
  <c r="G685" i="1"/>
  <c r="H684" i="1"/>
  <c r="G684" i="1"/>
  <c r="H683" i="1"/>
  <c r="G683" i="1"/>
  <c r="H682" i="1"/>
  <c r="G682" i="1"/>
  <c r="H681" i="1"/>
  <c r="G681" i="1"/>
  <c r="H680" i="1"/>
  <c r="G680" i="1"/>
  <c r="H679" i="1"/>
  <c r="G679" i="1"/>
  <c r="H678" i="1"/>
  <c r="G678" i="1"/>
  <c r="H677" i="1"/>
  <c r="G677" i="1"/>
  <c r="H676" i="1"/>
  <c r="G676" i="1"/>
  <c r="H675" i="1"/>
  <c r="G675" i="1"/>
  <c r="H674" i="1"/>
  <c r="G674" i="1"/>
  <c r="H673" i="1"/>
  <c r="G673" i="1"/>
  <c r="H672" i="1"/>
  <c r="G672" i="1"/>
  <c r="H671" i="1"/>
  <c r="G671" i="1"/>
  <c r="H670" i="1"/>
  <c r="G670" i="1"/>
  <c r="H669" i="1"/>
  <c r="G669" i="1"/>
  <c r="H668" i="1"/>
  <c r="G668" i="1"/>
  <c r="H667" i="1"/>
  <c r="G667" i="1"/>
  <c r="H666" i="1"/>
  <c r="G666" i="1"/>
  <c r="H665" i="1"/>
  <c r="G665" i="1"/>
  <c r="H664" i="1"/>
  <c r="G664" i="1"/>
  <c r="H663" i="1"/>
  <c r="G663" i="1"/>
  <c r="H662" i="1"/>
  <c r="G662" i="1"/>
  <c r="H661" i="1"/>
  <c r="G661" i="1"/>
  <c r="H660" i="1"/>
  <c r="G660" i="1"/>
  <c r="H659" i="1"/>
  <c r="G659" i="1"/>
  <c r="H658" i="1"/>
  <c r="G658" i="1"/>
  <c r="H657" i="1"/>
  <c r="G657" i="1"/>
  <c r="H656" i="1"/>
  <c r="G656" i="1"/>
  <c r="H655" i="1"/>
  <c r="G655" i="1"/>
  <c r="H654" i="1"/>
  <c r="G654" i="1"/>
  <c r="H653" i="1"/>
  <c r="G653" i="1"/>
  <c r="H652" i="1"/>
  <c r="G652" i="1"/>
  <c r="H651" i="1"/>
  <c r="G651" i="1"/>
  <c r="H650" i="1"/>
  <c r="G650" i="1"/>
  <c r="H649" i="1"/>
  <c r="G649" i="1"/>
  <c r="H648" i="1"/>
  <c r="G648" i="1"/>
  <c r="H647" i="1"/>
  <c r="G647" i="1"/>
  <c r="H646" i="1"/>
  <c r="G646" i="1"/>
  <c r="H645" i="1"/>
  <c r="G645" i="1"/>
  <c r="H644" i="1"/>
  <c r="G644" i="1"/>
  <c r="H643" i="1"/>
  <c r="G643" i="1"/>
  <c r="H642" i="1"/>
  <c r="G642" i="1"/>
  <c r="H641" i="1"/>
  <c r="G641" i="1"/>
  <c r="H640" i="1"/>
  <c r="G640" i="1"/>
  <c r="H639" i="1"/>
  <c r="G639" i="1"/>
  <c r="H638" i="1"/>
  <c r="G638" i="1"/>
  <c r="H637" i="1"/>
  <c r="G637" i="1"/>
  <c r="H636" i="1"/>
  <c r="G636" i="1"/>
  <c r="H635" i="1"/>
  <c r="G635" i="1"/>
  <c r="H634" i="1"/>
  <c r="G634" i="1"/>
  <c r="H633" i="1"/>
  <c r="G633" i="1"/>
  <c r="H632" i="1"/>
  <c r="G632" i="1"/>
  <c r="H631" i="1"/>
  <c r="G631" i="1"/>
  <c r="H630" i="1"/>
  <c r="G630" i="1"/>
  <c r="H629" i="1"/>
  <c r="G629" i="1"/>
  <c r="H628" i="1"/>
  <c r="G628" i="1"/>
  <c r="H627" i="1"/>
  <c r="G627" i="1"/>
  <c r="H626" i="1"/>
  <c r="G626" i="1"/>
  <c r="H625" i="1"/>
  <c r="G625" i="1"/>
  <c r="H624" i="1"/>
  <c r="G624" i="1"/>
  <c r="H623" i="1"/>
  <c r="G623" i="1"/>
  <c r="H622" i="1"/>
  <c r="G622" i="1"/>
  <c r="H621" i="1"/>
  <c r="G621" i="1"/>
  <c r="H620" i="1"/>
  <c r="G620" i="1"/>
  <c r="H619" i="1"/>
  <c r="G619" i="1"/>
  <c r="H618" i="1"/>
  <c r="G618" i="1"/>
  <c r="H617" i="1"/>
  <c r="G617" i="1"/>
  <c r="H616" i="1"/>
  <c r="G616" i="1"/>
  <c r="H615" i="1"/>
  <c r="G615" i="1"/>
  <c r="H614" i="1"/>
  <c r="G614" i="1"/>
  <c r="H613" i="1"/>
  <c r="G613" i="1"/>
  <c r="H612" i="1"/>
  <c r="G612" i="1"/>
  <c r="H611" i="1"/>
  <c r="G611" i="1"/>
  <c r="H610" i="1"/>
  <c r="G610" i="1"/>
  <c r="H609" i="1"/>
  <c r="G609" i="1"/>
  <c r="H608" i="1"/>
  <c r="G608" i="1"/>
  <c r="H607" i="1"/>
  <c r="G607" i="1"/>
  <c r="H606" i="1"/>
  <c r="G606" i="1"/>
  <c r="H605" i="1"/>
  <c r="G605" i="1"/>
  <c r="H604" i="1"/>
  <c r="G604" i="1"/>
  <c r="H603" i="1"/>
  <c r="G603" i="1"/>
  <c r="H602" i="1"/>
  <c r="G602" i="1"/>
  <c r="H601" i="1"/>
  <c r="G601" i="1"/>
  <c r="H600" i="1"/>
  <c r="G600" i="1"/>
  <c r="H599" i="1"/>
  <c r="G599" i="1"/>
  <c r="H598" i="1"/>
  <c r="G598" i="1"/>
  <c r="H597" i="1"/>
  <c r="G597" i="1"/>
  <c r="H596" i="1"/>
  <c r="G596" i="1"/>
  <c r="H595" i="1"/>
  <c r="G595" i="1"/>
  <c r="H594" i="1"/>
  <c r="G594" i="1"/>
  <c r="H593" i="1"/>
  <c r="G593" i="1"/>
  <c r="H592" i="1"/>
  <c r="G592" i="1"/>
  <c r="H591" i="1"/>
  <c r="G591" i="1"/>
  <c r="H590" i="1"/>
  <c r="G590" i="1"/>
  <c r="H589" i="1"/>
  <c r="G589" i="1"/>
  <c r="H588" i="1"/>
  <c r="G588" i="1"/>
  <c r="H587" i="1"/>
  <c r="G587" i="1"/>
  <c r="H586" i="1"/>
  <c r="G586" i="1"/>
  <c r="H585" i="1"/>
  <c r="G585" i="1"/>
  <c r="H584" i="1"/>
  <c r="G584" i="1"/>
  <c r="H583" i="1"/>
  <c r="G583" i="1"/>
  <c r="H582" i="1"/>
  <c r="G582" i="1"/>
  <c r="H581" i="1"/>
  <c r="G581" i="1"/>
  <c r="H580" i="1"/>
  <c r="G580" i="1"/>
  <c r="H579" i="1"/>
  <c r="G579" i="1"/>
  <c r="H578" i="1"/>
  <c r="G578" i="1"/>
  <c r="H577" i="1"/>
  <c r="G577" i="1"/>
  <c r="H576" i="1"/>
  <c r="G576" i="1"/>
  <c r="H575" i="1"/>
  <c r="G575" i="1"/>
  <c r="H574" i="1"/>
  <c r="G574" i="1"/>
  <c r="H573" i="1"/>
  <c r="G573" i="1"/>
  <c r="H572" i="1"/>
  <c r="G572" i="1"/>
  <c r="H571" i="1"/>
  <c r="G571" i="1"/>
  <c r="H570" i="1"/>
  <c r="G570" i="1"/>
  <c r="H569" i="1"/>
  <c r="G569" i="1"/>
  <c r="H568" i="1"/>
  <c r="G568" i="1"/>
  <c r="H567" i="1"/>
  <c r="G567" i="1"/>
  <c r="H566" i="1"/>
  <c r="G566" i="1"/>
  <c r="H565" i="1"/>
  <c r="G565" i="1"/>
  <c r="H564" i="1"/>
  <c r="G564" i="1"/>
  <c r="H563" i="1"/>
  <c r="G563" i="1"/>
  <c r="H562" i="1"/>
  <c r="G562" i="1"/>
  <c r="H561" i="1"/>
  <c r="G561" i="1"/>
  <c r="H560" i="1"/>
  <c r="G560" i="1"/>
  <c r="H559" i="1"/>
  <c r="G559" i="1"/>
  <c r="H558" i="1"/>
  <c r="G558" i="1"/>
  <c r="H557" i="1"/>
  <c r="G557" i="1"/>
  <c r="H556" i="1"/>
  <c r="G556" i="1"/>
  <c r="H555" i="1"/>
  <c r="G555" i="1"/>
  <c r="H554" i="1"/>
  <c r="G554" i="1"/>
  <c r="H553" i="1"/>
  <c r="G553" i="1"/>
  <c r="H552" i="1"/>
  <c r="G552" i="1"/>
  <c r="H551" i="1"/>
  <c r="G551" i="1"/>
  <c r="H550" i="1"/>
  <c r="G550" i="1"/>
  <c r="H549" i="1"/>
  <c r="G549" i="1"/>
  <c r="H548" i="1"/>
  <c r="G548" i="1"/>
  <c r="H547" i="1"/>
  <c r="G547" i="1"/>
  <c r="H546" i="1"/>
  <c r="G546" i="1"/>
  <c r="H545" i="1"/>
  <c r="G545" i="1"/>
  <c r="H544" i="1"/>
  <c r="G544" i="1"/>
  <c r="H543" i="1"/>
  <c r="G543" i="1"/>
  <c r="H542" i="1"/>
  <c r="G542" i="1"/>
  <c r="H541" i="1"/>
  <c r="G541" i="1"/>
  <c r="H540" i="1"/>
  <c r="G540" i="1"/>
  <c r="H539" i="1"/>
  <c r="G539" i="1"/>
  <c r="H538" i="1"/>
  <c r="G538" i="1"/>
  <c r="H537" i="1"/>
  <c r="G537" i="1"/>
  <c r="H536" i="1"/>
  <c r="G536" i="1"/>
  <c r="H535" i="1"/>
  <c r="G535" i="1"/>
  <c r="H534" i="1"/>
  <c r="G534" i="1"/>
  <c r="H533" i="1"/>
  <c r="G533" i="1"/>
  <c r="H532" i="1"/>
  <c r="G532" i="1"/>
  <c r="H531" i="1"/>
  <c r="G531" i="1"/>
  <c r="H530" i="1"/>
  <c r="G530" i="1"/>
  <c r="H529" i="1"/>
  <c r="G529" i="1"/>
  <c r="H528" i="1"/>
  <c r="G528" i="1"/>
  <c r="H527" i="1"/>
  <c r="G527" i="1"/>
  <c r="H526" i="1"/>
  <c r="G526" i="1"/>
  <c r="H525" i="1"/>
  <c r="G525" i="1"/>
  <c r="H524" i="1"/>
  <c r="G524" i="1"/>
  <c r="H523" i="1"/>
  <c r="G523" i="1"/>
  <c r="H522" i="1"/>
  <c r="G522" i="1"/>
  <c r="H521" i="1"/>
  <c r="G521" i="1"/>
  <c r="H520" i="1"/>
  <c r="G520" i="1"/>
  <c r="H519" i="1"/>
  <c r="G519" i="1"/>
  <c r="H518" i="1"/>
  <c r="G518" i="1"/>
  <c r="H517" i="1"/>
  <c r="G517" i="1"/>
  <c r="H516" i="1"/>
  <c r="G516" i="1"/>
  <c r="H515" i="1"/>
  <c r="G515" i="1"/>
  <c r="H514" i="1"/>
  <c r="G514" i="1"/>
  <c r="H513" i="1"/>
  <c r="G513" i="1"/>
  <c r="H512" i="1"/>
  <c r="G512" i="1"/>
  <c r="H511" i="1"/>
  <c r="G511" i="1"/>
  <c r="H510" i="1"/>
  <c r="G510" i="1"/>
  <c r="H509" i="1"/>
  <c r="G509" i="1"/>
  <c r="H508" i="1"/>
  <c r="G508" i="1"/>
  <c r="H507" i="1"/>
  <c r="G507" i="1"/>
  <c r="H506" i="1"/>
  <c r="G506" i="1"/>
  <c r="H505" i="1"/>
  <c r="G505" i="1"/>
  <c r="H504" i="1"/>
  <c r="G504" i="1"/>
  <c r="H503" i="1"/>
  <c r="G503" i="1"/>
  <c r="H502" i="1"/>
  <c r="G502" i="1"/>
  <c r="H501" i="1"/>
  <c r="G501" i="1"/>
  <c r="H500" i="1"/>
  <c r="G500" i="1"/>
  <c r="H499" i="1"/>
  <c r="G499" i="1"/>
  <c r="H498" i="1"/>
  <c r="G498" i="1"/>
  <c r="H497" i="1"/>
  <c r="G497" i="1"/>
  <c r="H496" i="1"/>
  <c r="G496" i="1"/>
  <c r="H495" i="1"/>
  <c r="G495" i="1"/>
  <c r="H494" i="1"/>
  <c r="G494" i="1"/>
  <c r="H493" i="1"/>
  <c r="G493" i="1"/>
  <c r="H492" i="1"/>
  <c r="G492" i="1"/>
  <c r="H491" i="1"/>
  <c r="G491" i="1"/>
  <c r="H490" i="1"/>
  <c r="G490" i="1"/>
  <c r="H489" i="1"/>
  <c r="G489" i="1"/>
  <c r="H488" i="1"/>
  <c r="G488" i="1"/>
  <c r="H487" i="1"/>
  <c r="G487" i="1"/>
  <c r="H486" i="1"/>
  <c r="G486" i="1"/>
  <c r="H485" i="1"/>
  <c r="G485" i="1"/>
  <c r="H484" i="1"/>
  <c r="G484" i="1"/>
  <c r="H483" i="1"/>
  <c r="G483" i="1"/>
  <c r="H482" i="1"/>
  <c r="G482" i="1"/>
  <c r="H481" i="1"/>
  <c r="G481" i="1"/>
  <c r="H480" i="1"/>
  <c r="G480" i="1"/>
  <c r="H479" i="1"/>
  <c r="G479" i="1"/>
  <c r="H478" i="1"/>
  <c r="G478" i="1"/>
  <c r="H477" i="1"/>
  <c r="G477" i="1"/>
  <c r="H476" i="1"/>
  <c r="G476" i="1"/>
  <c r="H475" i="1"/>
  <c r="G475" i="1"/>
  <c r="H474" i="1"/>
  <c r="G474" i="1"/>
  <c r="H473" i="1"/>
  <c r="G473" i="1"/>
  <c r="H472" i="1"/>
  <c r="G472" i="1"/>
  <c r="H471" i="1"/>
  <c r="G471" i="1"/>
  <c r="H470" i="1"/>
  <c r="G470" i="1"/>
  <c r="H469" i="1"/>
  <c r="G469" i="1"/>
  <c r="H468" i="1"/>
  <c r="G468" i="1"/>
  <c r="H467" i="1"/>
  <c r="G467" i="1"/>
  <c r="H466" i="1"/>
  <c r="G466" i="1"/>
  <c r="H465" i="1"/>
  <c r="G465" i="1"/>
  <c r="H464" i="1"/>
  <c r="G464" i="1"/>
  <c r="H463" i="1"/>
  <c r="G463" i="1"/>
  <c r="H462" i="1"/>
  <c r="G462" i="1"/>
  <c r="H461" i="1"/>
  <c r="G461" i="1"/>
  <c r="H460" i="1"/>
  <c r="G460" i="1"/>
  <c r="H459" i="1"/>
  <c r="G459" i="1"/>
  <c r="H458" i="1"/>
  <c r="G458" i="1"/>
  <c r="H457" i="1"/>
  <c r="G457" i="1"/>
  <c r="H456" i="1"/>
  <c r="G456" i="1"/>
  <c r="H455" i="1"/>
  <c r="G455" i="1"/>
  <c r="H454" i="1"/>
  <c r="G454" i="1"/>
  <c r="H453" i="1"/>
  <c r="G453" i="1"/>
  <c r="H452" i="1"/>
  <c r="G452" i="1"/>
  <c r="H451" i="1"/>
  <c r="G451" i="1"/>
  <c r="H450" i="1"/>
  <c r="G450" i="1"/>
  <c r="H449" i="1"/>
  <c r="G449" i="1"/>
  <c r="H448" i="1"/>
  <c r="G448" i="1"/>
  <c r="H447" i="1"/>
  <c r="G447" i="1"/>
  <c r="H446" i="1"/>
  <c r="G446" i="1"/>
  <c r="H445" i="1"/>
  <c r="G445" i="1"/>
  <c r="H444" i="1"/>
  <c r="G444" i="1"/>
  <c r="H443" i="1"/>
  <c r="G443" i="1"/>
  <c r="H442" i="1"/>
  <c r="G442" i="1"/>
  <c r="H441" i="1"/>
  <c r="G441" i="1"/>
  <c r="H440" i="1"/>
  <c r="G440" i="1"/>
  <c r="H439" i="1"/>
  <c r="G439" i="1"/>
  <c r="H438" i="1"/>
  <c r="G438" i="1"/>
  <c r="H437" i="1"/>
  <c r="G437" i="1"/>
  <c r="H436" i="1"/>
  <c r="G436" i="1"/>
  <c r="H435" i="1"/>
  <c r="G435" i="1"/>
  <c r="H434" i="1"/>
  <c r="G434" i="1"/>
  <c r="H433" i="1"/>
  <c r="G433" i="1"/>
  <c r="H432" i="1"/>
  <c r="G432" i="1"/>
  <c r="H431" i="1"/>
  <c r="G431" i="1"/>
  <c r="H430" i="1"/>
  <c r="G430" i="1"/>
  <c r="H429" i="1"/>
  <c r="G429" i="1"/>
  <c r="H428" i="1"/>
  <c r="G428" i="1"/>
  <c r="H427" i="1"/>
  <c r="G427" i="1"/>
  <c r="H426" i="1"/>
  <c r="G426" i="1"/>
  <c r="H425" i="1"/>
  <c r="G425" i="1"/>
  <c r="H424" i="1"/>
  <c r="G424" i="1"/>
  <c r="H423" i="1"/>
  <c r="G423" i="1"/>
  <c r="H422" i="1"/>
  <c r="G422" i="1"/>
  <c r="H421" i="1"/>
  <c r="G421" i="1"/>
  <c r="H420" i="1"/>
  <c r="G420" i="1"/>
  <c r="H419" i="1"/>
  <c r="G419" i="1"/>
  <c r="H418" i="1"/>
  <c r="G418" i="1"/>
  <c r="H417" i="1"/>
  <c r="G417" i="1"/>
  <c r="H416" i="1"/>
  <c r="G416" i="1"/>
  <c r="H415" i="1"/>
  <c r="G415" i="1"/>
  <c r="H414" i="1"/>
  <c r="G414" i="1"/>
  <c r="H413" i="1"/>
  <c r="G413" i="1"/>
  <c r="H412" i="1"/>
  <c r="G412" i="1"/>
  <c r="H411" i="1"/>
  <c r="G411" i="1"/>
  <c r="H410" i="1"/>
  <c r="G410" i="1"/>
  <c r="H409" i="1"/>
  <c r="G409" i="1"/>
  <c r="H408" i="1"/>
  <c r="G408" i="1"/>
  <c r="H407" i="1"/>
  <c r="G407" i="1"/>
  <c r="H406" i="1"/>
  <c r="G406" i="1"/>
  <c r="H405" i="1"/>
  <c r="G405" i="1"/>
  <c r="H404" i="1"/>
  <c r="G404" i="1"/>
  <c r="H403" i="1"/>
  <c r="G403" i="1"/>
  <c r="H402" i="1"/>
  <c r="G402" i="1"/>
  <c r="H401" i="1"/>
  <c r="G401" i="1"/>
  <c r="H400" i="1"/>
  <c r="G400" i="1"/>
  <c r="H399" i="1"/>
  <c r="G399" i="1"/>
  <c r="H398" i="1"/>
  <c r="G398" i="1"/>
  <c r="H397" i="1"/>
  <c r="G397" i="1"/>
  <c r="H396" i="1"/>
  <c r="G396" i="1"/>
  <c r="H395" i="1"/>
  <c r="G395" i="1"/>
  <c r="H394" i="1"/>
  <c r="G394" i="1"/>
  <c r="H393" i="1"/>
  <c r="G393" i="1"/>
  <c r="H392" i="1"/>
  <c r="G392" i="1"/>
  <c r="H391" i="1"/>
  <c r="G391" i="1"/>
  <c r="H390" i="1"/>
  <c r="G390" i="1"/>
  <c r="H389" i="1"/>
  <c r="G389" i="1"/>
  <c r="H388" i="1"/>
  <c r="G388" i="1"/>
  <c r="H387" i="1"/>
  <c r="G387" i="1"/>
  <c r="H386" i="1"/>
  <c r="G386" i="1"/>
  <c r="H385" i="1"/>
  <c r="G385" i="1"/>
  <c r="H384" i="1"/>
  <c r="G384" i="1"/>
  <c r="H383" i="1"/>
  <c r="G383" i="1"/>
  <c r="H382" i="1"/>
  <c r="G382" i="1"/>
  <c r="H381" i="1"/>
  <c r="G381" i="1"/>
  <c r="H380" i="1"/>
  <c r="G380" i="1"/>
  <c r="H379" i="1"/>
  <c r="G379" i="1"/>
  <c r="H378" i="1"/>
  <c r="G378" i="1"/>
  <c r="H377" i="1"/>
  <c r="G377" i="1"/>
  <c r="H376" i="1"/>
  <c r="G376" i="1"/>
  <c r="H375" i="1"/>
  <c r="G375" i="1"/>
  <c r="H374" i="1"/>
  <c r="G374" i="1"/>
  <c r="H373" i="1"/>
  <c r="G373" i="1"/>
  <c r="H372" i="1"/>
  <c r="G372" i="1"/>
  <c r="H371" i="1"/>
  <c r="G371" i="1"/>
  <c r="H370" i="1"/>
  <c r="G370" i="1"/>
  <c r="H369" i="1"/>
  <c r="G369" i="1"/>
  <c r="H368" i="1"/>
  <c r="G368" i="1"/>
  <c r="H367" i="1"/>
  <c r="G367" i="1"/>
  <c r="H366" i="1"/>
  <c r="G366" i="1"/>
  <c r="H365" i="1"/>
  <c r="G365" i="1"/>
  <c r="H364" i="1"/>
  <c r="G364" i="1"/>
  <c r="H363" i="1"/>
  <c r="G363" i="1"/>
  <c r="H362" i="1"/>
  <c r="G362" i="1"/>
  <c r="H361" i="1"/>
  <c r="G361" i="1"/>
  <c r="H360" i="1"/>
  <c r="G360" i="1"/>
  <c r="H359" i="1"/>
  <c r="G359" i="1"/>
  <c r="H358" i="1"/>
  <c r="G358" i="1"/>
  <c r="H357" i="1"/>
  <c r="G357" i="1"/>
  <c r="H356" i="1"/>
  <c r="G356" i="1"/>
  <c r="H355" i="1"/>
  <c r="G355" i="1"/>
  <c r="H354" i="1"/>
  <c r="G354" i="1"/>
  <c r="H353" i="1"/>
  <c r="G353" i="1"/>
  <c r="H352" i="1"/>
  <c r="G352" i="1"/>
  <c r="H351" i="1"/>
  <c r="G351" i="1"/>
  <c r="H350" i="1"/>
  <c r="G350" i="1"/>
  <c r="H349" i="1"/>
  <c r="G349" i="1"/>
  <c r="H348" i="1"/>
  <c r="G348" i="1"/>
  <c r="H347" i="1"/>
  <c r="G347" i="1"/>
  <c r="H346" i="1"/>
  <c r="G346" i="1"/>
  <c r="H345" i="1"/>
  <c r="G345" i="1"/>
  <c r="H344" i="1"/>
  <c r="G344" i="1"/>
  <c r="H343" i="1"/>
  <c r="G343" i="1"/>
  <c r="H342" i="1"/>
  <c r="G342" i="1"/>
  <c r="H341" i="1"/>
  <c r="G341" i="1"/>
  <c r="H340" i="1"/>
  <c r="G340" i="1"/>
  <c r="H339" i="1"/>
  <c r="G339" i="1"/>
  <c r="H338" i="1"/>
  <c r="G338" i="1"/>
  <c r="H337" i="1"/>
  <c r="G337" i="1"/>
  <c r="H336" i="1"/>
  <c r="G336" i="1"/>
  <c r="H335" i="1"/>
  <c r="G335" i="1"/>
  <c r="H334" i="1"/>
  <c r="G334" i="1"/>
  <c r="H333" i="1"/>
  <c r="G333" i="1"/>
  <c r="H332" i="1"/>
  <c r="G332" i="1"/>
  <c r="H331" i="1"/>
  <c r="G331" i="1"/>
  <c r="H330" i="1"/>
  <c r="G330" i="1"/>
  <c r="H329" i="1"/>
  <c r="G329" i="1"/>
  <c r="H328" i="1"/>
  <c r="G328" i="1"/>
  <c r="H327" i="1"/>
  <c r="G327" i="1"/>
  <c r="H326" i="1"/>
  <c r="G326" i="1"/>
  <c r="H325" i="1"/>
  <c r="G325" i="1"/>
  <c r="H324" i="1"/>
  <c r="G324" i="1"/>
  <c r="H323" i="1"/>
  <c r="G323" i="1"/>
  <c r="H322" i="1"/>
  <c r="G322" i="1"/>
  <c r="H321" i="1"/>
  <c r="G321" i="1"/>
  <c r="H320" i="1"/>
  <c r="G320" i="1"/>
  <c r="H319" i="1"/>
  <c r="G319" i="1"/>
  <c r="H318" i="1"/>
  <c r="G318" i="1"/>
  <c r="H317" i="1"/>
  <c r="G317" i="1"/>
  <c r="H316" i="1"/>
  <c r="G316" i="1"/>
  <c r="H315" i="1"/>
  <c r="G315" i="1"/>
  <c r="H314" i="1"/>
  <c r="G314" i="1"/>
  <c r="H313" i="1"/>
  <c r="G313" i="1"/>
  <c r="H312" i="1"/>
  <c r="G312" i="1"/>
  <c r="H311" i="1"/>
  <c r="G311" i="1"/>
  <c r="H310" i="1"/>
  <c r="G310" i="1"/>
  <c r="H309" i="1"/>
  <c r="G309" i="1"/>
  <c r="H308" i="1"/>
  <c r="G308" i="1"/>
  <c r="H307" i="1"/>
  <c r="G307" i="1"/>
  <c r="H306" i="1"/>
  <c r="G306" i="1"/>
  <c r="H305" i="1"/>
  <c r="G305" i="1"/>
  <c r="H304" i="1"/>
  <c r="G304" i="1"/>
  <c r="H303" i="1"/>
  <c r="G303" i="1"/>
  <c r="H302" i="1"/>
  <c r="G302" i="1"/>
  <c r="H301" i="1"/>
  <c r="G301" i="1"/>
  <c r="H300" i="1"/>
  <c r="G300" i="1"/>
  <c r="H299" i="1"/>
  <c r="G299" i="1"/>
  <c r="H298" i="1"/>
  <c r="G298" i="1"/>
  <c r="H297" i="1"/>
  <c r="G297" i="1"/>
  <c r="H296" i="1"/>
  <c r="G296" i="1"/>
  <c r="H295" i="1"/>
  <c r="G295" i="1"/>
  <c r="H294" i="1"/>
  <c r="G294" i="1"/>
  <c r="H293" i="1"/>
  <c r="G293" i="1"/>
  <c r="H292" i="1"/>
  <c r="G292" i="1"/>
  <c r="H291" i="1"/>
  <c r="G291" i="1"/>
  <c r="H290" i="1"/>
  <c r="G290" i="1"/>
  <c r="H289" i="1"/>
  <c r="G289" i="1"/>
  <c r="H288" i="1"/>
  <c r="G288" i="1"/>
  <c r="H287" i="1"/>
  <c r="G287" i="1"/>
  <c r="H286" i="1"/>
  <c r="G286" i="1"/>
  <c r="H285" i="1"/>
  <c r="G285" i="1"/>
  <c r="H284" i="1"/>
  <c r="G284" i="1"/>
  <c r="H283" i="1"/>
  <c r="G283" i="1"/>
  <c r="H282" i="1"/>
  <c r="G282" i="1"/>
  <c r="H281" i="1"/>
  <c r="G281" i="1"/>
  <c r="H280" i="1"/>
  <c r="G280" i="1"/>
  <c r="H279" i="1"/>
  <c r="G279" i="1"/>
  <c r="H278" i="1"/>
  <c r="G278" i="1"/>
  <c r="H277" i="1"/>
  <c r="G277" i="1"/>
  <c r="H276" i="1"/>
  <c r="G276" i="1"/>
  <c r="H275" i="1"/>
  <c r="G275" i="1"/>
  <c r="H274" i="1"/>
  <c r="G274" i="1"/>
  <c r="H273" i="1"/>
  <c r="G273" i="1"/>
  <c r="H272" i="1"/>
  <c r="G272" i="1"/>
  <c r="H271" i="1"/>
  <c r="G271" i="1"/>
  <c r="H270" i="1"/>
  <c r="G270" i="1"/>
  <c r="H269" i="1"/>
  <c r="G269" i="1"/>
  <c r="H268" i="1"/>
  <c r="G268" i="1"/>
  <c r="H267" i="1"/>
  <c r="G267" i="1"/>
  <c r="H266" i="1"/>
  <c r="G266" i="1"/>
  <c r="H265" i="1"/>
  <c r="G265" i="1"/>
  <c r="H264" i="1"/>
  <c r="G264" i="1"/>
  <c r="H263" i="1"/>
  <c r="G263" i="1"/>
  <c r="H262" i="1"/>
  <c r="G262" i="1"/>
  <c r="H261" i="1"/>
  <c r="G261" i="1"/>
  <c r="H260" i="1"/>
  <c r="G260" i="1"/>
  <c r="H259" i="1"/>
  <c r="G259" i="1"/>
  <c r="H258" i="1"/>
  <c r="G258" i="1"/>
  <c r="H257" i="1"/>
  <c r="G257" i="1"/>
  <c r="H256" i="1"/>
  <c r="G256" i="1"/>
  <c r="H255" i="1"/>
  <c r="G255" i="1"/>
  <c r="H254" i="1"/>
  <c r="G254" i="1"/>
  <c r="H253" i="1"/>
  <c r="G253" i="1"/>
  <c r="H252" i="1"/>
  <c r="G252" i="1"/>
  <c r="H251" i="1"/>
  <c r="G251" i="1"/>
  <c r="H250" i="1"/>
  <c r="G250" i="1"/>
  <c r="H249" i="1"/>
  <c r="G249" i="1"/>
  <c r="H248" i="1"/>
  <c r="G248" i="1"/>
  <c r="H247" i="1"/>
  <c r="G247" i="1"/>
  <c r="H246" i="1"/>
  <c r="G246" i="1"/>
  <c r="H245" i="1"/>
  <c r="G245" i="1"/>
  <c r="H244" i="1"/>
  <c r="G244" i="1"/>
  <c r="H243" i="1"/>
  <c r="G243" i="1"/>
  <c r="H242" i="1"/>
  <c r="G242" i="1"/>
  <c r="H241" i="1"/>
  <c r="G241" i="1"/>
  <c r="H240" i="1"/>
  <c r="G240" i="1"/>
  <c r="H239" i="1"/>
  <c r="G239" i="1"/>
  <c r="H238" i="1"/>
  <c r="G238" i="1"/>
  <c r="H237" i="1"/>
  <c r="G237" i="1"/>
  <c r="H236" i="1"/>
  <c r="G236" i="1"/>
  <c r="H235" i="1"/>
  <c r="G235" i="1"/>
  <c r="H234" i="1"/>
  <c r="G234" i="1"/>
  <c r="H233" i="1"/>
  <c r="G233" i="1"/>
  <c r="H232" i="1"/>
  <c r="G232" i="1"/>
  <c r="H231" i="1"/>
  <c r="G231" i="1"/>
  <c r="H230" i="1"/>
  <c r="G230" i="1"/>
  <c r="H229" i="1"/>
  <c r="G229" i="1"/>
  <c r="H228" i="1"/>
  <c r="G228" i="1"/>
  <c r="H227" i="1"/>
  <c r="G227" i="1"/>
  <c r="H226" i="1"/>
  <c r="G226" i="1"/>
  <c r="H225" i="1"/>
  <c r="G225" i="1"/>
  <c r="H224" i="1"/>
  <c r="G224" i="1"/>
  <c r="H223" i="1"/>
  <c r="G223" i="1"/>
  <c r="H222" i="1"/>
  <c r="G222" i="1"/>
  <c r="H221" i="1"/>
  <c r="G221" i="1"/>
  <c r="H220" i="1"/>
  <c r="G220" i="1"/>
  <c r="H219" i="1"/>
  <c r="G219" i="1"/>
  <c r="H218" i="1"/>
  <c r="G218" i="1"/>
  <c r="H217" i="1"/>
  <c r="G217" i="1"/>
  <c r="H216" i="1"/>
  <c r="G216" i="1"/>
  <c r="H215" i="1"/>
  <c r="G215" i="1"/>
  <c r="H214" i="1"/>
  <c r="G214" i="1"/>
  <c r="H213" i="1"/>
  <c r="G213" i="1"/>
  <c r="H212" i="1"/>
  <c r="G212" i="1"/>
  <c r="H211" i="1"/>
  <c r="G211" i="1"/>
  <c r="H210" i="1"/>
  <c r="G210" i="1"/>
  <c r="H209" i="1"/>
  <c r="G209" i="1"/>
  <c r="H208" i="1"/>
  <c r="G208" i="1"/>
  <c r="H207" i="1"/>
  <c r="G207" i="1"/>
  <c r="H206" i="1"/>
  <c r="G206" i="1"/>
  <c r="H205" i="1"/>
  <c r="G205" i="1"/>
  <c r="H204" i="1"/>
  <c r="G204" i="1"/>
  <c r="H203" i="1"/>
  <c r="G203" i="1"/>
  <c r="H202" i="1"/>
  <c r="G202" i="1"/>
  <c r="H201" i="1"/>
  <c r="G201" i="1"/>
  <c r="H200" i="1"/>
  <c r="G200" i="1"/>
  <c r="H199" i="1"/>
  <c r="G199" i="1"/>
  <c r="H198" i="1"/>
  <c r="G198" i="1"/>
  <c r="H197" i="1"/>
  <c r="G197" i="1"/>
  <c r="H196" i="1"/>
  <c r="G196" i="1"/>
  <c r="H195" i="1"/>
  <c r="G195" i="1"/>
  <c r="H194" i="1"/>
  <c r="G194" i="1"/>
  <c r="H193" i="1"/>
  <c r="G193" i="1"/>
  <c r="H192" i="1"/>
  <c r="G192" i="1"/>
  <c r="H191" i="1"/>
  <c r="G191" i="1"/>
  <c r="H190" i="1"/>
  <c r="G190" i="1"/>
  <c r="H189" i="1"/>
  <c r="G189" i="1"/>
  <c r="H188" i="1"/>
  <c r="G188" i="1"/>
  <c r="H187" i="1"/>
  <c r="G187" i="1"/>
  <c r="H186" i="1"/>
  <c r="G186" i="1"/>
  <c r="H185" i="1"/>
  <c r="G185" i="1"/>
  <c r="H184" i="1"/>
  <c r="G184" i="1"/>
  <c r="H183" i="1"/>
  <c r="G183" i="1"/>
  <c r="H182" i="1"/>
  <c r="G182" i="1"/>
  <c r="H181" i="1"/>
  <c r="G181" i="1"/>
  <c r="H180" i="1"/>
  <c r="G180" i="1"/>
  <c r="H179" i="1"/>
  <c r="G179" i="1"/>
  <c r="H178" i="1"/>
  <c r="G178" i="1"/>
  <c r="H177" i="1"/>
  <c r="G177" i="1"/>
  <c r="H176" i="1"/>
  <c r="G176" i="1"/>
  <c r="H175" i="1"/>
  <c r="G175" i="1"/>
  <c r="H174" i="1"/>
  <c r="G174" i="1"/>
  <c r="H173" i="1"/>
  <c r="G173" i="1"/>
  <c r="H172" i="1"/>
  <c r="G172" i="1"/>
  <c r="H171" i="1"/>
  <c r="G171" i="1"/>
  <c r="H170" i="1"/>
  <c r="G170" i="1"/>
  <c r="H169" i="1"/>
  <c r="G169" i="1"/>
  <c r="H168" i="1"/>
  <c r="G168" i="1"/>
  <c r="H167" i="1"/>
  <c r="G167" i="1"/>
  <c r="H166" i="1"/>
  <c r="G166" i="1"/>
  <c r="H165" i="1"/>
  <c r="G165" i="1"/>
  <c r="H164" i="1"/>
  <c r="G164" i="1"/>
  <c r="H163" i="1"/>
  <c r="G163" i="1"/>
  <c r="H162" i="1"/>
  <c r="G162" i="1"/>
  <c r="H161" i="1"/>
  <c r="G161" i="1"/>
  <c r="H160" i="1"/>
  <c r="G160" i="1"/>
  <c r="H159" i="1"/>
  <c r="G159" i="1"/>
  <c r="H158" i="1"/>
  <c r="G158" i="1"/>
  <c r="H157" i="1"/>
  <c r="G157" i="1"/>
  <c r="H156" i="1"/>
  <c r="G156" i="1"/>
  <c r="H155" i="1"/>
  <c r="G155" i="1"/>
  <c r="H154" i="1"/>
  <c r="G154" i="1"/>
  <c r="H153" i="1"/>
  <c r="G153" i="1"/>
  <c r="H152" i="1"/>
  <c r="G152" i="1"/>
  <c r="H151" i="1"/>
  <c r="G151" i="1"/>
  <c r="H150" i="1"/>
  <c r="G150" i="1"/>
  <c r="H149" i="1"/>
  <c r="G149" i="1"/>
  <c r="H148" i="1"/>
  <c r="G148" i="1"/>
  <c r="H147" i="1"/>
  <c r="G147" i="1"/>
  <c r="H146" i="1"/>
  <c r="G146" i="1"/>
  <c r="H145" i="1"/>
  <c r="G145" i="1"/>
  <c r="H144" i="1"/>
  <c r="G144" i="1"/>
  <c r="H143" i="1"/>
  <c r="G143" i="1"/>
  <c r="H142" i="1"/>
  <c r="G142" i="1"/>
  <c r="H141" i="1"/>
  <c r="G141" i="1"/>
  <c r="H140" i="1"/>
  <c r="G140" i="1"/>
  <c r="H139" i="1"/>
  <c r="G139" i="1"/>
  <c r="H138" i="1"/>
  <c r="G138" i="1"/>
  <c r="H137" i="1"/>
  <c r="G137" i="1"/>
  <c r="H136" i="1"/>
  <c r="G136" i="1"/>
  <c r="H135" i="1"/>
  <c r="G135" i="1"/>
  <c r="H134" i="1"/>
  <c r="G134" i="1"/>
  <c r="H133" i="1"/>
  <c r="G133" i="1"/>
  <c r="H132" i="1"/>
  <c r="G132" i="1"/>
  <c r="H131" i="1"/>
  <c r="G131" i="1"/>
  <c r="H130" i="1"/>
  <c r="G130" i="1"/>
  <c r="H129" i="1"/>
  <c r="G129" i="1"/>
  <c r="H128" i="1"/>
  <c r="G128" i="1"/>
  <c r="H127" i="1"/>
  <c r="G127" i="1"/>
  <c r="H126" i="1"/>
  <c r="G126" i="1"/>
  <c r="H125" i="1"/>
  <c r="G125" i="1"/>
  <c r="H124" i="1"/>
  <c r="G124" i="1"/>
  <c r="H123" i="1"/>
  <c r="G123" i="1"/>
  <c r="H122" i="1"/>
  <c r="G122" i="1"/>
  <c r="H121" i="1"/>
  <c r="G121" i="1"/>
  <c r="H120" i="1"/>
  <c r="G120" i="1"/>
  <c r="H119" i="1"/>
  <c r="G119" i="1"/>
  <c r="H118" i="1"/>
  <c r="G118" i="1"/>
  <c r="H117" i="1"/>
  <c r="G117" i="1"/>
  <c r="H116" i="1"/>
  <c r="G116" i="1"/>
  <c r="H115" i="1"/>
  <c r="G115" i="1"/>
  <c r="H114" i="1"/>
  <c r="G114" i="1"/>
  <c r="H113" i="1"/>
  <c r="G113" i="1"/>
  <c r="H112" i="1"/>
  <c r="G112" i="1"/>
  <c r="H111" i="1"/>
  <c r="G111" i="1"/>
  <c r="H110" i="1"/>
  <c r="G110" i="1"/>
  <c r="H109" i="1"/>
  <c r="G109" i="1"/>
  <c r="H108" i="1"/>
  <c r="G108" i="1"/>
  <c r="H107" i="1"/>
  <c r="G107" i="1"/>
  <c r="H106" i="1"/>
  <c r="G106" i="1"/>
  <c r="H105" i="1"/>
  <c r="G105" i="1"/>
  <c r="H104" i="1"/>
  <c r="G104" i="1"/>
  <c r="H103" i="1"/>
  <c r="G103" i="1"/>
  <c r="H102" i="1"/>
  <c r="G102" i="1"/>
  <c r="H101" i="1"/>
  <c r="G101" i="1"/>
  <c r="H100" i="1"/>
  <c r="G100" i="1"/>
  <c r="H99" i="1"/>
  <c r="G99" i="1"/>
  <c r="H98" i="1"/>
  <c r="G98" i="1"/>
  <c r="H97" i="1"/>
  <c r="G97" i="1"/>
  <c r="H96" i="1"/>
  <c r="G96" i="1"/>
  <c r="H95" i="1"/>
  <c r="G95" i="1"/>
  <c r="H94" i="1"/>
  <c r="G94" i="1"/>
  <c r="H93" i="1"/>
  <c r="G93" i="1"/>
  <c r="H92" i="1"/>
  <c r="G92" i="1"/>
  <c r="H91" i="1"/>
  <c r="G91" i="1"/>
  <c r="H90" i="1"/>
  <c r="G90" i="1"/>
  <c r="H89" i="1"/>
  <c r="G89" i="1"/>
  <c r="H88" i="1"/>
  <c r="G88" i="1"/>
  <c r="H87" i="1"/>
  <c r="G87" i="1"/>
  <c r="H86" i="1"/>
  <c r="G86" i="1"/>
  <c r="H85" i="1"/>
  <c r="G85" i="1"/>
  <c r="H84" i="1"/>
  <c r="G84" i="1"/>
  <c r="H83" i="1"/>
  <c r="G83" i="1"/>
  <c r="H82" i="1"/>
  <c r="G82" i="1"/>
  <c r="H81" i="1"/>
  <c r="G81" i="1"/>
  <c r="H80" i="1"/>
  <c r="G80" i="1"/>
  <c r="H79" i="1"/>
  <c r="G79" i="1"/>
  <c r="H78" i="1"/>
  <c r="G78" i="1"/>
  <c r="H77" i="1"/>
  <c r="G77" i="1"/>
  <c r="H76" i="1"/>
  <c r="G76" i="1"/>
  <c r="H75" i="1"/>
  <c r="G75" i="1"/>
  <c r="H74" i="1"/>
  <c r="G74" i="1"/>
  <c r="H73" i="1"/>
  <c r="G73" i="1"/>
  <c r="H72" i="1"/>
  <c r="G72" i="1"/>
  <c r="H71" i="1"/>
  <c r="G71" i="1"/>
  <c r="H70" i="1"/>
  <c r="G70" i="1"/>
  <c r="H69" i="1"/>
  <c r="G69" i="1"/>
  <c r="H68" i="1"/>
  <c r="G68" i="1"/>
  <c r="H67" i="1"/>
  <c r="G67" i="1"/>
  <c r="H66" i="1"/>
  <c r="G66" i="1"/>
  <c r="H65" i="1"/>
  <c r="G65" i="1"/>
  <c r="H64" i="1"/>
  <c r="G64" i="1"/>
  <c r="H63" i="1"/>
  <c r="G63" i="1"/>
  <c r="H62" i="1"/>
  <c r="G62" i="1"/>
  <c r="H61" i="1"/>
  <c r="G61" i="1"/>
  <c r="H60" i="1"/>
  <c r="G60" i="1"/>
  <c r="H59" i="1"/>
  <c r="G59" i="1"/>
  <c r="H58" i="1"/>
  <c r="G58" i="1"/>
  <c r="H57" i="1"/>
  <c r="G57" i="1"/>
  <c r="H56" i="1"/>
  <c r="G56" i="1"/>
  <c r="H55" i="1"/>
  <c r="G55" i="1"/>
  <c r="H54" i="1"/>
  <c r="G54" i="1"/>
  <c r="H53" i="1"/>
  <c r="G53" i="1"/>
  <c r="H52" i="1"/>
  <c r="G52" i="1"/>
  <c r="H51" i="1"/>
  <c r="G51" i="1"/>
  <c r="H50" i="1"/>
  <c r="G50" i="1"/>
  <c r="H49" i="1"/>
  <c r="G49" i="1"/>
  <c r="H48" i="1"/>
  <c r="G48" i="1"/>
  <c r="H47" i="1"/>
  <c r="G47" i="1"/>
  <c r="H46" i="1"/>
  <c r="G46" i="1"/>
  <c r="H45" i="1"/>
  <c r="G45" i="1"/>
  <c r="H44" i="1"/>
  <c r="G44" i="1"/>
  <c r="H43" i="1"/>
  <c r="G43" i="1"/>
  <c r="H42" i="1"/>
  <c r="G42" i="1"/>
  <c r="H41" i="1"/>
  <c r="G41" i="1"/>
  <c r="H40" i="1"/>
  <c r="G40" i="1"/>
  <c r="H39" i="1"/>
  <c r="G39" i="1"/>
  <c r="H38" i="1"/>
  <c r="G38" i="1"/>
  <c r="H37" i="1"/>
  <c r="G37" i="1"/>
  <c r="H36" i="1"/>
  <c r="G36" i="1"/>
  <c r="H35" i="1"/>
  <c r="G35" i="1"/>
  <c r="H34" i="1"/>
  <c r="G34" i="1"/>
  <c r="H33" i="1"/>
  <c r="G33" i="1"/>
  <c r="H32" i="1"/>
  <c r="G32" i="1"/>
  <c r="H31" i="1"/>
  <c r="G31" i="1"/>
  <c r="H30" i="1"/>
  <c r="G30" i="1"/>
  <c r="H29" i="1"/>
  <c r="G29" i="1"/>
  <c r="H28" i="1"/>
  <c r="G28" i="1"/>
  <c r="H27" i="1"/>
  <c r="G27" i="1"/>
  <c r="H26" i="1"/>
  <c r="G26" i="1"/>
  <c r="H25" i="1"/>
  <c r="G25" i="1"/>
  <c r="H24" i="1"/>
  <c r="G24" i="1"/>
  <c r="H23" i="1"/>
  <c r="G23" i="1"/>
  <c r="H22" i="1"/>
  <c r="G22" i="1"/>
  <c r="H21" i="1"/>
  <c r="G21" i="1"/>
  <c r="H20" i="1"/>
  <c r="G20" i="1"/>
  <c r="H19" i="1"/>
  <c r="G19" i="1"/>
  <c r="H18" i="1"/>
  <c r="G18" i="1"/>
  <c r="H17" i="1"/>
  <c r="G17" i="1"/>
  <c r="H16" i="1"/>
  <c r="G16" i="1"/>
  <c r="H15" i="1"/>
  <c r="G15" i="1"/>
  <c r="H14" i="1"/>
  <c r="G14" i="1"/>
  <c r="H13" i="1"/>
  <c r="G13" i="1"/>
  <c r="H12" i="1"/>
  <c r="G12" i="1"/>
  <c r="H11" i="1"/>
  <c r="G11" i="1"/>
  <c r="H10" i="1"/>
  <c r="G10" i="1"/>
  <c r="H9" i="1"/>
  <c r="G9" i="1"/>
  <c r="H8" i="1"/>
  <c r="G8" i="1"/>
  <c r="H7" i="1"/>
  <c r="G7" i="1"/>
  <c r="H6" i="1"/>
  <c r="G6" i="1"/>
  <c r="H5" i="1"/>
  <c r="G5" i="1"/>
  <c r="H4" i="1"/>
  <c r="G4" i="1"/>
  <c r="H3" i="1"/>
  <c r="G3" i="1"/>
  <c r="H2" i="1"/>
  <c r="G2" i="1"/>
  <c r="AK49" i="1"/>
  <c r="AJ49" i="1"/>
  <c r="AK48" i="1"/>
  <c r="AJ48" i="1"/>
  <c r="AK47" i="1"/>
  <c r="AJ47" i="1"/>
  <c r="G20" i="5"/>
  <c r="F20" i="5" s="1"/>
  <c r="AK46" i="1"/>
  <c r="AJ46" i="1"/>
  <c r="AK45" i="1"/>
  <c r="AJ45" i="1"/>
  <c r="G19" i="5"/>
  <c r="F19" i="5" s="1"/>
  <c r="AK44" i="1"/>
  <c r="AJ44" i="1"/>
  <c r="G13" i="5"/>
  <c r="F13" i="5" s="1"/>
  <c r="AK43" i="1"/>
  <c r="AJ43" i="1"/>
  <c r="G18" i="5"/>
  <c r="F18" i="5" s="1"/>
  <c r="AK42" i="1"/>
  <c r="AJ42" i="1"/>
  <c r="G17" i="5"/>
  <c r="F17" i="5" s="1"/>
  <c r="AK41" i="1"/>
  <c r="AJ41" i="1"/>
  <c r="G16" i="5"/>
  <c r="F16" i="5" s="1"/>
  <c r="AK40" i="1"/>
  <c r="AJ40" i="1"/>
  <c r="G15" i="5"/>
  <c r="F15" i="5" s="1"/>
  <c r="AK39" i="1"/>
  <c r="AJ39" i="1"/>
  <c r="G14" i="5"/>
  <c r="F14" i="5" s="1"/>
  <c r="AK38" i="1"/>
  <c r="AJ38" i="1"/>
  <c r="G12" i="5"/>
  <c r="F12" i="5" s="1"/>
  <c r="AK37" i="1"/>
  <c r="AJ37" i="1"/>
  <c r="G11" i="5"/>
  <c r="F11" i="5" s="1"/>
  <c r="AK36" i="1"/>
  <c r="AJ36" i="1"/>
  <c r="G10" i="5"/>
  <c r="F10" i="5" s="1"/>
  <c r="AK35" i="1"/>
  <c r="AJ35" i="1"/>
  <c r="G9" i="5"/>
  <c r="F9" i="5" s="1"/>
  <c r="AK34" i="1"/>
  <c r="AJ34" i="1"/>
  <c r="G8" i="5"/>
  <c r="F8" i="5" s="1"/>
  <c r="AK33" i="1"/>
  <c r="AJ33" i="1"/>
  <c r="G7" i="5"/>
  <c r="F7" i="5" s="1"/>
  <c r="AK32" i="1"/>
  <c r="AJ32" i="1"/>
  <c r="G6" i="5"/>
  <c r="F6" i="5" s="1"/>
  <c r="G5" i="5"/>
  <c r="I857" i="1" l="1"/>
  <c r="I853" i="1"/>
  <c r="I859" i="1"/>
  <c r="I827" i="1"/>
  <c r="I874" i="1"/>
  <c r="I803" i="1"/>
  <c r="I841" i="1"/>
  <c r="I809" i="1"/>
  <c r="I846" i="1"/>
  <c r="I900" i="1"/>
  <c r="I897" i="1"/>
  <c r="I895" i="1"/>
  <c r="I898" i="1"/>
  <c r="I896" i="1"/>
  <c r="D22" i="5"/>
  <c r="I901" i="1"/>
  <c r="I661" i="1"/>
  <c r="I894" i="1"/>
  <c r="I899" i="1"/>
  <c r="I893" i="1"/>
  <c r="F5" i="5"/>
  <c r="J22" i="5"/>
  <c r="I816" i="1"/>
  <c r="I823" i="1"/>
  <c r="I871" i="1"/>
  <c r="I806" i="1"/>
  <c r="I830" i="1"/>
  <c r="I866" i="1"/>
  <c r="I813" i="1"/>
  <c r="I819" i="1"/>
  <c r="I837" i="1"/>
  <c r="I861" i="1"/>
  <c r="I832" i="1"/>
  <c r="I844" i="1"/>
  <c r="I850" i="1"/>
  <c r="I789" i="1"/>
  <c r="I807" i="1"/>
  <c r="I825" i="1"/>
  <c r="I831" i="1"/>
  <c r="I843" i="1"/>
  <c r="I855" i="1"/>
  <c r="I867" i="1"/>
  <c r="I873" i="1"/>
  <c r="I546" i="1"/>
  <c r="I594" i="1"/>
  <c r="I600" i="1"/>
  <c r="I606" i="1"/>
  <c r="I618" i="1"/>
  <c r="I642" i="1"/>
  <c r="I678" i="1"/>
  <c r="I690" i="1"/>
  <c r="I714" i="1"/>
  <c r="I726" i="1"/>
  <c r="I738" i="1"/>
  <c r="I750" i="1"/>
  <c r="I762" i="1"/>
  <c r="I768" i="1"/>
  <c r="I774" i="1"/>
  <c r="I786" i="1"/>
  <c r="I792" i="1"/>
  <c r="I810" i="1"/>
  <c r="I822" i="1"/>
  <c r="I828" i="1"/>
  <c r="I834" i="1"/>
  <c r="I840" i="1"/>
  <c r="I858" i="1"/>
  <c r="I864" i="1"/>
  <c r="I870" i="1"/>
  <c r="I141" i="1"/>
  <c r="I805" i="1"/>
  <c r="I811" i="1"/>
  <c r="I829" i="1"/>
  <c r="I835" i="1"/>
  <c r="I847" i="1"/>
  <c r="I376" i="1"/>
  <c r="I464" i="1"/>
  <c r="I626" i="1"/>
  <c r="I770" i="1"/>
  <c r="I812" i="1"/>
  <c r="I818" i="1"/>
  <c r="I824" i="1"/>
  <c r="I842" i="1"/>
  <c r="I848" i="1"/>
  <c r="I854" i="1"/>
  <c r="I860" i="1"/>
  <c r="I377" i="1"/>
  <c r="I531" i="1"/>
  <c r="I549" i="1"/>
  <c r="I693" i="1"/>
  <c r="I790" i="1"/>
  <c r="I808" i="1"/>
  <c r="I814" i="1"/>
  <c r="I826" i="1"/>
  <c r="I838" i="1"/>
  <c r="I856" i="1"/>
  <c r="I862" i="1"/>
  <c r="I815" i="1"/>
  <c r="I821" i="1"/>
  <c r="I839" i="1"/>
  <c r="I845" i="1"/>
  <c r="I851" i="1"/>
  <c r="I863" i="1"/>
  <c r="I869" i="1"/>
  <c r="I875" i="1"/>
  <c r="I103" i="1"/>
  <c r="I802" i="1"/>
  <c r="I14" i="1"/>
  <c r="I20" i="1"/>
  <c r="I44" i="1"/>
  <c r="I56" i="1"/>
  <c r="I80" i="1"/>
  <c r="I104" i="1"/>
  <c r="I128" i="1"/>
  <c r="I134" i="1"/>
  <c r="I158" i="1"/>
  <c r="I176" i="1"/>
  <c r="I224" i="1"/>
  <c r="I248" i="1"/>
  <c r="I296" i="1"/>
  <c r="I302" i="1"/>
  <c r="I320" i="1"/>
  <c r="I326" i="1"/>
  <c r="I374" i="1"/>
  <c r="I392" i="1"/>
  <c r="I398" i="1"/>
  <c r="I416" i="1"/>
  <c r="I434" i="1"/>
  <c r="I440" i="1"/>
  <c r="I462" i="1"/>
  <c r="I486" i="1"/>
  <c r="I516" i="1"/>
  <c r="I528" i="1"/>
  <c r="I798" i="1"/>
  <c r="I787" i="1"/>
  <c r="I793" i="1"/>
  <c r="I89" i="1"/>
  <c r="I137" i="1"/>
  <c r="I245" i="1"/>
  <c r="I263" i="1"/>
  <c r="I347" i="1"/>
  <c r="I449" i="1"/>
  <c r="I627" i="1"/>
  <c r="I681" i="1"/>
  <c r="I771" i="1"/>
  <c r="I880" i="1"/>
  <c r="I886" i="1"/>
  <c r="I892" i="1"/>
  <c r="I3" i="1"/>
  <c r="I9" i="1"/>
  <c r="I15" i="1"/>
  <c r="I231" i="1"/>
  <c r="I303" i="1"/>
  <c r="I21" i="1"/>
  <c r="I27" i="1"/>
  <c r="I33" i="1"/>
  <c r="I39" i="1"/>
  <c r="I45" i="1"/>
  <c r="I51" i="1"/>
  <c r="I57" i="1"/>
  <c r="I63" i="1"/>
  <c r="I69" i="1"/>
  <c r="I81" i="1"/>
  <c r="I87" i="1"/>
  <c r="I93" i="1"/>
  <c r="I99" i="1"/>
  <c r="I105" i="1"/>
  <c r="I111" i="1"/>
  <c r="I117" i="1"/>
  <c r="I135" i="1"/>
  <c r="I153" i="1"/>
  <c r="I159" i="1"/>
  <c r="I183" i="1"/>
  <c r="I189" i="1"/>
  <c r="I207" i="1"/>
  <c r="I225" i="1"/>
  <c r="I237" i="1"/>
  <c r="I243" i="1"/>
  <c r="I249" i="1"/>
  <c r="I261" i="1"/>
  <c r="I273" i="1"/>
  <c r="I279" i="1"/>
  <c r="I285" i="1"/>
  <c r="I291" i="1"/>
  <c r="I297" i="1"/>
  <c r="I309" i="1"/>
  <c r="I327" i="1"/>
  <c r="I333" i="1"/>
  <c r="I339" i="1"/>
  <c r="I345" i="1"/>
  <c r="I351" i="1"/>
  <c r="I363" i="1"/>
  <c r="I375" i="1"/>
  <c r="I381" i="1"/>
  <c r="I387" i="1"/>
  <c r="I393" i="1"/>
  <c r="I399" i="1"/>
  <c r="I405" i="1"/>
  <c r="I411" i="1"/>
  <c r="I417" i="1"/>
  <c r="I423" i="1"/>
  <c r="I429" i="1"/>
  <c r="I435" i="1"/>
  <c r="I441" i="1"/>
  <c r="I447" i="1"/>
  <c r="I453" i="1"/>
  <c r="I457" i="1"/>
  <c r="I463" i="1"/>
  <c r="I475" i="1"/>
  <c r="I481" i="1"/>
  <c r="I487" i="1"/>
  <c r="I493" i="1"/>
  <c r="I499" i="1"/>
  <c r="I505" i="1"/>
  <c r="I517" i="1"/>
  <c r="I523" i="1"/>
  <c r="I529" i="1"/>
  <c r="I535" i="1"/>
  <c r="I541" i="1"/>
  <c r="I547" i="1"/>
  <c r="I571" i="1"/>
  <c r="I577" i="1"/>
  <c r="I607" i="1"/>
  <c r="I613" i="1"/>
  <c r="I631" i="1"/>
  <c r="I637" i="1"/>
  <c r="I643" i="1"/>
  <c r="I655" i="1"/>
  <c r="I667" i="1"/>
  <c r="I691" i="1"/>
  <c r="I697" i="1"/>
  <c r="I703" i="1"/>
  <c r="I709" i="1"/>
  <c r="I727" i="1"/>
  <c r="I733" i="1"/>
  <c r="I745" i="1"/>
  <c r="I775" i="1"/>
  <c r="I799" i="1"/>
  <c r="I328" i="1"/>
  <c r="I406" i="1"/>
  <c r="I424" i="1"/>
  <c r="I436" i="1"/>
  <c r="I476" i="1"/>
  <c r="I800" i="1"/>
  <c r="I395" i="1"/>
  <c r="I675" i="1"/>
  <c r="I88" i="1"/>
  <c r="I6" i="1"/>
  <c r="I12" i="1"/>
  <c r="I192" i="1"/>
  <c r="I127" i="1"/>
  <c r="I157" i="1"/>
  <c r="I175" i="1"/>
  <c r="I193" i="1"/>
  <c r="I211" i="1"/>
  <c r="I229" i="1"/>
  <c r="I265" i="1"/>
  <c r="I295" i="1"/>
  <c r="I319" i="1"/>
  <c r="I349" i="1"/>
  <c r="I361" i="1"/>
  <c r="I379" i="1"/>
  <c r="I421" i="1"/>
  <c r="I491" i="1"/>
  <c r="I533" i="1"/>
  <c r="I581" i="1"/>
  <c r="I611" i="1"/>
  <c r="I659" i="1"/>
  <c r="I695" i="1"/>
  <c r="I713" i="1"/>
  <c r="I737" i="1"/>
  <c r="I749" i="1"/>
  <c r="I767" i="1"/>
  <c r="I791" i="1"/>
  <c r="I881" i="1"/>
  <c r="I887" i="1"/>
  <c r="I878" i="1"/>
  <c r="I884" i="1"/>
  <c r="I890" i="1"/>
  <c r="I752" i="1"/>
  <c r="I794" i="1"/>
  <c r="I5" i="1"/>
  <c r="I35" i="1"/>
  <c r="I47" i="1"/>
  <c r="I53" i="1"/>
  <c r="I65" i="1"/>
  <c r="I77" i="1"/>
  <c r="I179" i="1"/>
  <c r="I197" i="1"/>
  <c r="I209" i="1"/>
  <c r="I329" i="1"/>
  <c r="I507" i="1"/>
  <c r="I711" i="1"/>
  <c r="I41" i="1"/>
  <c r="I7" i="1"/>
  <c r="I13" i="1"/>
  <c r="I19" i="1"/>
  <c r="I25" i="1"/>
  <c r="I31" i="1"/>
  <c r="I49" i="1"/>
  <c r="I55" i="1"/>
  <c r="I61" i="1"/>
  <c r="I67" i="1"/>
  <c r="I73" i="1"/>
  <c r="I79" i="1"/>
  <c r="I85" i="1"/>
  <c r="I91" i="1"/>
  <c r="I109" i="1"/>
  <c r="I121" i="1"/>
  <c r="I145" i="1"/>
  <c r="I151" i="1"/>
  <c r="I163" i="1"/>
  <c r="I169" i="1"/>
  <c r="I181" i="1"/>
  <c r="I205" i="1"/>
  <c r="I217" i="1"/>
  <c r="I223" i="1"/>
  <c r="I241" i="1"/>
  <c r="I247" i="1"/>
  <c r="I259" i="1"/>
  <c r="I271" i="1"/>
  <c r="I277" i="1"/>
  <c r="I301" i="1"/>
  <c r="I313" i="1"/>
  <c r="I331" i="1"/>
  <c r="I343" i="1"/>
  <c r="I355" i="1"/>
  <c r="I367" i="1"/>
  <c r="I385" i="1"/>
  <c r="I397" i="1"/>
  <c r="I403" i="1"/>
  <c r="I433" i="1"/>
  <c r="I445" i="1"/>
  <c r="I451" i="1"/>
  <c r="I455" i="1"/>
  <c r="I461" i="1"/>
  <c r="I473" i="1"/>
  <c r="I479" i="1"/>
  <c r="I503" i="1"/>
  <c r="I515" i="1"/>
  <c r="I551" i="1"/>
  <c r="I557" i="1"/>
  <c r="I563" i="1"/>
  <c r="I593" i="1"/>
  <c r="I599" i="1"/>
  <c r="I623" i="1"/>
  <c r="I629" i="1"/>
  <c r="I647" i="1"/>
  <c r="I671" i="1"/>
  <c r="I701" i="1"/>
  <c r="I719" i="1"/>
  <c r="I755" i="1"/>
  <c r="I773" i="1"/>
  <c r="I191" i="1"/>
  <c r="I227" i="1"/>
  <c r="I317" i="1"/>
  <c r="I335" i="1"/>
  <c r="I365" i="1"/>
  <c r="I407" i="1"/>
  <c r="I419" i="1"/>
  <c r="I437" i="1"/>
  <c r="I477" i="1"/>
  <c r="I567" i="1"/>
  <c r="I585" i="1"/>
  <c r="I663" i="1"/>
  <c r="I795" i="1"/>
  <c r="I408" i="1"/>
  <c r="I490" i="1"/>
  <c r="I532" i="1"/>
  <c r="I628" i="1"/>
  <c r="I676" i="1"/>
  <c r="I694" i="1"/>
  <c r="I706" i="1"/>
  <c r="I718" i="1"/>
  <c r="I730" i="1"/>
  <c r="I742" i="1"/>
  <c r="I754" i="1"/>
  <c r="I760" i="1"/>
  <c r="I766" i="1"/>
  <c r="I778" i="1"/>
  <c r="I796" i="1"/>
  <c r="I4" i="1"/>
  <c r="I10" i="1"/>
  <c r="I16" i="1"/>
  <c r="I28" i="1"/>
  <c r="I34" i="1"/>
  <c r="I40" i="1"/>
  <c r="I46" i="1"/>
  <c r="I52" i="1"/>
  <c r="I58" i="1"/>
  <c r="I64" i="1"/>
  <c r="I70" i="1"/>
  <c r="I76" i="1"/>
  <c r="I82" i="1"/>
  <c r="I94" i="1"/>
  <c r="I112" i="1"/>
  <c r="I118" i="1"/>
  <c r="I136" i="1"/>
  <c r="I142" i="1"/>
  <c r="I160" i="1"/>
  <c r="I166" i="1"/>
  <c r="I184" i="1"/>
  <c r="I190" i="1"/>
  <c r="I208" i="1"/>
  <c r="I214" i="1"/>
  <c r="I232" i="1"/>
  <c r="I238" i="1"/>
  <c r="I256" i="1"/>
  <c r="I262" i="1"/>
  <c r="I280" i="1"/>
  <c r="I286" i="1"/>
  <c r="I304" i="1"/>
  <c r="I310" i="1"/>
  <c r="I334" i="1"/>
  <c r="I352" i="1"/>
  <c r="I358" i="1"/>
  <c r="I382" i="1"/>
  <c r="I388" i="1"/>
  <c r="I394" i="1"/>
  <c r="I400" i="1"/>
  <c r="I412" i="1"/>
  <c r="I418" i="1"/>
  <c r="I430" i="1"/>
  <c r="I442" i="1"/>
  <c r="I448" i="1"/>
  <c r="I458" i="1"/>
  <c r="I470" i="1"/>
  <c r="I482" i="1"/>
  <c r="I488" i="1"/>
  <c r="I494" i="1"/>
  <c r="I500" i="1"/>
  <c r="I506" i="1"/>
  <c r="I512" i="1"/>
  <c r="I518" i="1"/>
  <c r="I524" i="1"/>
  <c r="I530" i="1"/>
  <c r="I542" i="1"/>
  <c r="I548" i="1"/>
  <c r="I554" i="1"/>
  <c r="I566" i="1"/>
  <c r="I572" i="1"/>
  <c r="I578" i="1"/>
  <c r="I584" i="1"/>
  <c r="I590" i="1"/>
  <c r="I602" i="1"/>
  <c r="I632" i="1"/>
  <c r="I638" i="1"/>
  <c r="I650" i="1"/>
  <c r="I656" i="1"/>
  <c r="I662" i="1"/>
  <c r="I674" i="1"/>
  <c r="I686" i="1"/>
  <c r="I698" i="1"/>
  <c r="I710" i="1"/>
  <c r="I722" i="1"/>
  <c r="I734" i="1"/>
  <c r="I746" i="1"/>
  <c r="I758" i="1"/>
  <c r="I776" i="1"/>
  <c r="I782" i="1"/>
  <c r="I75" i="1"/>
  <c r="I553" i="1"/>
  <c r="I583" i="1"/>
  <c r="I679" i="1"/>
  <c r="I757" i="1"/>
  <c r="I876" i="1"/>
  <c r="I882" i="1"/>
  <c r="I888" i="1"/>
  <c r="I17" i="1"/>
  <c r="I23" i="1"/>
  <c r="I59" i="1"/>
  <c r="I71" i="1"/>
  <c r="I83" i="1"/>
  <c r="I95" i="1"/>
  <c r="I101" i="1"/>
  <c r="I113" i="1"/>
  <c r="I125" i="1"/>
  <c r="I131" i="1"/>
  <c r="I143" i="1"/>
  <c r="I149" i="1"/>
  <c r="I161" i="1"/>
  <c r="I167" i="1"/>
  <c r="I215" i="1"/>
  <c r="I221" i="1"/>
  <c r="I233" i="1"/>
  <c r="I257" i="1"/>
  <c r="I269" i="1"/>
  <c r="I275" i="1"/>
  <c r="I281" i="1"/>
  <c r="I287" i="1"/>
  <c r="I293" i="1"/>
  <c r="I305" i="1"/>
  <c r="I323" i="1"/>
  <c r="I341" i="1"/>
  <c r="I353" i="1"/>
  <c r="I359" i="1"/>
  <c r="I371" i="1"/>
  <c r="I383" i="1"/>
  <c r="I401" i="1"/>
  <c r="I413" i="1"/>
  <c r="I425" i="1"/>
  <c r="I443" i="1"/>
  <c r="I465" i="1"/>
  <c r="I471" i="1"/>
  <c r="I483" i="1"/>
  <c r="I489" i="1"/>
  <c r="I495" i="1"/>
  <c r="I513" i="1"/>
  <c r="I519" i="1"/>
  <c r="I525" i="1"/>
  <c r="I555" i="1"/>
  <c r="I573" i="1"/>
  <c r="I597" i="1"/>
  <c r="I603" i="1"/>
  <c r="I615" i="1"/>
  <c r="I621" i="1"/>
  <c r="I633" i="1"/>
  <c r="I645" i="1"/>
  <c r="I651" i="1"/>
  <c r="I669" i="1"/>
  <c r="I687" i="1"/>
  <c r="I705" i="1"/>
  <c r="I717" i="1"/>
  <c r="I735" i="1"/>
  <c r="I741" i="1"/>
  <c r="I759" i="1"/>
  <c r="I777" i="1"/>
  <c r="I783" i="1"/>
  <c r="I877" i="1"/>
  <c r="I883" i="1"/>
  <c r="I889" i="1"/>
  <c r="I624" i="1"/>
  <c r="I2" i="1"/>
  <c r="I8" i="1"/>
  <c r="I32" i="1"/>
  <c r="I38" i="1"/>
  <c r="I68" i="1"/>
  <c r="I110" i="1"/>
  <c r="I278" i="1"/>
  <c r="I344" i="1"/>
  <c r="I368" i="1"/>
  <c r="I422" i="1"/>
  <c r="I446" i="1"/>
  <c r="I480" i="1"/>
  <c r="I504" i="1"/>
  <c r="I409" i="1"/>
  <c r="I521" i="1"/>
  <c r="I879" i="1"/>
  <c r="I885" i="1"/>
  <c r="I891" i="1"/>
  <c r="I582" i="1"/>
  <c r="I26" i="1"/>
  <c r="I50" i="1"/>
  <c r="I62" i="1"/>
  <c r="I74" i="1"/>
  <c r="I86" i="1"/>
  <c r="I152" i="1"/>
  <c r="I182" i="1"/>
  <c r="I200" i="1"/>
  <c r="I206" i="1"/>
  <c r="I230" i="1"/>
  <c r="I254" i="1"/>
  <c r="I272" i="1"/>
  <c r="I350" i="1"/>
  <c r="I386" i="1"/>
  <c r="I410" i="1"/>
  <c r="I456" i="1"/>
  <c r="I468" i="1"/>
  <c r="I492" i="1"/>
  <c r="I510" i="1"/>
  <c r="I534" i="1"/>
  <c r="I570" i="1"/>
  <c r="I588" i="1"/>
  <c r="I630" i="1"/>
  <c r="I654" i="1"/>
  <c r="I666" i="1"/>
  <c r="I702" i="1"/>
  <c r="I129" i="1"/>
  <c r="I147" i="1"/>
  <c r="I165" i="1"/>
  <c r="I177" i="1"/>
  <c r="I195" i="1"/>
  <c r="I201" i="1"/>
  <c r="I213" i="1"/>
  <c r="I255" i="1"/>
  <c r="I321" i="1"/>
  <c r="I357" i="1"/>
  <c r="I369" i="1"/>
  <c r="I469" i="1"/>
  <c r="I511" i="1"/>
  <c r="I559" i="1"/>
  <c r="I619" i="1"/>
  <c r="I721" i="1"/>
  <c r="I11" i="1"/>
  <c r="I29" i="1"/>
  <c r="I119" i="1"/>
  <c r="I173" i="1"/>
  <c r="I185" i="1"/>
  <c r="I239" i="1"/>
  <c r="I311" i="1"/>
  <c r="I389" i="1"/>
  <c r="I431" i="1"/>
  <c r="I459" i="1"/>
  <c r="I501" i="1"/>
  <c r="I537" i="1"/>
  <c r="I561" i="1"/>
  <c r="I579" i="1"/>
  <c r="I591" i="1"/>
  <c r="I609" i="1"/>
  <c r="I639" i="1"/>
  <c r="I657" i="1"/>
  <c r="I729" i="1"/>
  <c r="I18" i="1"/>
  <c r="I24" i="1"/>
  <c r="I36" i="1"/>
  <c r="I42" i="1"/>
  <c r="I48" i="1"/>
  <c r="I54" i="1"/>
  <c r="I60" i="1"/>
  <c r="I66" i="1"/>
  <c r="I72" i="1"/>
  <c r="I78" i="1"/>
  <c r="I84" i="1"/>
  <c r="I90" i="1"/>
  <c r="I96" i="1"/>
  <c r="I102" i="1"/>
  <c r="I120" i="1"/>
  <c r="I126" i="1"/>
  <c r="I144" i="1"/>
  <c r="I150" i="1"/>
  <c r="I168" i="1"/>
  <c r="I174" i="1"/>
  <c r="I198" i="1"/>
  <c r="I216" i="1"/>
  <c r="I222" i="1"/>
  <c r="I240" i="1"/>
  <c r="I246" i="1"/>
  <c r="I264" i="1"/>
  <c r="I270" i="1"/>
  <c r="I288" i="1"/>
  <c r="I294" i="1"/>
  <c r="I312" i="1"/>
  <c r="I318" i="1"/>
  <c r="I336" i="1"/>
  <c r="I342" i="1"/>
  <c r="I360" i="1"/>
  <c r="I366" i="1"/>
  <c r="I390" i="1"/>
  <c r="I402" i="1"/>
  <c r="I414" i="1"/>
  <c r="I438" i="1"/>
  <c r="I444" i="1"/>
  <c r="I450" i="1"/>
  <c r="I460" i="1"/>
  <c r="I484" i="1"/>
  <c r="I496" i="1"/>
  <c r="I508" i="1"/>
  <c r="I544" i="1"/>
  <c r="I550" i="1"/>
  <c r="I562" i="1"/>
  <c r="I568" i="1"/>
  <c r="I574" i="1"/>
  <c r="I586" i="1"/>
  <c r="I592" i="1"/>
  <c r="I598" i="1"/>
  <c r="I604" i="1"/>
  <c r="I610" i="1"/>
  <c r="I616" i="1"/>
  <c r="I622" i="1"/>
  <c r="I634" i="1"/>
  <c r="I640" i="1"/>
  <c r="I646" i="1"/>
  <c r="I658" i="1"/>
  <c r="I664" i="1"/>
  <c r="I670" i="1"/>
  <c r="I682" i="1"/>
  <c r="I688" i="1"/>
  <c r="I784" i="1"/>
  <c r="I37" i="1"/>
  <c r="I43" i="1"/>
  <c r="I97" i="1"/>
  <c r="I115" i="1"/>
  <c r="I133" i="1"/>
  <c r="I199" i="1"/>
  <c r="I253" i="1"/>
  <c r="I289" i="1"/>
  <c r="I307" i="1"/>
  <c r="I325" i="1"/>
  <c r="I337" i="1"/>
  <c r="I373" i="1"/>
  <c r="I415" i="1"/>
  <c r="I427" i="1"/>
  <c r="I467" i="1"/>
  <c r="I497" i="1"/>
  <c r="I509" i="1"/>
  <c r="I527" i="1"/>
  <c r="I539" i="1"/>
  <c r="I575" i="1"/>
  <c r="I587" i="1"/>
  <c r="I605" i="1"/>
  <c r="I635" i="1"/>
  <c r="I683" i="1"/>
  <c r="I725" i="1"/>
  <c r="I743" i="1"/>
  <c r="I761" i="1"/>
  <c r="I30" i="1"/>
  <c r="I92" i="1"/>
  <c r="I108" i="1"/>
  <c r="I124" i="1"/>
  <c r="I140" i="1"/>
  <c r="I156" i="1"/>
  <c r="I172" i="1"/>
  <c r="I188" i="1"/>
  <c r="I204" i="1"/>
  <c r="I220" i="1"/>
  <c r="I236" i="1"/>
  <c r="I252" i="1"/>
  <c r="I268" i="1"/>
  <c r="I284" i="1"/>
  <c r="I300" i="1"/>
  <c r="I316" i="1"/>
  <c r="I332" i="1"/>
  <c r="I348" i="1"/>
  <c r="I364" i="1"/>
  <c r="I380" i="1"/>
  <c r="I472" i="1"/>
  <c r="I522" i="1"/>
  <c r="I543" i="1"/>
  <c r="I22" i="1"/>
  <c r="I98" i="1"/>
  <c r="I114" i="1"/>
  <c r="I130" i="1"/>
  <c r="I146" i="1"/>
  <c r="I162" i="1"/>
  <c r="I178" i="1"/>
  <c r="I194" i="1"/>
  <c r="I210" i="1"/>
  <c r="I226" i="1"/>
  <c r="I242" i="1"/>
  <c r="I258" i="1"/>
  <c r="I274" i="1"/>
  <c r="I290" i="1"/>
  <c r="I306" i="1"/>
  <c r="I322" i="1"/>
  <c r="I338" i="1"/>
  <c r="I354" i="1"/>
  <c r="I370" i="1"/>
  <c r="I391" i="1"/>
  <c r="I538" i="1"/>
  <c r="I426" i="1"/>
  <c r="I474" i="1"/>
  <c r="I100" i="1"/>
  <c r="I116" i="1"/>
  <c r="I132" i="1"/>
  <c r="I148" i="1"/>
  <c r="I164" i="1"/>
  <c r="I180" i="1"/>
  <c r="I196" i="1"/>
  <c r="I212" i="1"/>
  <c r="I228" i="1"/>
  <c r="I244" i="1"/>
  <c r="I260" i="1"/>
  <c r="I276" i="1"/>
  <c r="I292" i="1"/>
  <c r="I308" i="1"/>
  <c r="I324" i="1"/>
  <c r="I340" i="1"/>
  <c r="I356" i="1"/>
  <c r="I372" i="1"/>
  <c r="I485" i="1"/>
  <c r="I614" i="1"/>
  <c r="I106" i="1"/>
  <c r="I122" i="1"/>
  <c r="I138" i="1"/>
  <c r="I154" i="1"/>
  <c r="I170" i="1"/>
  <c r="I186" i="1"/>
  <c r="I202" i="1"/>
  <c r="I218" i="1"/>
  <c r="I234" i="1"/>
  <c r="I250" i="1"/>
  <c r="I266" i="1"/>
  <c r="I282" i="1"/>
  <c r="I298" i="1"/>
  <c r="I314" i="1"/>
  <c r="I330" i="1"/>
  <c r="I346" i="1"/>
  <c r="I362" i="1"/>
  <c r="I378" i="1"/>
  <c r="I428" i="1"/>
  <c r="I520" i="1"/>
  <c r="I107" i="1"/>
  <c r="I123" i="1"/>
  <c r="I139" i="1"/>
  <c r="I155" i="1"/>
  <c r="I171" i="1"/>
  <c r="I187" i="1"/>
  <c r="I203" i="1"/>
  <c r="I219" i="1"/>
  <c r="I235" i="1"/>
  <c r="I251" i="1"/>
  <c r="I267" i="1"/>
  <c r="I283" i="1"/>
  <c r="I299" i="1"/>
  <c r="I315" i="1"/>
  <c r="I439" i="1"/>
  <c r="I420" i="1"/>
  <c r="I466" i="1"/>
  <c r="I514" i="1"/>
  <c r="I536" i="1"/>
  <c r="I556" i="1"/>
  <c r="I576" i="1"/>
  <c r="I608" i="1"/>
  <c r="I454" i="1"/>
  <c r="I502" i="1"/>
  <c r="I552" i="1"/>
  <c r="I404" i="1"/>
  <c r="I452" i="1"/>
  <c r="I498" i="1"/>
  <c r="I558" i="1"/>
  <c r="I589" i="1"/>
  <c r="I652" i="1"/>
  <c r="I396" i="1"/>
  <c r="I595" i="1"/>
  <c r="I565" i="1"/>
  <c r="I384" i="1"/>
  <c r="I432" i="1"/>
  <c r="I478" i="1"/>
  <c r="I526" i="1"/>
  <c r="I560" i="1"/>
  <c r="I580" i="1"/>
  <c r="I680" i="1"/>
  <c r="I685" i="1"/>
  <c r="I700" i="1"/>
  <c r="I716" i="1"/>
  <c r="I732" i="1"/>
  <c r="I748" i="1"/>
  <c r="I764" i="1"/>
  <c r="I780" i="1"/>
  <c r="I765" i="1"/>
  <c r="I781" i="1"/>
  <c r="I797" i="1"/>
  <c r="I696" i="1"/>
  <c r="I712" i="1"/>
  <c r="I728" i="1"/>
  <c r="I744" i="1"/>
  <c r="I872" i="1"/>
  <c r="I648" i="1"/>
  <c r="I653" i="1"/>
  <c r="I672" i="1"/>
  <c r="I677" i="1"/>
  <c r="I707" i="1"/>
  <c r="I723" i="1"/>
  <c r="I739" i="1"/>
  <c r="I596" i="1"/>
  <c r="I601" i="1"/>
  <c r="I620" i="1"/>
  <c r="I625" i="1"/>
  <c r="I644" i="1"/>
  <c r="I649" i="1"/>
  <c r="I668" i="1"/>
  <c r="I673" i="1"/>
  <c r="I692" i="1"/>
  <c r="I708" i="1"/>
  <c r="I724" i="1"/>
  <c r="I740" i="1"/>
  <c r="I756" i="1"/>
  <c r="I772" i="1"/>
  <c r="I788" i="1"/>
  <c r="I804" i="1"/>
  <c r="I820" i="1"/>
  <c r="I836" i="1"/>
  <c r="I852" i="1"/>
  <c r="I868" i="1"/>
  <c r="I751" i="1"/>
  <c r="I704" i="1"/>
  <c r="I720" i="1"/>
  <c r="I736" i="1"/>
  <c r="I540" i="1"/>
  <c r="I545" i="1"/>
  <c r="I564" i="1"/>
  <c r="I569" i="1"/>
  <c r="I612" i="1"/>
  <c r="I617" i="1"/>
  <c r="I636" i="1"/>
  <c r="I641" i="1"/>
  <c r="I660" i="1"/>
  <c r="I665" i="1"/>
  <c r="I684" i="1"/>
  <c r="I689" i="1"/>
  <c r="I699" i="1"/>
  <c r="I715" i="1"/>
  <c r="I731" i="1"/>
  <c r="I747" i="1"/>
  <c r="I763" i="1"/>
  <c r="I779" i="1"/>
  <c r="I753" i="1"/>
  <c r="I769" i="1"/>
  <c r="I785" i="1"/>
  <c r="I801" i="1"/>
  <c r="I817" i="1"/>
  <c r="I833" i="1"/>
  <c r="I849" i="1"/>
  <c r="I865" i="1"/>
  <c r="L22" i="5" l="1"/>
  <c r="M22" i="5" s="1"/>
  <c r="F2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tc={EA88F590-FBB9-4D50-B13E-8258E097B1EC}</author>
    <author>tc={E43BD3DB-4076-4A9B-9384-3223334B3D0A}</author>
    <author>tc={35C7E3F2-4193-442E-AFCC-19D5921BC04D}</author>
  </authors>
  <commentList>
    <comment ref="D125" authorId="0" shapeId="0" xr:uid="{EA88F590-FBB9-4D50-B13E-8258E097B1EC}">
      <text>
        <t>[Yorum yazışması]
Excel sürümünüz bu yorum yazışmasını okumanıza izin veriyor, ancak dosya daha yeni bir Excel sürümünde açılırsa, yapılan düzenlemeler kaldırılır. Daha fazla bilgi: https://go.microsoft.com/fwlink/?linkid=870924.
Açıklama:
    Uğur Dündar kontrolü bekliyor.</t>
      </text>
    </comment>
    <comment ref="D175" authorId="1" shapeId="0" xr:uid="{E43BD3DB-4076-4A9B-9384-3223334B3D0A}">
      <text>
        <t>[Yorum yazışması]
Excel sürümünüz bu yorum yazışmasını okumanıza izin veriyor, ancak dosya daha yeni bir Excel sürümünde açılırsa, yapılan düzenlemeler kaldırılır. Daha fazla bilgi: https://go.microsoft.com/fwlink/?linkid=870924.
Açıklama:
    Madde müşterinin taleplerini takip etmek için açık bırakılıyor. Kapatılmayacak</t>
      </text>
    </comment>
    <comment ref="D187" authorId="2" shapeId="0" xr:uid="{35C7E3F2-4193-442E-AFCC-19D5921BC04D}">
      <text>
        <t>[Yorum yazışması]
Excel sürümünüz bu yorum yazışmasını okumanıza izin veriyor, ancak dosya daha yeni bir Excel sürümünde açılırsa, yapılan düzenlemeler kaldırılır. Daha fazla bilgi: https://go.microsoft.com/fwlink/?linkid=870924.
Açıklama:
    Ara verildi. Acil Değil.</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ED52C5-331F-4D88-8AE0-C8A8BA343C86}" keepAlive="1" name="Sorgu - Türkkep Jira 2026-03-06T17_13_26+0200" description="Çalışma kitabındaki 'Türkkep Jira 2026-03-06T17_13_26+0200' sorgusuna yönelik bağlantı." type="5" refreshedVersion="0" background="1">
    <dbPr connection="Provider=Microsoft.Mashup.OleDb.1;Data Source=$Workbook$;Location=&quot;Türkkep Jira 2026-03-06T17_13_26+0200&quot;;Extended Properties=&quot;&quot;" command="SELECT * FROM [Türkkep Jira 2026-03-06T17_13_26+0200]"/>
  </connection>
</connections>
</file>

<file path=xl/sharedStrings.xml><?xml version="1.0" encoding="utf-8"?>
<sst xmlns="http://schemas.openxmlformats.org/spreadsheetml/2006/main" count="25142" uniqueCount="3829">
  <si>
    <t>Issue Type</t>
  </si>
  <si>
    <t>Issue key</t>
  </si>
  <si>
    <t>Status</t>
  </si>
  <si>
    <t>Summary</t>
  </si>
  <si>
    <t>Project name</t>
  </si>
  <si>
    <t>DEVAM EDEN SPRİNT</t>
  </si>
  <si>
    <t>GELECEK SPRİNT</t>
  </si>
  <si>
    <t>Durum</t>
  </si>
  <si>
    <t>Story Point2</t>
  </si>
  <si>
    <t>CRM-281</t>
  </si>
  <si>
    <t>To Do</t>
  </si>
  <si>
    <t xml:space="preserve">Türkkep -E-Güven CRM entegrasyonu Faz 2 </t>
  </si>
  <si>
    <t>CRM</t>
  </si>
  <si>
    <t>Devam Eden Sprint</t>
  </si>
  <si>
    <t>Story</t>
  </si>
  <si>
    <t>CRM-497</t>
  </si>
  <si>
    <t>Done</t>
  </si>
  <si>
    <t xml:space="preserve">Saklama Kota Yükleme İşlemleri </t>
  </si>
  <si>
    <t>CRM-533</t>
  </si>
  <si>
    <t>KEP IK Mahremiyet &amp; CRM Entegrasyonu</t>
  </si>
  <si>
    <t>Say Durum</t>
  </si>
  <si>
    <t>Sütun Etiketleri</t>
  </si>
  <si>
    <t>Toplam Story Point2</t>
  </si>
  <si>
    <t>CRM-535</t>
  </si>
  <si>
    <t>KEP IK Blulut NVİ Tamamlanan Çalışanların QR Kodlu Islak İmza Taahhütnamelerinin Üretilmesi</t>
  </si>
  <si>
    <t>Satır Etiketleri</t>
  </si>
  <si>
    <t>In Progress</t>
  </si>
  <si>
    <t>TO TEST</t>
  </si>
  <si>
    <t>In Test</t>
  </si>
  <si>
    <t>Genel Toplam</t>
  </si>
  <si>
    <t>Sprint Perf. Oranı</t>
  </si>
  <si>
    <t xml:space="preserve">CRM-541	</t>
  </si>
  <si>
    <t>Üretim Modülü için Tablo Modellenmesi</t>
  </si>
  <si>
    <t>CRM-542</t>
  </si>
  <si>
    <t>Üretim Modülü için Anasayfa Filtre Ekranı</t>
  </si>
  <si>
    <t>Destek Portal</t>
  </si>
  <si>
    <t>CRM-543</t>
  </si>
  <si>
    <t>Üretim Modülü Liste Sayfasının Geliştirmesi</t>
  </si>
  <si>
    <t>E-Defter</t>
  </si>
  <si>
    <t>CRM-544</t>
  </si>
  <si>
    <t>Üretim Modülü Mütabakat Sürecinin Geliştirmesi</t>
  </si>
  <si>
    <t>E-Fatura</t>
  </si>
  <si>
    <t>CRM-545</t>
  </si>
  <si>
    <t>KEP IK Bulut NVİ Tamamlanmayan Çalışanların QR Kodlu Islak İmza Taahhütnamelerinin Üretilmesi için Servis Geliştirmesi</t>
  </si>
  <si>
    <t>Entegrasyon Suit</t>
  </si>
  <si>
    <t>CRM-546</t>
  </si>
  <si>
    <t>KEP IK Bulut Çalışanların QR Kodlu Islak İmza Taahhütnamelerinin Uygulama İçerisinden Toplu İndirilmesi</t>
  </si>
  <si>
    <t>KEP</t>
  </si>
  <si>
    <t>CRM-550</t>
  </si>
  <si>
    <t>Multikep Müşteri Bilgilerinin CRM Sözleşmeden Aktarılması</t>
  </si>
  <si>
    <t>Kep Assist</t>
  </si>
  <si>
    <t>CRM-551</t>
  </si>
  <si>
    <t>Multikep Modüllerinin CRM İşlem Kaydından Aktif Edilmesi</t>
  </si>
  <si>
    <t>KEP İK BULUT</t>
  </si>
  <si>
    <t>CRM-553</t>
  </si>
  <si>
    <t>Multikep Aktarılan Kullanıcılarının Update Edilmesi</t>
  </si>
  <si>
    <t>Mobil Uygulama</t>
  </si>
  <si>
    <t>CRM-554</t>
  </si>
  <si>
    <t>CRM Kurumsal Müşteri Oluşturma MERSİS Entegrasyonu</t>
  </si>
  <si>
    <t>Muhaberat Yönetim Sistemi</t>
  </si>
  <si>
    <t>CRM-555</t>
  </si>
  <si>
    <t>KEP IK Toplu Açılış için CRM den Çalışan Listesini Insert Etme</t>
  </si>
  <si>
    <t>TÜRKKEP İMZA</t>
  </si>
  <si>
    <t>CRM-558</t>
  </si>
  <si>
    <t>KEP IK Kullanıcı için İşlem Yetkilisi Değişiklikleri</t>
  </si>
  <si>
    <t>CRM-559</t>
  </si>
  <si>
    <t>e-İmza UKDS Bilgilendirme Hk.</t>
  </si>
  <si>
    <t>CRM-560</t>
  </si>
  <si>
    <t>MultiKEP Ek Kullanıcı Aktarılması</t>
  </si>
  <si>
    <t>CRM-562</t>
  </si>
  <si>
    <t>Yenileme Hatırlatma Maili Akışına Pasif Kullanıcı Kuralının Eklenmesi</t>
  </si>
  <si>
    <t>CRM-565</t>
  </si>
  <si>
    <t>Toplu Teklif Oluşturma İşlemi</t>
  </si>
  <si>
    <t>CRM-568</t>
  </si>
  <si>
    <t>MERSİS Ek Geliştirme</t>
  </si>
  <si>
    <t>CRM-569</t>
  </si>
  <si>
    <t>Satış Rapor Yeni Müşteri Statüsü</t>
  </si>
  <si>
    <t>Bug</t>
  </si>
  <si>
    <t>CRM-570</t>
  </si>
  <si>
    <t>Duplicate Teklif Numarası Hatası</t>
  </si>
  <si>
    <t>CRM-571</t>
  </si>
  <si>
    <t>İş Bankası Sanal POS Api User Değişikliği</t>
  </si>
  <si>
    <t>CRM-572</t>
  </si>
  <si>
    <t>Pazarama Bundle Hatası</t>
  </si>
  <si>
    <t>CRM-573</t>
  </si>
  <si>
    <t>Müşteri Modülünde Mail Adresi İle Müşteri Listeleme</t>
  </si>
  <si>
    <t>Tüm Ürün İş Listesi</t>
  </si>
  <si>
    <t>CRM-574</t>
  </si>
  <si>
    <t>Güvenlik Grubu Değişiklik Tarihçesi Hk.</t>
  </si>
  <si>
    <t>(Birden Çok Öğe)</t>
  </si>
  <si>
    <t>CRM-577</t>
  </si>
  <si>
    <t>Dijikolay Potansiyel Müşteri Entegrasyonu Hk.</t>
  </si>
  <si>
    <t>CRM-580</t>
  </si>
  <si>
    <t>KEP IK Toplu Açılış için CRM den Çalışan Listesini Insert Etme Ek Geliştirme</t>
  </si>
  <si>
    <t>Publish</t>
  </si>
  <si>
    <t>İş Adedi</t>
  </si>
  <si>
    <t>CRM-581</t>
  </si>
  <si>
    <t>Toplu IK Excel Yüklemede Hatalı Excelin Export Edilmesi</t>
  </si>
  <si>
    <t>Devam Eden ve Gelecek Sprint</t>
  </si>
  <si>
    <t>Gelecek Sprint</t>
  </si>
  <si>
    <t>Ürün İş Listesi</t>
  </si>
  <si>
    <t>Tamamlanan Sprint</t>
  </si>
  <si>
    <t>CRM-582</t>
  </si>
  <si>
    <t>Toplu KEP IK Açılış Excelinde Güvenlik Kelimesi</t>
  </si>
  <si>
    <t>CRM-583</t>
  </si>
  <si>
    <t>Toplu KEP IK Açılışlarında Bildirim Gönderilmesi</t>
  </si>
  <si>
    <t>CRM-584</t>
  </si>
  <si>
    <t>KEP Adresi ile Arama</t>
  </si>
  <si>
    <t>CRM-587</t>
  </si>
  <si>
    <t xml:space="preserve">e-İmza Başvuruları için Dış Servis Yazılması </t>
  </si>
  <si>
    <t>CRM-588</t>
  </si>
  <si>
    <t>Üretim Modülü Fatura Tahsilatların İşlenmesi</t>
  </si>
  <si>
    <t>CRM-589</t>
  </si>
  <si>
    <t>Duplicate Teklif Numarası için Alarm Maili Oluşturulması</t>
  </si>
  <si>
    <t>CRM-590</t>
  </si>
  <si>
    <t xml:space="preserve">Aynı TCKN ye Ait Birden Fazla KEP Adresinin KEP IK Aktarım Süreci </t>
  </si>
  <si>
    <t>CRM-591</t>
  </si>
  <si>
    <t>Pasif Olan KEP Adresin Tekrar Aktif Edilmesi (UKDS)</t>
  </si>
  <si>
    <t>CRM-592</t>
  </si>
  <si>
    <t>Pasif Olan KEP Hesabın Tekrar Aktif Edilmesi (CRM)</t>
  </si>
  <si>
    <t>CRM-593</t>
  </si>
  <si>
    <t>Mersis sorgu sonucunda dönen NACE kodu bilgisinin alınması</t>
  </si>
  <si>
    <t>CRM-594</t>
  </si>
  <si>
    <t>KEP Assist ürün kullanım raporu</t>
  </si>
  <si>
    <t>UETS</t>
  </si>
  <si>
    <t>CRM-597</t>
  </si>
  <si>
    <t>Sipariş detayında MERSİS sorgu sonucu başarılı dönmemesi</t>
  </si>
  <si>
    <t>UZAKTAN KİMLİK DOĞRULAMA</t>
  </si>
  <si>
    <t>CRM-598</t>
  </si>
  <si>
    <t>Kamu/Oda/Vakıf/Dernek müşteri tipi için KEP hesap oluşturulabilmesi</t>
  </si>
  <si>
    <t>Kep Web Servisi</t>
  </si>
  <si>
    <t>CRM-599</t>
  </si>
  <si>
    <t>Manuel müşteri kaydı oluşturma</t>
  </si>
  <si>
    <t>Detsis</t>
  </si>
  <si>
    <t>CRM-600</t>
  </si>
  <si>
    <t>MERSİS sonucunda eşleşme sağlanamaması</t>
  </si>
  <si>
    <t>Imza Entegrasyon Uygulaması</t>
  </si>
  <si>
    <t>CRM-601</t>
  </si>
  <si>
    <t>KEP Assist rapor servisine entegrasyon sağlanması</t>
  </si>
  <si>
    <t>CRM-602</t>
  </si>
  <si>
    <t>KEP Assist organizasyon ID bilgisinin kaydedilmesi</t>
  </si>
  <si>
    <t>CRM-603</t>
  </si>
  <si>
    <t>Sözleşmeler sayfasına kullanım bilgilerinin kaydedilmesi</t>
  </si>
  <si>
    <t>CRM-604</t>
  </si>
  <si>
    <t>Kullanım bilgilerinin güncellenmesi için job yazılması</t>
  </si>
  <si>
    <t>CRM-605</t>
  </si>
  <si>
    <t>Belirli tarih aralığındaki kullanım bilgilerinin gösterilmesi</t>
  </si>
  <si>
    <t>CRM-608</t>
  </si>
  <si>
    <t>Duplicate Fatura Numaraları için Düzenleme</t>
  </si>
  <si>
    <t>CRM-609</t>
  </si>
  <si>
    <t>Müşterinin Oluşturulma Tarihi Düzenlemesi</t>
  </si>
  <si>
    <t>CRM-610</t>
  </si>
  <si>
    <t>Test ortamı MERSİS entegrasyonu kontrol adımları</t>
  </si>
  <si>
    <t>CRM-613</t>
  </si>
  <si>
    <t>Test ortamında NACE kodu bilgisi alanının getirilmesi</t>
  </si>
  <si>
    <t>CRM-614</t>
  </si>
  <si>
    <t>Tobb Mersis servisi bakiye kontrolü için bildirim maili gönderilmesi</t>
  </si>
  <si>
    <t>CRM-616</t>
  </si>
  <si>
    <t>Turmob servis tüketim bilgilerinin kaydedilmesi</t>
  </si>
  <si>
    <t>CRM-617</t>
  </si>
  <si>
    <t>Turmob servis tüketim verilerinin Fatura bakiyesinden düşülmesi</t>
  </si>
  <si>
    <t>CRM-618</t>
  </si>
  <si>
    <t>Fatura tüketim verileri içeren raporların güncellenmesi</t>
  </si>
  <si>
    <t>DP-266</t>
  </si>
  <si>
    <t>İptal Firmaların Veri Teslimi İçin Sorgu Ekranı Eklenmesi</t>
  </si>
  <si>
    <t>DP-267</t>
  </si>
  <si>
    <t>E-Defter Firma Raporu Excelinin Güncellenmesi</t>
  </si>
  <si>
    <t>DP-268</t>
  </si>
  <si>
    <t>KEP Utility Servisi Evidence-controller metotlarının eklenmesi</t>
  </si>
  <si>
    <t>DP-269</t>
  </si>
  <si>
    <t>KEP Utility Servisi Mailbox-controller metotlarının eklenmesi</t>
  </si>
  <si>
    <t>DP-270</t>
  </si>
  <si>
    <t>KEP Utility Servisi Original-controller metotlarının eklenmesi</t>
  </si>
  <si>
    <t>DP-271</t>
  </si>
  <si>
    <t>KEP Utility Servisi quota-controller metotlarının eklenmesi</t>
  </si>
  <si>
    <t>DP-272</t>
  </si>
  <si>
    <t xml:space="preserve"> KEP Utility Servisi Rem-q-controller metotlarının eklenmesi</t>
  </si>
  <si>
    <t>DP-273</t>
  </si>
  <si>
    <t xml:space="preserve"> KEP Utility Servisi Web-hr-controller metotlarının eklenmesi</t>
  </si>
  <si>
    <t>DS-10</t>
  </si>
  <si>
    <t>Hata loglarının LogSign üzerinden bildirim olarak gönderilmesi</t>
  </si>
  <si>
    <t>EDF-748</t>
  </si>
  <si>
    <t>e-Defter Kebir Dosyalarının Ocak 2025 Dönemi İtibarı ile GİB Sistemlerine Yüklenmemesi İçin Değişiklik</t>
  </si>
  <si>
    <t>EDF-750</t>
  </si>
  <si>
    <t>E-Defter Client Defter İmzalama İçin .jar Dosyasının Güncellenmesi</t>
  </si>
  <si>
    <t>EDF-751</t>
  </si>
  <si>
    <t>Büyük Parçalı Firma (LOFT) Portalde İşlem Yapabilmesi İçin Exe Yazılması</t>
  </si>
  <si>
    <t>EDF-752</t>
  </si>
  <si>
    <t>CST_Contract Tablosunda Yer Almayan Müşterinin Portale Girişinin Engellediği Geliştirmenin Geri Alınması</t>
  </si>
  <si>
    <t>EDF-755</t>
  </si>
  <si>
    <t>Sözleşmesi Dolacak Müşteriler İçin Portalde Uyarı Metni Gösterimi</t>
  </si>
  <si>
    <t>EFT-1669</t>
  </si>
  <si>
    <t>Blocked</t>
  </si>
  <si>
    <t>Şifreli Tutulan Verilerin SHA-2 Algoritması İle Hashlenmesi</t>
  </si>
  <si>
    <t>EFT-1934</t>
  </si>
  <si>
    <t>Sözleşme ve aktivasyon süreçlerinin istemci ile gerçekleştirilmesi</t>
  </si>
  <si>
    <t>EFT-2043</t>
  </si>
  <si>
    <t>Kamu Faturaları Düzenlemeleri</t>
  </si>
  <si>
    <t>EFT-2068</t>
  </si>
  <si>
    <t xml:space="preserve">Portalde Excel İle Fatura Yükleme </t>
  </si>
  <si>
    <t>EFT-2085</t>
  </si>
  <si>
    <t>İlaç ve Tıbbi Cihaz Fatura Tipinde Fatura Oluşturulup Gönderilmesi</t>
  </si>
  <si>
    <t>EFT-2087</t>
  </si>
  <si>
    <t>DeliveryCustomerParty Alanında TCKN Giriliyorsa Ad Soyad Girme Zorunluluğu Ekleme</t>
  </si>
  <si>
    <t>EFT-2094</t>
  </si>
  <si>
    <t>Portal İlaç ve Tıbbi Cihaz Fatura Tipinde Fatura Oluşturulup Gönderilmesi</t>
  </si>
  <si>
    <t>EFT-2095</t>
  </si>
  <si>
    <t>Ef-Admin Portalde Şifremi Unuttum Alanının Çalışmaması</t>
  </si>
  <si>
    <t>EFT-2100</t>
  </si>
  <si>
    <t>IHRACKAYITLI fatura tipi için GTİP ve Satır Kodu Zorunluluğu</t>
  </si>
  <si>
    <t>EFT-2101</t>
  </si>
  <si>
    <t>İade ve Tevkifatiade Fatura Tiplerinde İadeye Konu Olan Fatura Numarası ve Tarihi Boş Olmaması</t>
  </si>
  <si>
    <t>EFT-2102</t>
  </si>
  <si>
    <t>TaxExemptionReasonCodeType Güncellenmesi</t>
  </si>
  <si>
    <t>EFT-2108</t>
  </si>
  <si>
    <t>ERP Binding Müşterilerine GİB Zorunlulukları İçin Geliştirme</t>
  </si>
  <si>
    <t>EFT-2109</t>
  </si>
  <si>
    <t>MLP İade Faturası Geliştirmesi</t>
  </si>
  <si>
    <t>EFT-2114</t>
  </si>
  <si>
    <t>HSM Lisans Süresini Uzatılması</t>
  </si>
  <si>
    <t>EFT-2116</t>
  </si>
  <si>
    <t>Yapılan Türmob sorgularının veri tablosuna kaydedilmesi</t>
  </si>
  <si>
    <t>EFT-2117</t>
  </si>
  <si>
    <t>Konnektör VKN/TCKN Alanı Minimum 10 Hane ve Ücretlendirme Uyarısı</t>
  </si>
  <si>
    <t>EFT-2118</t>
  </si>
  <si>
    <t>Proxy Servis Metot Geliştirmeleri</t>
  </si>
  <si>
    <t>EFT-2119</t>
  </si>
  <si>
    <t>CRM-Fatura Entegrasyonu Sağlanması</t>
  </si>
  <si>
    <t>EFT-2120</t>
  </si>
  <si>
    <t>Portal VKN/TCKN Alanına Minimum 10 haneli Giriş Zorunluluğu ve Ücretlendirme Uyarısı</t>
  </si>
  <si>
    <t>EFT-2121</t>
  </si>
  <si>
    <t>Portalda Dashboard da TÜRMOB Sorgu Sayısı</t>
  </si>
  <si>
    <t>bug</t>
  </si>
  <si>
    <t>EFT-2122</t>
  </si>
  <si>
    <t xml:space="preserve">İrsaliye Web Metotlarında Mersis No ve Ticaret No Zorunluluğu Kaldırma </t>
  </si>
  <si>
    <t>EFT-2127</t>
  </si>
  <si>
    <t>GİB Zorunlulukları Sonrası Konnektörde Harici Excel İle Yüklemede Hata</t>
  </si>
  <si>
    <t>EFT-2129</t>
  </si>
  <si>
    <t>Türmob Geliştirmelerinde Connector Uygulamasının Proxy Servisine Entegre Edilmesi</t>
  </si>
  <si>
    <t>EFT-2136</t>
  </si>
  <si>
    <t>MLP İade Fatura İadeye Konu Fatura Düzeltmesi</t>
  </si>
  <si>
    <t>EFT-2137</t>
  </si>
  <si>
    <t xml:space="preserve">Ücretlendirme Uyarısının Gösterimi </t>
  </si>
  <si>
    <t>EFT-2138</t>
  </si>
  <si>
    <t>Portalda İade ve Tevkifat İade Faturalarında İadeye Konu Olan Fatura Numarasının Seri Numarası Tarihi Hatası</t>
  </si>
  <si>
    <t>EFT-2140</t>
  </si>
  <si>
    <t xml:space="preserve">Portal uygulumasına "TEKNOLOJIDESTEK” fatura tipinin eklenmesi.	</t>
  </si>
  <si>
    <t>EFT-2141</t>
  </si>
  <si>
    <t>Konnektör uygulumasına "TEKNOLOJIDESTEK” fatura tipinin eklenmesi.</t>
  </si>
  <si>
    <t>EFT-2142</t>
  </si>
  <si>
    <t>Webservis uygulumasına "TEKNOLOJIDESTEK” fatura tipinin eklenmesi.</t>
  </si>
  <si>
    <t>EFT-2143</t>
  </si>
  <si>
    <t xml:space="preserve">Modellerin, servislerin ve SPlerin oluşması </t>
  </si>
  <si>
    <t>IEU-114</t>
  </si>
  <si>
    <t>Pdf hash imza - client</t>
  </si>
  <si>
    <t>IEU-115</t>
  </si>
  <si>
    <t>PDF Dosyasının Hash Değerini Alma</t>
  </si>
  <si>
    <t>IEU-122</t>
  </si>
  <si>
    <t>Veritabanının farklı sunucuya taşınması (Hubtest)</t>
  </si>
  <si>
    <t>IEU-127</t>
  </si>
  <si>
    <t>XAdES çoklu imza doğrulama hatası</t>
  </si>
  <si>
    <t>IEU-128</t>
  </si>
  <si>
    <t>XAdES çoklu imzalama hatası hakkında</t>
  </si>
  <si>
    <t>IEU-13</t>
  </si>
  <si>
    <t>Mobil İmza modülüne XAdES imzalama özelliği eklenmesi</t>
  </si>
  <si>
    <t>IEU-149</t>
  </si>
  <si>
    <t>UETS servisinin Hubtest'e alınması</t>
  </si>
  <si>
    <t>IEU-151</t>
  </si>
  <si>
    <t>Webmail ile Mobil İmza Entegrasyonu</t>
  </si>
  <si>
    <t>IEU-153</t>
  </si>
  <si>
    <t>/api/v1/crg/search/account-info Metodunun Yeniden Yapılandırılması</t>
  </si>
  <si>
    <t>IEU-154</t>
  </si>
  <si>
    <t>Son Ui Getiren Metotların Hubtest'e Alınması</t>
  </si>
  <si>
    <t>IEU-155</t>
  </si>
  <si>
    <t>İmzalama servislerinde toplu imzalama imkanı</t>
  </si>
  <si>
    <t>IEU-158</t>
  </si>
  <si>
    <t>KEP Rehber - Genel Adres Doğrulama Metodunun Eklenmesi</t>
  </si>
  <si>
    <t>IEU-159</t>
  </si>
  <si>
    <t>Merkezi KEP Rehberi Metodunda Hatalı Dönüşün Açıklamasının Eklenmesi</t>
  </si>
  <si>
    <t>IEU-160</t>
  </si>
  <si>
    <t>İmzaClient Güncellemesi</t>
  </si>
  <si>
    <t>IEU-162</t>
  </si>
  <si>
    <t>Mobil imza cades tipinde imzalanan belgenin imzalı datasını çağırma hk.</t>
  </si>
  <si>
    <t>IEU-164</t>
  </si>
  <si>
    <t>TCKN ve VKN ile Kep Adresi Sorgulama</t>
  </si>
  <si>
    <t>IEU-165</t>
  </si>
  <si>
    <t>/api/v1/sign/multi metoduna api-access-token parametresi eklenmesi</t>
  </si>
  <si>
    <t>IEU-166</t>
  </si>
  <si>
    <t>list-by-folder-name metodu hk.</t>
  </si>
  <si>
    <t>IEU-171</t>
  </si>
  <si>
    <t>İmzalı Hash Değeri ile Orijinal PDF'yi Birleştirme Metodu Geliştirilmesi</t>
  </si>
  <si>
    <t>IEU-172</t>
  </si>
  <si>
    <t>Hubtest metotlardaki hatalar hk.</t>
  </si>
  <si>
    <t>IEU-174</t>
  </si>
  <si>
    <t>İmza Client - E-Fatura</t>
  </si>
  <si>
    <t>IEU-176</t>
  </si>
  <si>
    <t>Pades Es-A İmzalarda Çift Zaman Damgası Basılması</t>
  </si>
  <si>
    <t>IEU-177</t>
  </si>
  <si>
    <t>Hubtest /api/v1/eyp/composer/v13/paket/imza/ekle metodu hk.</t>
  </si>
  <si>
    <t>IEU-181</t>
  </si>
  <si>
    <t>Metotlardan Dönen Hata Yanıtlarının Kontrol Edilmesi ve Listelenmesi</t>
  </si>
  <si>
    <t>IEU-182</t>
  </si>
  <si>
    <t>Entegrasyon Suit Servis (Rest Api) Dokümanı Güncelleme</t>
  </si>
  <si>
    <t>IEU-183</t>
  </si>
  <si>
    <t>rems-by-folder-name metodu hk.</t>
  </si>
  <si>
    <t>KA-1359</t>
  </si>
  <si>
    <t>Mobil İmza Servis Entegrasyonu</t>
  </si>
  <si>
    <t>KA-1445</t>
  </si>
  <si>
    <t>Organizasyon kullanıcılarının customerAdmin tarafından tanımlanması</t>
  </si>
  <si>
    <t>KA-1447</t>
  </si>
  <si>
    <t>Otomatik yanıtlanan iletilerin eklerine ek dosya eklenmesi</t>
  </si>
  <si>
    <t>KA-1448</t>
  </si>
  <si>
    <t>Kep iletisi oluşturan kişinin gönderimin sınırlandırılması</t>
  </si>
  <si>
    <t>KA-1452</t>
  </si>
  <si>
    <t>Pasife alınan kullanıcı yerine kullanıcı eklenebilmesi</t>
  </si>
  <si>
    <t>KA-1453</t>
  </si>
  <si>
    <t>Update sorgusu hazırlanması EYP_SECURITYCODE tablosu</t>
  </si>
  <si>
    <t>KA-1454</t>
  </si>
  <si>
    <t>Kullanım Raporu (Faz-1)</t>
  </si>
  <si>
    <t>KA-1455</t>
  </si>
  <si>
    <t>Eyp Şablon Yetkili Sorunu Hk.</t>
  </si>
  <si>
    <t>KA-1456</t>
  </si>
  <si>
    <t>Kullanım Raporu (Faz-2)</t>
  </si>
  <si>
    <t>KA-1465x</t>
  </si>
  <si>
    <t>CRM Entegrasyonu İçin Organizasyonları Listeleyen Servis Geliştirilmesi</t>
  </si>
  <si>
    <t>KA-1469</t>
  </si>
  <si>
    <t>CRM Entegrasyonu İçin Kullanım Raporu Metodu Geliştirilmesi - Faz 1</t>
  </si>
  <si>
    <t>KA-1470</t>
  </si>
  <si>
    <t>CRM Entegrasyonu İçin Kullanım Raporu Metodu Geliştirilmesi - Faz 2</t>
  </si>
  <si>
    <t>KA-1471</t>
  </si>
  <si>
    <t>Gelen KEP İletileri Excel Raporunda EYP Belge Numaralarının Eklenmesi</t>
  </si>
  <si>
    <t>KA-1472</t>
  </si>
  <si>
    <t>Güncelleme Paketi Hazırlanması</t>
  </si>
  <si>
    <t>KA-1476</t>
  </si>
  <si>
    <t>UETS Gelen Kutusu İşlem Statüsü ve Süreçteki Adım Sütunları Hk.</t>
  </si>
  <si>
    <t>KA-1482</t>
  </si>
  <si>
    <t>Etys Süreçlerinde Veritabanı Deadlock Hatası hk.</t>
  </si>
  <si>
    <t>KA-1485</t>
  </si>
  <si>
    <t>Hatalı delillerin tekrar tetiklenmesi için sorgu hazırlanması</t>
  </si>
  <si>
    <t>KA-1488</t>
  </si>
  <si>
    <t>Hatalı Delillerin Tekrar Tetiklenmesi İçin Worker Çalışması</t>
  </si>
  <si>
    <t>KA-1491</t>
  </si>
  <si>
    <t>Kep Assist - Crm Kullanım Raporu Servisi Kullanım Alanları Birim Değişikliği</t>
  </si>
  <si>
    <t>KEP-101</t>
  </si>
  <si>
    <t>Dovecot DB geçişi</t>
  </si>
  <si>
    <t>KEP-113</t>
  </si>
  <si>
    <t>Webmail E-Tebligat Kutusu Belge İndirme ve Okundu Sayılma</t>
  </si>
  <si>
    <t>KEP-132</t>
  </si>
  <si>
    <t>Teslim Edilemedi Delili Mail Bildirimi</t>
  </si>
  <si>
    <t>KEP-251</t>
  </si>
  <si>
    <t>Log kayıtlarının kolay erişilebilir yapıda tutulması</t>
  </si>
  <si>
    <t>KEP-258</t>
  </si>
  <si>
    <t>Merkezi KEP Rehberi Servis Geliştirmesi</t>
  </si>
  <si>
    <t>KEP-259</t>
  </si>
  <si>
    <t>CRM Servisi Geliştirmesi</t>
  </si>
  <si>
    <t>KEP-260</t>
  </si>
  <si>
    <t>Lisans Güncellemesi Hk.</t>
  </si>
  <si>
    <t>KEP-261</t>
  </si>
  <si>
    <t xml:space="preserve">Webmail PDF Görüntüleme İşlemi </t>
  </si>
  <si>
    <t>KEP-262</t>
  </si>
  <si>
    <t xml:space="preserve">Webmail Giden Kutusu Listeleme </t>
  </si>
  <si>
    <t>KEP-263</t>
  </si>
  <si>
    <t>Webmail CTRL Tuşu İle Birden Fazla İleti Seçme</t>
  </si>
  <si>
    <t>KEP-264</t>
  </si>
  <si>
    <t>UETS Mail bildirim kayıtlarının Utility servis üzerinden sorgulanması</t>
  </si>
  <si>
    <t>KEP-265</t>
  </si>
  <si>
    <t>UETS SMS bildirim kayıtlarının Utility servis üzerinden sorgulanması</t>
  </si>
  <si>
    <t>KEP-266</t>
  </si>
  <si>
    <t>Web mail dosya boyut sınırı</t>
  </si>
  <si>
    <t>KEP-267</t>
  </si>
  <si>
    <t>Vodafone mobil imza seçeneğinin eklenmesi</t>
  </si>
  <si>
    <t>KEP-268</t>
  </si>
  <si>
    <t>Mobil İmza Entegrasyonlarının Değiştirmesi Hk</t>
  </si>
  <si>
    <t>KEP-269</t>
  </si>
  <si>
    <t>Yeni Açılan KEP Adreslerinin Yeni Altyapı Tarafında Açılması Hk (CRM Geliştirmesi)</t>
  </si>
  <si>
    <t>story</t>
  </si>
  <si>
    <t>KEP-270</t>
  </si>
  <si>
    <t>e-Saklama Modulü Tarih Filtresi Alanında Sorguya Ait Değerin Getirilmesi</t>
  </si>
  <si>
    <t>KEP-271</t>
  </si>
  <si>
    <t xml:space="preserve">Delil Arşiv Sunucusu Taşınması </t>
  </si>
  <si>
    <t>KEP-272</t>
  </si>
  <si>
    <t>İşlem Yetkilisi Bilgi Güncelle Ekranında Yapılan Yetki Kısıtlamaları Çalışmıyor</t>
  </si>
  <si>
    <t>KEP-273</t>
  </si>
  <si>
    <t>BTK Sorgulamalarında Bir Yerine Birden Fazla Kuyruk Oluşturma</t>
  </si>
  <si>
    <t>KEP-274</t>
  </si>
  <si>
    <t>BTK Rehber Servisine Rehber Bildirimlerinin Aylık Yerine Anlık Yapılması</t>
  </si>
  <si>
    <t>KEP-275</t>
  </si>
  <si>
    <t>Eliptik Eğri Güncel Sürümün Test Edilmesi</t>
  </si>
  <si>
    <t>KEP-277</t>
  </si>
  <si>
    <t>KEP Webmail Yetkilerinin Düzenlenmesi</t>
  </si>
  <si>
    <t>KEP-278</t>
  </si>
  <si>
    <t>Adalet Bakanlığı'na Gönderilen KEP'lerde Detsis Numarası Eksik Olanlar için Verilen Uyarı Mesajında Detsis Güncellemesi</t>
  </si>
  <si>
    <t>KW-1</t>
  </si>
  <si>
    <t>SSL/TLS SERTİFİKA DEĞİŞİKLİĞİ</t>
  </si>
  <si>
    <t>KW-2</t>
  </si>
  <si>
    <t>Utility - Delil İndirme Servisi Hk.</t>
  </si>
  <si>
    <t>KW-3</t>
  </si>
  <si>
    <t>Akbank KEP hesap mutabakatlarının gerçekleştirilmesi</t>
  </si>
  <si>
    <t>KW-4</t>
  </si>
  <si>
    <t>evidence ve original controller altındaki metotlarda güncelleme talebi</t>
  </si>
  <si>
    <t>MU-44</t>
  </si>
  <si>
    <t>Bildirim servisi geliştirmesi</t>
  </si>
  <si>
    <t>MU-50</t>
  </si>
  <si>
    <t>UKDS yeni KİDOS entegrasyon tipinin başvuru ekranlarının düzenlenmesi</t>
  </si>
  <si>
    <t>MU-51</t>
  </si>
  <si>
    <t>Bildirim servisi entegrasyonu</t>
  </si>
  <si>
    <t>MU-52</t>
  </si>
  <si>
    <t>Bildirim onay ekranı geliştirilmesi</t>
  </si>
  <si>
    <t>MU-53</t>
  </si>
  <si>
    <t>Geçmiş bildirimler sayfası geliştirilmesi</t>
  </si>
  <si>
    <t>MU-54</t>
  </si>
  <si>
    <t>Pazarama senaryosu için ekran düzenlemeleri</t>
  </si>
  <si>
    <t>MU-55</t>
  </si>
  <si>
    <t>UKDS ekranlarında parametre kontrolü eklenmesi</t>
  </si>
  <si>
    <t>MU-56</t>
  </si>
  <si>
    <t>Senaryo değişikliklerinde son kullanıcı yönlendirmesi</t>
  </si>
  <si>
    <t>MU-57</t>
  </si>
  <si>
    <t>Uygulama Başlangıç Ekranı ve Ayarlar Ekranında Dil Seçeneği Eklenmesi (Türkçe/İngilizce)</t>
  </si>
  <si>
    <t>MU-58</t>
  </si>
  <si>
    <t>Uygulama Bildirim Ekranında Gönderim Tarihini Gösterme</t>
  </si>
  <si>
    <t>MU-59</t>
  </si>
  <si>
    <t>Bildirimi kapalı olan kullanıcılara gönderilen mesajların failed-messages tablosunda tutulması</t>
  </si>
  <si>
    <t>MU-60</t>
  </si>
  <si>
    <t>Mobil bildirim açma/kapama hk.</t>
  </si>
  <si>
    <t>MU-61</t>
  </si>
  <si>
    <t>Siyah Ekran Hatası Hk.</t>
  </si>
  <si>
    <t>MUL-146</t>
  </si>
  <si>
    <t>Grup oluşturmada arama düzenlemesi</t>
  </si>
  <si>
    <t>MULTİKEP</t>
  </si>
  <si>
    <t>MUL-176</t>
  </si>
  <si>
    <t>MKR modülüne firma bazlı kota geliştirmesi</t>
  </si>
  <si>
    <t>MUL-184</t>
  </si>
  <si>
    <t>Yeni KEP iletisi oluştur ekranı alıcı arama geliştirmesi</t>
  </si>
  <si>
    <t>MUL-197</t>
  </si>
  <si>
    <t>Windows Delil Servis geliştirmesi</t>
  </si>
  <si>
    <t>MUL-198</t>
  </si>
  <si>
    <t>MKR Kullanım Kısıtlama Hk.</t>
  </si>
  <si>
    <t>MUL-199</t>
  </si>
  <si>
    <t>Müşteri Sözleşme Tanımı Hk</t>
  </si>
  <si>
    <t>MUL-200</t>
  </si>
  <si>
    <t>Yüksek Boyutlu PDF Parçalama İşlemi Hk</t>
  </si>
  <si>
    <t>MUL-201</t>
  </si>
  <si>
    <t>Merkezi KEP Sorgulama Kayıtlarının Silinmesi</t>
  </si>
  <si>
    <t>MUL-202</t>
  </si>
  <si>
    <t xml:space="preserve">Yeni KEP İletisi Oluştur Ekranı Gönder Düğmesi Simgesinin Değiştirilmesi </t>
  </si>
  <si>
    <t>MUL-203</t>
  </si>
  <si>
    <t xml:space="preserve">Excel ile KEP Gönderim Ekranında Ek Dosya Eklendikten Sonra Dosyanın Silinebilmesi </t>
  </si>
  <si>
    <t>MUL-204</t>
  </si>
  <si>
    <t>Refactor Çalışması Hk</t>
  </si>
  <si>
    <t>MUL-205</t>
  </si>
  <si>
    <t>Taslaklar üzerinde Simge (icon) Değişikliği</t>
  </si>
  <si>
    <t>MUL-206</t>
  </si>
  <si>
    <t>Jar Güncellemesi Hk.</t>
  </si>
  <si>
    <t>MUL-207</t>
  </si>
  <si>
    <t>MultiKEP Dashboard Çalışması</t>
  </si>
  <si>
    <t>MultiKEP</t>
  </si>
  <si>
    <t>MUL-208</t>
  </si>
  <si>
    <t>MKR modülünde Süreç İyileştirme</t>
  </si>
  <si>
    <t>Multikep</t>
  </si>
  <si>
    <t>MUL-209</t>
  </si>
  <si>
    <t>Alıcıları Listeleyen Süreçte Performans Geliştirmesi</t>
  </si>
  <si>
    <t>MYS-401</t>
  </si>
  <si>
    <t>Güncel Olmayan JavaScript Kütüphanesi Kullanımı</t>
  </si>
  <si>
    <t>MYS-739</t>
  </si>
  <si>
    <t>Sep Gelen Kutusuna Süreç No Bilgisinin Getirilmesi</t>
  </si>
  <si>
    <t>MYS-740</t>
  </si>
  <si>
    <t>Sep Giden Kutusuna Süreç No Bilgisinin Getirilmesi</t>
  </si>
  <si>
    <t>MYS-741</t>
  </si>
  <si>
    <t>Hatalı Süreçler Ekranı Kayıt Listeleme Sorunu</t>
  </si>
  <si>
    <t>MYS-744</t>
  </si>
  <si>
    <t>İşlem yetkilisi ayarları sayfası</t>
  </si>
  <si>
    <t>MYS-745</t>
  </si>
  <si>
    <t>UETS Gelen Kutusuna Süreçteki Adım kolonu eklenmesi</t>
  </si>
  <si>
    <t>MYS-746</t>
  </si>
  <si>
    <t>Profil Ekranına Cep Numarası Girilmesi</t>
  </si>
  <si>
    <t>MYS-747</t>
  </si>
  <si>
    <t>Profil Ekranına Kimlik Numarası Girilmesi</t>
  </si>
  <si>
    <t>MYS-748</t>
  </si>
  <si>
    <t>Profil Ekranına E-Posta Girilmesi</t>
  </si>
  <si>
    <t>MYS-749</t>
  </si>
  <si>
    <t>Şifre Güncellenmesi Hk.</t>
  </si>
  <si>
    <t>MYS-752</t>
  </si>
  <si>
    <t>Basılı İleti Güncelleme Sorunu Hk.</t>
  </si>
  <si>
    <t>MYS-753</t>
  </si>
  <si>
    <t>Sep İletilerinin Statüsünün Güncellenmesi İçin Worker Çalışması Hk.</t>
  </si>
  <si>
    <t>MYS-756</t>
  </si>
  <si>
    <t>Sütunlardaki Filtreleme Sorunu</t>
  </si>
  <si>
    <t>MYS-757</t>
  </si>
  <si>
    <t>SEP İleti -&gt; Taslaklar ekranındaki sütunların kaldırılması</t>
  </si>
  <si>
    <t>MYS-759</t>
  </si>
  <si>
    <t>MYS-761</t>
  </si>
  <si>
    <t>Güncelleme Paketi Hazırlanması - 03122024-08042025</t>
  </si>
  <si>
    <t>TIM-189</t>
  </si>
  <si>
    <t>TIM-304</t>
  </si>
  <si>
    <t>Servis dönen hataların ön yüzde kullanıcı dostu şekilde gösterilmesi</t>
  </si>
  <si>
    <t>TIM-308</t>
  </si>
  <si>
    <t>Varsayılan imzalama formatı geliştirmesi</t>
  </si>
  <si>
    <t>TIM-373</t>
  </si>
  <si>
    <t>Toplu işlemlerde çoklu onay verilmesi</t>
  </si>
  <si>
    <t>TIM-381</t>
  </si>
  <si>
    <t>Mobil İmzada Tarihçe düzenlemesi</t>
  </si>
  <si>
    <t>TIM-411</t>
  </si>
  <si>
    <t>İmza Logo Seçiminde Belge Sayfalarının Yatay ya da Hem Yatay Hem Dikey Yönlendirilmesi Seçeneklerinin de Sağlanması</t>
  </si>
  <si>
    <t>TIM-416</t>
  </si>
  <si>
    <t>Dış imzacı mail bildiriminin SMS olarak da iletilmesi</t>
  </si>
  <si>
    <t>TIM-417</t>
  </si>
  <si>
    <t>Paket ve Admin Yönetimi</t>
  </si>
  <si>
    <t>TIM-420</t>
  </si>
  <si>
    <t>Yeni arayüz talebi</t>
  </si>
  <si>
    <t>TIM-422</t>
  </si>
  <si>
    <t>Admin panelden firmaların farklı bir kullanıcısına admin yetkisi verilmesi geliştirmesi</t>
  </si>
  <si>
    <t>TIM-423</t>
  </si>
  <si>
    <t>İmza client iyileştirmeleri</t>
  </si>
  <si>
    <t>TIM-428</t>
  </si>
  <si>
    <t>Dış imzacı ret maili düzenleme</t>
  </si>
  <si>
    <t>TIM-429</t>
  </si>
  <si>
    <t>Belge Silme Adımı Yazım Hatası</t>
  </si>
  <si>
    <t>TIM-431</t>
  </si>
  <si>
    <t xml:space="preserve">Türkkep İmza Dış İmzacı Karekod/Doğrulama Kodu Eklenmesi </t>
  </si>
  <si>
    <t>TIM-432</t>
  </si>
  <si>
    <t>İmzalamada vekil atama özelliği</t>
  </si>
  <si>
    <t>TIM-433</t>
  </si>
  <si>
    <t>Sftp ile gönderilen evrakların statü takibi</t>
  </si>
  <si>
    <t>TIM-434</t>
  </si>
  <si>
    <t>Aynı Hedef Sunucuya Tek Seferde Seçimle Toplu SFTP Gönderimi</t>
  </si>
  <si>
    <t>TIM-435</t>
  </si>
  <si>
    <t xml:space="preserve">İşlem Bekleyen Belgeler Ekranındaki İmza İstekleri İçin Hatırlatma Yapılması </t>
  </si>
  <si>
    <t>TIM-436</t>
  </si>
  <si>
    <t>Paralel imzalamada sıra gözetmeksizin imzalama özelliği</t>
  </si>
  <si>
    <t>TIM-437</t>
  </si>
  <si>
    <t>İmzalanmış belgede birden fazla sayfa varsa ilk sayfa dışındakilere karekod/logo gelmesi</t>
  </si>
  <si>
    <t>TIM-439</t>
  </si>
  <si>
    <t>DB Tablolarının Oluşturulması.</t>
  </si>
  <si>
    <t>Türkkep İmza</t>
  </si>
  <si>
    <t>TIM-440</t>
  </si>
  <si>
    <t>Dış İmzacı Seçiminde Dosya Ataması</t>
  </si>
  <si>
    <t>TIM-441</t>
  </si>
  <si>
    <t>Dış İmzacı Yeni Servislerinin Oluşturulması</t>
  </si>
  <si>
    <t>TIM-442</t>
  </si>
  <si>
    <t>Dış Doğrulama İçin Yeni Süreç ID'lerinin Kullanılması</t>
  </si>
  <si>
    <t>TIM-443</t>
  </si>
  <si>
    <t>"Gönderilmeyi Bekleyen Belgeler” Ekranında Gönderilmiş Olan Belgelerin Filtre İle Gizlenebilmesi</t>
  </si>
  <si>
    <t>TÜRKKEP İmza</t>
  </si>
  <si>
    <t>UEP-12</t>
  </si>
  <si>
    <t>VKN’ye ait birden fazla başvuru kontrolü</t>
  </si>
  <si>
    <t>UEP-6</t>
  </si>
  <si>
    <t>CRM&amp;UETS Entegrasyonu</t>
  </si>
  <si>
    <t>UKDS-109</t>
  </si>
  <si>
    <t>Islak imza senaryosu için yeni statü ve düzenlemeler</t>
  </si>
  <si>
    <t>UKDS-112</t>
  </si>
  <si>
    <t>SMS metin içeriğine video linki ve e-devlet login seçeneklerinin eklenmesi</t>
  </si>
  <si>
    <t>UKDS-127</t>
  </si>
  <si>
    <t>Merkezi KEP Rehberi entegrasyonu</t>
  </si>
  <si>
    <t>UKDS-131</t>
  </si>
  <si>
    <t>KİDOS ve KİDOS Entegrasyon sözleşme bitiş tarihlerinin aktarım metoduna eklenmesi</t>
  </si>
  <si>
    <t>UKDS-138</t>
  </si>
  <si>
    <t>WEBİKENTEGRASYON KİDOS ürününe aktif/pasif liste geliştirmesi</t>
  </si>
  <si>
    <t>UKDS-139</t>
  </si>
  <si>
    <t>KİDOS'ta UKDS ile e-İmza Başvuru Seçeneğinin Geliştirmesi</t>
  </si>
  <si>
    <t>UKDS-140</t>
  </si>
  <si>
    <t>WEBİKENTEGRASYON KİDOS ürününe "Kep Kapatma" geliştirmesi</t>
  </si>
  <si>
    <t>UKDS-143</t>
  </si>
  <si>
    <t>Basvuruonay sayfasında loginden önce Pazarlamadan alınacak bilgilendirme görselinin eklenmesi</t>
  </si>
  <si>
    <t>UKDS-148</t>
  </si>
  <si>
    <t>UKDS Ön Başvuru Dokümanı e-Posta ve SMS İçeriğinin Yeni Bağlantı Adresleriyle Güncellenmesi</t>
  </si>
  <si>
    <t>WIK-573</t>
  </si>
  <si>
    <t>Firma çalışanlarına ait KEP delillerinin indirilmesi geliştirmesi</t>
  </si>
  <si>
    <t>WIK-598</t>
  </si>
  <si>
    <t>Belge Raporu ekranının migration sonrası belgeler için de kullanılabilir hale getirilmesi</t>
  </si>
  <si>
    <t>WIK-614</t>
  </si>
  <si>
    <t>KEP İK Sözleşme sürelerinin ve statülerinin tutularak iptal edilen veya süresi dolan organizasyonların girişinin engellenmesi</t>
  </si>
  <si>
    <t>WIK-619</t>
  </si>
  <si>
    <t>Çalışan gruplarının İK gönderilerinde kullanılmasi</t>
  </si>
  <si>
    <t>WIK-625</t>
  </si>
  <si>
    <t>TÜRKÇE İNGİLİZCE DİL DESTEĞİ</t>
  </si>
  <si>
    <t>WIK-626</t>
  </si>
  <si>
    <t>Eşleşmeyenler Alanında Çalışanlar Otomatik Eşleştirilmesi Hk.</t>
  </si>
  <si>
    <t>WIK-628</t>
  </si>
  <si>
    <t xml:space="preserve">Kep İk Özlük İşlemleri Şablon Oluşturma </t>
  </si>
  <si>
    <t>WIK-629</t>
  </si>
  <si>
    <t>Özlük İşlemleri Alıcı Ekleme/Şablon Eşleştirme</t>
  </si>
  <si>
    <t>WIK-630</t>
  </si>
  <si>
    <t>Özlük İşlemleri Gönderim Adımı</t>
  </si>
  <si>
    <t>WIK-631</t>
  </si>
  <si>
    <t>Özlük İşlemleri Robot Yönlendirme ve Listelenmesi</t>
  </si>
  <si>
    <t>WIK-633</t>
  </si>
  <si>
    <t>Çalışan Ekle Ekranında "İptal" Durumundaki Kayıtların Yeniden Kullanıcı Ekleme Sürecine Dahil Edilmesi</t>
  </si>
  <si>
    <t>WIK-634</t>
  </si>
  <si>
    <t xml:space="preserve">Çalışan Ekle Ekranında "İptal" Durumundaki Kayıtların Filtre İle Gizlenmesi </t>
  </si>
  <si>
    <t>WIK-635</t>
  </si>
  <si>
    <t>Duyuru Modülü Gönderimleri İçin Raporlama Seçeneği</t>
  </si>
  <si>
    <t>WIK-637</t>
  </si>
  <si>
    <t xml:space="preserve">Özlük Belgeler Alıcı TCKN Ekleme İşlemi </t>
  </si>
  <si>
    <t>WIK-638</t>
  </si>
  <si>
    <t>Özlük Belgeleri Reddedilen Belgelerin Tekrar Gönderilmesi</t>
  </si>
  <si>
    <t>WIK-639</t>
  </si>
  <si>
    <t>Özlük Belgeleri Alıcı Yükleme Ekranı Açık Rıza ve KVKK Onaylarının Eklenmesi</t>
  </si>
  <si>
    <t>WIK-640</t>
  </si>
  <si>
    <t>Delil Servislerine Erişilmesi</t>
  </si>
  <si>
    <t>KEP İK Bulut</t>
  </si>
  <si>
    <t>WIK-641</t>
  </si>
  <si>
    <t>Belge Raporu Ekranında İndirme</t>
  </si>
  <si>
    <t>WIK-642</t>
  </si>
  <si>
    <t>Rapor Dosyasının Oluşturulması.</t>
  </si>
  <si>
    <t>WIK-643</t>
  </si>
  <si>
    <t>Rapor Dosyasının Teslim edilmesi</t>
  </si>
  <si>
    <t>WIK-644</t>
  </si>
  <si>
    <t xml:space="preserve">Rapor Talebinin Oluşturulması </t>
  </si>
  <si>
    <t>WIK-646</t>
  </si>
  <si>
    <t>Uygulama Kullanıcı Simgesinin Erkek Yerine Cinsiyetsiz Bir Simge İle Değiştirilmesi</t>
  </si>
  <si>
    <t>WIK-649</t>
  </si>
  <si>
    <t>Çalışan Grupları İçin Yetkilendirme Çalışmıyor</t>
  </si>
  <si>
    <t>WIK-651</t>
  </si>
  <si>
    <t>Özlük Belgeleri Yükleme Ekranı Kullanıcı Deneyimi İyileştirmesi</t>
  </si>
  <si>
    <t>WIK-653</t>
  </si>
  <si>
    <t>Silme İşlem Loglarının Tutulması ve Log Listelerinde Sağlanması</t>
  </si>
  <si>
    <t>WIK-654</t>
  </si>
  <si>
    <t>İK Modüllerinde Reddeden Çalışanın Ret Sebebi Açıklama Alanını Doldurmasının Zorunlu Hale Getirilmesi</t>
  </si>
  <si>
    <t>EFT-2148</t>
  </si>
  <si>
    <t xml:space="preserve">e-fatura Schematron Güncellemesi </t>
  </si>
  <si>
    <t>WIK-655</t>
  </si>
  <si>
    <t>Ara yüzdeki Türkçe Metinlerin Tespit Edilmesi</t>
  </si>
  <si>
    <t>KEP-279</t>
  </si>
  <si>
    <t>Java KEP Api Güncellenmesi ile Procenne HSM Desteği Eklenmesi</t>
  </si>
  <si>
    <t>WIK-657</t>
  </si>
  <si>
    <t>Yapılan çevirilerin yerleştirilmesi</t>
  </si>
  <si>
    <t>IEU-189</t>
  </si>
  <si>
    <t>Turkcell Mobil İmza Servisinde SSL Sertifikası Değişimi - 15 Mayıs 2025</t>
  </si>
  <si>
    <t>IEU-187</t>
  </si>
  <si>
    <t>Zaman Damgalı İmzaların Sayılması</t>
  </si>
  <si>
    <t>WIK-659</t>
  </si>
  <si>
    <t>Alınan Özlük Belgelerinin Türkkep Sistemlerinde Saklanması ve e-Saklama Entegrasyonu</t>
  </si>
  <si>
    <t>WIK-656</t>
  </si>
  <si>
    <t>Translate pipe ve önyüz servisinin oluşturulması</t>
  </si>
  <si>
    <t>TIM-438</t>
  </si>
  <si>
    <t>İmza süreci tamamlanmış belgelerin silinmemesi</t>
  </si>
  <si>
    <t>KEP-283</t>
  </si>
  <si>
    <t>Kapalı Hesaba Giriş Yapıldığında Bilgilendirme Sağlanması</t>
  </si>
  <si>
    <t>IEU-188</t>
  </si>
  <si>
    <t>Basit İmzaların Sayılması</t>
  </si>
  <si>
    <t>KEP-284</t>
  </si>
  <si>
    <t>Test Ortamındaki KEP Adreslerinin Yeni Altyapıya Taşınması</t>
  </si>
  <si>
    <t>WIK-663</t>
  </si>
  <si>
    <t>Özlük Belgeleri Alıcı Yükleme Ekranı Açık Rıza ve KVKK Onayı Müşteri Metinlerinin Eklenmesi</t>
  </si>
  <si>
    <t>WIK-662</t>
  </si>
  <si>
    <t>Özlük Belgelerinin KEP İK Sunucusunda Geçici Saklanması</t>
  </si>
  <si>
    <t>WIK-661</t>
  </si>
  <si>
    <t>Ay İçinde Aktif ve Pasif Edilen Çalışanların Durumuna Göre Çalışan Listesinin Güncellenebilmesi</t>
  </si>
  <si>
    <t>WIK-660</t>
  </si>
  <si>
    <t>Ücret Pusulası ve Puantaj Modülleri Yetkilendirme Yapısında Düzenleme</t>
  </si>
  <si>
    <t>WIK-652</t>
  </si>
  <si>
    <t>Özlük Bilgileri Sayfa Karşılaştırma için Gerekli Özlük Servisi-Robot İletişim</t>
  </si>
  <si>
    <t>WIK-648</t>
  </si>
  <si>
    <t>WIK-647</t>
  </si>
  <si>
    <t>Çalışan Ekle ve Çalışanlar Modülleri İçin Kullanıcı Bazlı Yetkilendirme</t>
  </si>
  <si>
    <t>WIK-632</t>
  </si>
  <si>
    <t>Bordro gönderim sürecinde aynı ay içinde tekrar çarşaf bordro eklemeye gerek kalmadan yeni eklenen çalışanlar için eşleşmeyenleri ayrıştırarak yeniden göndermeye imkan sağlaması</t>
  </si>
  <si>
    <t>MYS-765</t>
  </si>
  <si>
    <t>Original Message Id Değerinin Düzenlenmesi</t>
  </si>
  <si>
    <t>KEP-285</t>
  </si>
  <si>
    <t>CRM KEP Hesapları Yönetimi Servis Geliştirmesi</t>
  </si>
  <si>
    <t>KA-1495</t>
  </si>
  <si>
    <t>KEPAssist CRM Entegrasyonu Kullanım Raporu Servisinin Canlı Ortam İçin Hazırlanması</t>
  </si>
  <si>
    <t>KA-1494</t>
  </si>
  <si>
    <t>KA-1479</t>
  </si>
  <si>
    <t>Gelen EYP 1.3 iletilerinin statüsünün güncellenmemesi</t>
  </si>
  <si>
    <t>KA-1465</t>
  </si>
  <si>
    <t>KA-1464</t>
  </si>
  <si>
    <t>Kullanım Raporu Sp'lerinin Hızlandırılması Hk.</t>
  </si>
  <si>
    <t>KA-1459</t>
  </si>
  <si>
    <t>IEU-202</t>
  </si>
  <si>
    <t>CI/CD Kurulumu</t>
  </si>
  <si>
    <t>IEU-201</t>
  </si>
  <si>
    <t>Yeni Geliştirmelerin QA/TEST Ortamına Atılması</t>
  </si>
  <si>
    <t>IEU-200</t>
  </si>
  <si>
    <t xml:space="preserve">Tek Metot ile Tüm İmza Tipleri İçin Doğrulama Sağlanması - verify-controller </t>
  </si>
  <si>
    <t>IEU-199</t>
  </si>
  <si>
    <t>Zaman Damgalı İmza Sayımı - Admin Panel Düzenlemesi ve Raporlama</t>
  </si>
  <si>
    <t>IEU-198</t>
  </si>
  <si>
    <t>Zaman Damgalı İmza Sayımı - VT - İşlem Kayıtlarının Tutulması</t>
  </si>
  <si>
    <t>IEU-197</t>
  </si>
  <si>
    <t>Zaman Damgalı İmza Sayımı - Auth Service İşlem Kayıtları için Metot Hazırlanması</t>
  </si>
  <si>
    <t>IEU-196</t>
  </si>
  <si>
    <t xml:space="preserve">Zaman Damgalı İmza Sayımı - Imza-Client-v2 - Exe ve Jar Güncellemesi </t>
  </si>
  <si>
    <t>IEU-195</t>
  </si>
  <si>
    <t>Zaman Damgalı İmza Sayımı - Signature-Service İmza Upgrade İşleminin Sayılması</t>
  </si>
  <si>
    <t>IEU-194</t>
  </si>
  <si>
    <t>IEU-167</t>
  </si>
  <si>
    <t>MKR Sorgulama Frekansı Değişikliği</t>
  </si>
  <si>
    <t>IEU-161</t>
  </si>
  <si>
    <t>İmzaClient Jar Güncellemesi</t>
  </si>
  <si>
    <t>IEU-156</t>
  </si>
  <si>
    <t>UETS servislerinin bulut olarak da sağlanabilmesi ve servise eklenmesi</t>
  </si>
  <si>
    <t>IEU-150</t>
  </si>
  <si>
    <t>MKR Modülü İçin /api/v1/usage Metoduna Tarih Aralığı Filtreleme Özelliği Eklenmesi (CRM Entegrasyonu)</t>
  </si>
  <si>
    <t>EFT-2159</t>
  </si>
  <si>
    <t>İmza Süresi Bitiş Kullanıcılara Uyarı Gösterilmesi</t>
  </si>
  <si>
    <t>EFT-2158</t>
  </si>
  <si>
    <t>Menü Ağacının Sıralamasının Değiştirilmesi</t>
  </si>
  <si>
    <t>EFT-2157</t>
  </si>
  <si>
    <t>Fatura Ön Eki Hata Uyarısın Düzeltilmesi.</t>
  </si>
  <si>
    <t>EFT-2156</t>
  </si>
  <si>
    <t>Hata Alan Faturaların için Çoklu İşlem Fonksiyonu Eklenmesi</t>
  </si>
  <si>
    <t>EFT-2155</t>
  </si>
  <si>
    <t>Türmob Sorgu Bilgisinin Dashboard Ekranında Düzenlemesi.</t>
  </si>
  <si>
    <t>EFT-2154</t>
  </si>
  <si>
    <t>Test Ortamında Türmob Sorgu Servisinin Kapatılması.</t>
  </si>
  <si>
    <t>EFT-2153</t>
  </si>
  <si>
    <t>Smartcard Bilgilerinin Yeni İmza Client Uygulamasında Saklanması</t>
  </si>
  <si>
    <t>EFT-2092</t>
  </si>
  <si>
    <t>Sözleşme Ve Aktivasyon Kullanılan Setupta .jar Dosyasının Güncellenmesi</t>
  </si>
  <si>
    <t>EFT-2080</t>
  </si>
  <si>
    <t>Gelen Faturalar Modülünde Reddedilen Faturalara Arşive Gönder Özelliği Eklenmesi</t>
  </si>
  <si>
    <t>EDF-757</t>
  </si>
  <si>
    <t>Kapital Firması/ e-Defter Kebir Dosyalarının GİB Sistemlerine Yüklenmemesi için Değişiklik</t>
  </si>
  <si>
    <t>EDF-745</t>
  </si>
  <si>
    <t>Sızma Testi Bulguları</t>
  </si>
  <si>
    <t>EDF-744</t>
  </si>
  <si>
    <t>Portalde Yükleme Araçlar&gt;LUCA Excel Yükleme Modülünde Madde No Kontrolü Ekleme</t>
  </si>
  <si>
    <t>EDF-743</t>
  </si>
  <si>
    <t>Kontratı CST_Contract Tablosunda Bulunmayan Müşterilere Uyarı Metni</t>
  </si>
  <si>
    <t>EDF-731</t>
  </si>
  <si>
    <t>Hizmet Sözleşmesi Bitecek Müşteri İçin E-Defter Ürünlerinin Ekranında Geri Sayım İçeren Uyarı Metninin Eklenmesi</t>
  </si>
  <si>
    <t>CRM-629</t>
  </si>
  <si>
    <t>RezerveKEP metoduna dış servis kullanım senaryosu eklenmesi</t>
  </si>
  <si>
    <t>CRM-628</t>
  </si>
  <si>
    <t>Yüksek boyutlu dosya yükleme hatası</t>
  </si>
  <si>
    <t>CRM-627</t>
  </si>
  <si>
    <t>MERSİS sorgu sonucunda birden fazla münferit yetkili gelmesi</t>
  </si>
  <si>
    <t>CRM-626</t>
  </si>
  <si>
    <t>Servisin test ortamında aktif edilmesi</t>
  </si>
  <si>
    <t>CRM-623</t>
  </si>
  <si>
    <t>MERSİS sorgu sonucunda NACE kodu bilgisinin boş gelmesi</t>
  </si>
  <si>
    <t>CRM-622</t>
  </si>
  <si>
    <t>Teklif onay süreci geliştirilmesi</t>
  </si>
  <si>
    <t>CRM-621</t>
  </si>
  <si>
    <t>KEP Assist modül yenileme akışının kontrol edilmesi</t>
  </si>
  <si>
    <t>CRM-561</t>
  </si>
  <si>
    <t>Multikep Kota Yükleme İşlemleri</t>
  </si>
  <si>
    <t>CRM-552</t>
  </si>
  <si>
    <t>Multikep Müşteri Bilgileri Gönderilirken İşlem Yetkililerinden Kullanıcıların Aktarılması</t>
  </si>
  <si>
    <t>CRM-495</t>
  </si>
  <si>
    <t>Oluşan QR Kodlu Toplu Evrakların Satışçıya/Bayiye İletilmesi</t>
  </si>
  <si>
    <t>EDF-759</t>
  </si>
  <si>
    <t>Defter Portalda İmzalama Sürecinde Client Linkinin Eski Olması</t>
  </si>
  <si>
    <t>MYS-768</t>
  </si>
  <si>
    <t>KW-7</t>
  </si>
  <si>
    <t>Üst Yönetim Raporu - KEP İleti Sayılarının Detaylı Kırılımı</t>
  </si>
  <si>
    <t>KA-1504</t>
  </si>
  <si>
    <t>Detsis No Arama Hatası</t>
  </si>
  <si>
    <t>KA-1503</t>
  </si>
  <si>
    <t>Kullanıcı Yönetimi - Kullanıcı Oluşturma Hatası</t>
  </si>
  <si>
    <t>IEU-207</t>
  </si>
  <si>
    <t>SonarQube Kod Taraması Yapılması</t>
  </si>
  <si>
    <t>IEU-206</t>
  </si>
  <si>
    <t>Kod Gözden Geçirme ve Güvenlik İyileştirmesi (SonarQube Analizi Sonuçlarına Göre)</t>
  </si>
  <si>
    <t>EFT-2165</t>
  </si>
  <si>
    <t>Portalda İrsaliye oluştur Ekranında 'Sevk Saati' Alanı Değişikliği</t>
  </si>
  <si>
    <t>EFT-2167</t>
  </si>
  <si>
    <t>Araştırma/ Şematron Hatalarının Kaynaklarının Tespiti</t>
  </si>
  <si>
    <t>DP-281</t>
  </si>
  <si>
    <t>e-Belge Kullanıcı Listelerinin Dışa Aktarılabilir Hale Getirilmesi</t>
  </si>
  <si>
    <t>DP-280</t>
  </si>
  <si>
    <t>Hizmet İptali Olan Firmalar İçin Veri Teslim Talebi</t>
  </si>
  <si>
    <t>DP-279</t>
  </si>
  <si>
    <t>Yanlış Mühürle İmzalanan Defterin Durumunun Güncellenmesi</t>
  </si>
  <si>
    <t>DP-278</t>
  </si>
  <si>
    <t>Şematron Kontrolünde Kalan Defterin Aktarım Başarılı Durumuna Çekilmesi</t>
  </si>
  <si>
    <t>DP-277</t>
  </si>
  <si>
    <t>Defterin Dönem Kapama Durumuna Geçmemesi Halinde Güncelleme Talebi</t>
  </si>
  <si>
    <t>DP-276</t>
  </si>
  <si>
    <t>Silinen Cari Hesabın Geri Alınma İşleminin Portal Üzerinden Yapılması</t>
  </si>
  <si>
    <t>EDF-761</t>
  </si>
  <si>
    <t>E-Defter Gönderim Sürecindeki Hata ve Sorunların Tespiti</t>
  </si>
  <si>
    <t>IEU-208</t>
  </si>
  <si>
    <t>Metotlardan Dönen Hata Yanıtlarının Düzenlenmesi</t>
  </si>
  <si>
    <t>MU-64</t>
  </si>
  <si>
    <t>Genel Responsive Design Düzenlemesi</t>
  </si>
  <si>
    <t>MU-63</t>
  </si>
  <si>
    <t>Mobil Uygulamada Sayfalar Arası Geçişlerde UX Sorunlarının Giderilmesi</t>
  </si>
  <si>
    <t>MU-62</t>
  </si>
  <si>
    <t>Bazı Mobil Cihazlarda "Şifremi Unuttum" Adımında Yaşanan Hata</t>
  </si>
  <si>
    <t>WIK-670</t>
  </si>
  <si>
    <t>Çalışan Ekle Ekranı Sayfalama Yapısının Sağlanması - Arayüz Çalışması</t>
  </si>
  <si>
    <t>WIK-671</t>
  </si>
  <si>
    <t>Özlük Belgeleri Ekranı Sayfalama Yapısının Sağlanması - Servis Çalışması</t>
  </si>
  <si>
    <t>WIK-666</t>
  </si>
  <si>
    <t>Özlük Belgeleri Ekranı Sayfalama Yapısının Sağlanması - Arayüz Çalışması</t>
  </si>
  <si>
    <t>UKDS-151</t>
  </si>
  <si>
    <t>Çalışan Ekle Modülünde Çok Sayıda Kayıt için Excel'e Aktarma Özelliğinin Performans İyileştirmesi</t>
  </si>
  <si>
    <t>UKDS-152</t>
  </si>
  <si>
    <t>Çalışan Ekle Ekranı Sayfalama Yapısının Sağlanması - Servis Çalışması</t>
  </si>
  <si>
    <t>TIM-447</t>
  </si>
  <si>
    <t>Yatay Belge İçerisinde Logonun Doküman İçerisinde Tam Görünmemesi</t>
  </si>
  <si>
    <t>KEP-286</t>
  </si>
  <si>
    <t>Webmail Delil Doğrulama Servisleri Güncellemesi</t>
  </si>
  <si>
    <t>KEP-287</t>
  </si>
  <si>
    <t>Hesap Kapatma İşlemlerinin JNLP yerine Yeni Client ile Gerçekleştirilmesi</t>
  </si>
  <si>
    <t>UKDS-156</t>
  </si>
  <si>
    <t>KİDOS Özelliklerinin Servis Olarak Sağlanması</t>
  </si>
  <si>
    <t>UKDS-154</t>
  </si>
  <si>
    <t>KİDOS-MERSİS Entegrasyonu</t>
  </si>
  <si>
    <t>DP-282</t>
  </si>
  <si>
    <t>Faturanın Deleted durumunun Y olarak güncellenmesi</t>
  </si>
  <si>
    <t>MU-67</t>
  </si>
  <si>
    <t>Mobil İmza İle KEP Gönderimi</t>
  </si>
  <si>
    <t>IEU-209</t>
  </si>
  <si>
    <t>EYP Parser Metotlarında Hatalı Doğrulama Sonucu Dönmesi</t>
  </si>
  <si>
    <t>EFT-2174</t>
  </si>
  <si>
    <t>“YOLCU BERABER FATURA” Senaryo Kontrolü</t>
  </si>
  <si>
    <t>EFT-2173</t>
  </si>
  <si>
    <t>“TICARIFATURA” Senaryo Kontrolü</t>
  </si>
  <si>
    <t>EFT-2172</t>
  </si>
  <si>
    <t>“TEMELFATURA" Senaryo Kontrolü</t>
  </si>
  <si>
    <t>DP-283</t>
  </si>
  <si>
    <t>Onay işlemleri açılmayan defterin gib kuyruğuna gönderilmesi</t>
  </si>
  <si>
    <t>EDF-764</t>
  </si>
  <si>
    <t>EFT-2192</t>
  </si>
  <si>
    <t>Web Serviste Vergi Oranı Sınırı</t>
  </si>
  <si>
    <t>EFT-2193</t>
  </si>
  <si>
    <t>Konnektör Vergi Oranı Sınırı</t>
  </si>
  <si>
    <t>MYS-771</t>
  </si>
  <si>
    <t>"KEP İleti -&gt; Hatalı Süreçler" Sayfasında Hata Alan İletilere Ait Detay Bilgilerin Gösterilmesi</t>
  </si>
  <si>
    <t>WIK-678</t>
  </si>
  <si>
    <t>Kayıt defterinde Modül Adlarının Doğru Yazılması</t>
  </si>
  <si>
    <t>WIK-675</t>
  </si>
  <si>
    <t>Dönem/Ay Açılışlarında Geçersiz Ek Dönemlerin Açılması.</t>
  </si>
  <si>
    <t>WIK-679</t>
  </si>
  <si>
    <t>Çalışan Ekle ve Özlük Belgeleri işlemlerinin İşlem Kayıt Defterinde Eklenmesi</t>
  </si>
  <si>
    <t>WIK-676</t>
  </si>
  <si>
    <t>Çalışan Ekle ve Özlük Belgeleri Kullanıcı Bazlı Silme İşlemlerinin Loglanması</t>
  </si>
  <si>
    <t>WIK-677</t>
  </si>
  <si>
    <t>Sistem Tarafından Silinen Verinin Loglanması</t>
  </si>
  <si>
    <t>WIK-680</t>
  </si>
  <si>
    <t>Yeni Açılan Dönem/Ay için Hazır Şablon Oluşturulması ve Atanması</t>
  </si>
  <si>
    <t>UKDS-157</t>
  </si>
  <si>
    <t>Firma Ünvanı Uzunluğunun SMS Gönderimini Engellemesi</t>
  </si>
  <si>
    <t>UKDS-155</t>
  </si>
  <si>
    <t>KİDOS ve CRM için MERSİS Entegrasyonu</t>
  </si>
  <si>
    <t>UKDS-144</t>
  </si>
  <si>
    <t>Raporlama servisine entegrasyon servisi ile birlikte gelen yeni tiplerin eklenmesi</t>
  </si>
  <si>
    <t>UKDS-137</t>
  </si>
  <si>
    <t>ENTEGRASYON BIREYSEL/KURUMSAL ve Pazarama tipli başvurularda paket gösterimi+seçimi</t>
  </si>
  <si>
    <t>UKDS-117</t>
  </si>
  <si>
    <t>Entegrasyon UKDS Servis Geliştirmesi</t>
  </si>
  <si>
    <t>TIM-424</t>
  </si>
  <si>
    <t>Filtrelemelerde bug fix</t>
  </si>
  <si>
    <t>TIM-421</t>
  </si>
  <si>
    <t>Mail bildirimi kapalı userların şifre sıfırlama süreci</t>
  </si>
  <si>
    <t>TIM-415</t>
  </si>
  <si>
    <t>e-imza ile girişte enter tuşu ile login olma</t>
  </si>
  <si>
    <t>MU-70</t>
  </si>
  <si>
    <t>Gelen ve Giden kutularında kayıt tekrarlama sorunu</t>
  </si>
  <si>
    <t>MU-69</t>
  </si>
  <si>
    <t xml:space="preserve">e-İmza ile Giriş Özelliğinin Sağlanması </t>
  </si>
  <si>
    <t>MU-68</t>
  </si>
  <si>
    <t>Mobil İmza ile Giriş Özelliğinin Sağlanması</t>
  </si>
  <si>
    <t>KEP-289</t>
  </si>
  <si>
    <t>Webmail Giriş Seçeneğinden Bağımsız Olarak KEP İleti Gönderiminde İstenilen İmzalama Yönetiminin Kullanılması</t>
  </si>
  <si>
    <t>EFT-2191</t>
  </si>
  <si>
    <t>"e-ARŞİV FATURA" Düzenlenme Kontrolü</t>
  </si>
  <si>
    <t>EFT-2190</t>
  </si>
  <si>
    <t>"TEKNOLOJİ DESTEK FATURA TİPİ" Senaryo Kontrolü</t>
  </si>
  <si>
    <t>EFT-2189</t>
  </si>
  <si>
    <t xml:space="preserve"> "ŞARJ ANLIK FATURA TİPİ" Senaryo Kontrolü</t>
  </si>
  <si>
    <t>EFT-2188</t>
  </si>
  <si>
    <t>"ŞARJ FATURA TİPİ" Senaryo Kontrolü</t>
  </si>
  <si>
    <t>EFT-2187</t>
  </si>
  <si>
    <t>"HAL TİPİ SATIŞ FATURA TİPİ" Senaryo Kontrolü</t>
  </si>
  <si>
    <t>EFT-2186</t>
  </si>
  <si>
    <t>"KONAKLAMA VERGİSİ FATURASI" Senaryo Kontrolü</t>
  </si>
  <si>
    <t>EFT-2185</t>
  </si>
  <si>
    <t>"SGK’YA DÜZENLENECEK FATURA TİPİ" Senaryo Tipi</t>
  </si>
  <si>
    <t>EFT-2184</t>
  </si>
  <si>
    <t xml:space="preserve"> "İHRAÇ KAYITLI FATURA TİPİ" Senaryo Kontrolü</t>
  </si>
  <si>
    <t>EFT-2183</t>
  </si>
  <si>
    <t>"ÖZEL MATRAHLI FATURA TİPİ" Senaryo Kontrolü</t>
  </si>
  <si>
    <t>EFT-2182</t>
  </si>
  <si>
    <t>"İSTİSNA FATURA TİPİ" Senaryo Kontrolü</t>
  </si>
  <si>
    <t>EFT-2181</t>
  </si>
  <si>
    <t>"TEVKİFATLI İADE FATURA TİPİ" Senaryo Kontrolü</t>
  </si>
  <si>
    <t>EFT-2180</t>
  </si>
  <si>
    <t>"TEVKİFAT FATURA TİPİ" Senaryo Kontrolü</t>
  </si>
  <si>
    <t>EFT-2179</t>
  </si>
  <si>
    <t>"İADE FATURA TİPİ" Senaryo Kontrolü</t>
  </si>
  <si>
    <t>EFT-2178</t>
  </si>
  <si>
    <t>“İLAC_TIBBİCİHAZ” Senaryo Kontrolü</t>
  </si>
  <si>
    <t>EFT-2177</t>
  </si>
  <si>
    <t>“HAL TİPİ FATURA (HKS)” Senaryo Kontrolü</t>
  </si>
  <si>
    <t>EFT-2176</t>
  </si>
  <si>
    <t>“KAMU”  Senaryo Kontrolü</t>
  </si>
  <si>
    <t>EFT-2175</t>
  </si>
  <si>
    <t>“IHRACAT” Senaryo Kontrolü</t>
  </si>
  <si>
    <t>EDF-765</t>
  </si>
  <si>
    <t>WIK-686</t>
  </si>
  <si>
    <t>Bir Çalışan İçin Birden Fazla Sayfa İçeren PDF Yüklendiğinde Tümünün Tek İleti İle Gönderilebilmesi</t>
  </si>
  <si>
    <t>WIK-685</t>
  </si>
  <si>
    <t>Özlük Belgeleri Yüklemeyi Tamamlayan Kişinin Sonuç Ekranına Yönlendirilmesi</t>
  </si>
  <si>
    <t>WIK-581</t>
  </si>
  <si>
    <t>Çalışanlar modülünde başarısız duyuru gönderim gösterimi</t>
  </si>
  <si>
    <t>WIK-533</t>
  </si>
  <si>
    <t>CRM servis metotları reponse body düzenlemesi</t>
  </si>
  <si>
    <t>WIK-524</t>
  </si>
  <si>
    <t>İmzalamada çıkan progress bar yazısı</t>
  </si>
  <si>
    <t>WIK-513</t>
  </si>
  <si>
    <t>İK gönderim dönemlerinin yüklenmesi konusunda iyileştirme çalışması</t>
  </si>
  <si>
    <t>WIK-510</t>
  </si>
  <si>
    <t xml:space="preserve">CRM metotları için yeni servis geliştirmesi </t>
  </si>
  <si>
    <t>WIK-507</t>
  </si>
  <si>
    <t>Onay/Ret modül düzenlemesi</t>
  </si>
  <si>
    <t>UKDS-160</t>
  </si>
  <si>
    <t>UKDS Süreçlerinde BTK Onayında Bekleyen Kaydın İptal Edilebilmesi</t>
  </si>
  <si>
    <t>UKDS-159</t>
  </si>
  <si>
    <t>E posta Domain Değişikliği</t>
  </si>
  <si>
    <t>UKDS-120</t>
  </si>
  <si>
    <t>Çalışan listesindeki pasif çalışanın "Çalışan Ekle" modülü uyarı popup geliştirmesi</t>
  </si>
  <si>
    <t>UKDS-118</t>
  </si>
  <si>
    <t>Raporlama servisi için KEP İK başvurularında kep adresi bilgisinin de tutulması</t>
  </si>
  <si>
    <t>UKDS-57</t>
  </si>
  <si>
    <t>Mobil tarayıcı pop-up düzenlemesi</t>
  </si>
  <si>
    <t>UKDS-54</t>
  </si>
  <si>
    <t>Mobil uygulama üzerinden erişim için uuid bilgisi listeleme metot geliştirmesi</t>
  </si>
  <si>
    <t>UKDS-50</t>
  </si>
  <si>
    <t>Pazarlama biriminden talep edilen ön yüz tasarımı için geliştirmeler</t>
  </si>
  <si>
    <t>UKDS-49</t>
  </si>
  <si>
    <t>İletişim bilgileri ekranı düzenlemesi</t>
  </si>
  <si>
    <t>UEP-13</t>
  </si>
  <si>
    <t>UEP - Bitiş tarihinin PTT response bodysinden alınması</t>
  </si>
  <si>
    <t>UEP-11</t>
  </si>
  <si>
    <t>UEP - Türkkep logosunun güncellenmesi</t>
  </si>
  <si>
    <t>UEP-9</t>
  </si>
  <si>
    <t>UEP - Yenileme yapılmayan hesaplar için kontrol geliştirmesi</t>
  </si>
  <si>
    <t>UEP-5</t>
  </si>
  <si>
    <t>UEP - Alıcı Referans bilgisinin kaydedilmesi</t>
  </si>
  <si>
    <t>UEP-4</t>
  </si>
  <si>
    <t>UEP - Jenkins'in UETS Portal entegresi</t>
  </si>
  <si>
    <t>UEP-3</t>
  </si>
  <si>
    <t>UEP - UETS API Anahtarı Yenileme Geliştirmesi</t>
  </si>
  <si>
    <t>UEP-2</t>
  </si>
  <si>
    <t>UEP - UETS başvuru portal önyüz geliştirmesi</t>
  </si>
  <si>
    <t>UEP-1</t>
  </si>
  <si>
    <t>UEP - UETS başvuru portal servis geliştirmesi</t>
  </si>
  <si>
    <t>TIM-448</t>
  </si>
  <si>
    <t>MU-75</t>
  </si>
  <si>
    <t>Teslim edilemeyen iletinin giden iletiye ait delil detayında teslim edildi olarak görünmesi</t>
  </si>
  <si>
    <t>MU-74</t>
  </si>
  <si>
    <t>Bildirim Servisi Hata Düzenlemeleri</t>
  </si>
  <si>
    <t>MU-71</t>
  </si>
  <si>
    <t>Bildirimler Ekranı Düzenlemeleri</t>
  </si>
  <si>
    <t>KEP-295</t>
  </si>
  <si>
    <t>Görme Yetkisinin Düzenlenmesi</t>
  </si>
  <si>
    <t>KEP-294</t>
  </si>
  <si>
    <t>Rehber Servis Güncellemesi</t>
  </si>
  <si>
    <t>KEP-293</t>
  </si>
  <si>
    <t>Rehber Sorgulamalarında Kuyruk/Sorgu Çoklama</t>
  </si>
  <si>
    <t>KEP-292</t>
  </si>
  <si>
    <t>UETS bildirimlerinin logunun tutulması ve log kayıtlarının kolay erişilebilir yapıda tutulması</t>
  </si>
  <si>
    <t>KEP-291</t>
  </si>
  <si>
    <t xml:space="preserve">IMAP Sunucu Değişikliği </t>
  </si>
  <si>
    <t>KEP-290</t>
  </si>
  <si>
    <t>Webmail Posta Kutuları Altında Klasör Oluşturulabilmesi</t>
  </si>
  <si>
    <t>IEU-213</t>
  </si>
  <si>
    <t>Crg Service 404 not found hatası - test ortamı</t>
  </si>
  <si>
    <t>IEU-143</t>
  </si>
  <si>
    <t>Güvenlik Bulguları Hk.</t>
  </si>
  <si>
    <t>IEU-141</t>
  </si>
  <si>
    <t>MKR Modülü için kota tanımlamaları</t>
  </si>
  <si>
    <t>EFT-2199</t>
  </si>
  <si>
    <t xml:space="preserve">Nihai Tüketici Kontrolü </t>
  </si>
  <si>
    <t>EFT-2198</t>
  </si>
  <si>
    <t>Portal/ SGK Tipi Faturalarda "Aracı Kurum" Alanının Kaldırılması</t>
  </si>
  <si>
    <t>EDF-767</t>
  </si>
  <si>
    <t>Muvakatname İşlemleri</t>
  </si>
  <si>
    <t>DS-12</t>
  </si>
  <si>
    <t>DETSİS - İsimle kurum arama zorunlu karakter sayısı değişikliği</t>
  </si>
  <si>
    <t>DS-11</t>
  </si>
  <si>
    <t>DETSİS - KEP Asistan uygulaması için kullanıcı tanımlanması</t>
  </si>
  <si>
    <t>DS-9</t>
  </si>
  <si>
    <t>DETSİS - Detsis test servis erişim ayarlamaları</t>
  </si>
  <si>
    <t>DS-8</t>
  </si>
  <si>
    <t>DETSİS servis - KEP Assist erişim tanımlaması</t>
  </si>
  <si>
    <t>DS-7</t>
  </si>
  <si>
    <t>DETSİS - Servis domain adı tanımlanması</t>
  </si>
  <si>
    <t>DS-4</t>
  </si>
  <si>
    <t>DETSİS servis projesinin düzenlenmesi ve canlıya aktarımı</t>
  </si>
  <si>
    <t>DS-3</t>
  </si>
  <si>
    <t>DETSİS - Rest Servis Geliştirilmesi</t>
  </si>
  <si>
    <t>DS-2</t>
  </si>
  <si>
    <t>DETSİS - Veri Tabanının Oluşturulması</t>
  </si>
  <si>
    <t>DAVS-31</t>
  </si>
  <si>
    <t>Yazılım Alt Yapının Hazırlanması</t>
  </si>
  <si>
    <t>Dijital Arşiv ve Saklama</t>
  </si>
  <si>
    <t>DAVS-30</t>
  </si>
  <si>
    <t>Yazılım Geliştirme Ortamının Belirlenmesi</t>
  </si>
  <si>
    <t>DAVS-29</t>
  </si>
  <si>
    <t>Yazılım Alt Yapısının Belirlenmesi</t>
  </si>
  <si>
    <t>DAVS-28</t>
  </si>
  <si>
    <t>Kullanıcı Arayüz Tasarımın Oluşturulması</t>
  </si>
  <si>
    <t>DAVS-27</t>
  </si>
  <si>
    <t>Webservis Tasarımın Oluşturulması</t>
  </si>
  <si>
    <t>DAVS-26</t>
  </si>
  <si>
    <t>Veritabanı Tasarımın Oluşturulması</t>
  </si>
  <si>
    <t>DAVS-25</t>
  </si>
  <si>
    <t>Mimari Tasarımın Oluşturulması</t>
  </si>
  <si>
    <t>CRM-639</t>
  </si>
  <si>
    <t>KEP İK Kullanıcı Yönetim Modülü Entegrasyonu</t>
  </si>
  <si>
    <t>CRM-638</t>
  </si>
  <si>
    <t>Entegrasyon üzerinden gelen başvuruların statü güncellenmesi</t>
  </si>
  <si>
    <t>CRM-637</t>
  </si>
  <si>
    <t>Entegrasyon servisinden KEP hesap başvurusunun iptal edilmesi</t>
  </si>
  <si>
    <t>CRM-636</t>
  </si>
  <si>
    <t>KEP İK Özlük Modülü CRM Entegrasyonu</t>
  </si>
  <si>
    <t>CRM-633</t>
  </si>
  <si>
    <t>E-Ödeme için Tutar alanının güncellenmesi</t>
  </si>
  <si>
    <t>CRM-632</t>
  </si>
  <si>
    <t>Sipariş detayında aktif temsilci bilgisi gelmemesi</t>
  </si>
  <si>
    <t>IEU-218</t>
  </si>
  <si>
    <t xml:space="preserve">HSM ile İmzalama Metotlarında Slot Bilgisinin Parametre Olarak Eklenmesi  </t>
  </si>
  <si>
    <t>IEU-217</t>
  </si>
  <si>
    <t>HSM Üzerinde Tanımlı Olan Sertifikaları Listeleyen token Metodu Geliştirmesi</t>
  </si>
  <si>
    <t>MYS-776</t>
  </si>
  <si>
    <t>MU-101</t>
  </si>
  <si>
    <t>KEP İmzalama Adımında Telefon Numarası Girişinin Pratik Hale Getirilmesi</t>
  </si>
  <si>
    <t>MU-100</t>
  </si>
  <si>
    <t>Giden Kutusunda “Teslim Edilemedi” ve “Reddedildi” Delil Türleri İçin Sebep Açıklaması Gösterimi</t>
  </si>
  <si>
    <t>MU-99</t>
  </si>
  <si>
    <t>Posta Kutularında Kaydırma Konumunu Gösteren Scroll Çubuğu Eklenmesi</t>
  </si>
  <si>
    <t>MU-98</t>
  </si>
  <si>
    <t>Uygulama Genelindeki Diyalog (Pop-up) Tasarımlarının Modernize Edilmesi</t>
  </si>
  <si>
    <t>MU-97</t>
  </si>
  <si>
    <t>Login Ekranında KEP Adresi Listeleme Alanının Modernize Edilmesi</t>
  </si>
  <si>
    <t>MU-96</t>
  </si>
  <si>
    <t>Ek Dosya Açılış Sürecinde Kullanıcıya Yönelik Geri Bildirim Eksikliği</t>
  </si>
  <si>
    <t>MU-95</t>
  </si>
  <si>
    <t>Yüksek Boyutlu İletilerinin Açılma Süresinin İyileştirilmesi</t>
  </si>
  <si>
    <t>MU-94</t>
  </si>
  <si>
    <t xml:space="preserve">rem-address-is-active metodunda sender Parametresinin Tutarsız Değer Döndürmesi </t>
  </si>
  <si>
    <t>MU-93</t>
  </si>
  <si>
    <t>Biometrik Doğrulama ile Giriş Süresinin Artması (v2.0.15 (1) Paketi)</t>
  </si>
  <si>
    <t>MU-92</t>
  </si>
  <si>
    <t>Manuel Açılan Posta Kutularının Görüntülenme ve İsimlendirme Sorunu</t>
  </si>
  <si>
    <t>MU-91</t>
  </si>
  <si>
    <t>Uyarı Diyaloglarındaki Yönlendirme Hatalarının Düzenlenmesi</t>
  </si>
  <si>
    <t>MU-90</t>
  </si>
  <si>
    <t>Hatalı Geçici Parola Girişi Durumunda Yanıltıcı Uyarı Mesajı Gösterimi</t>
  </si>
  <si>
    <t>MU-89</t>
  </si>
  <si>
    <t>Merkezi KEP Rehberi Sorgulamasının Yapılması</t>
  </si>
  <si>
    <t>MU-88</t>
  </si>
  <si>
    <t>Alt Menüdeki 'Gelen Kutusu' ve 'Giden Kutusu' Butonlarına Çoklu Tıklama Sorunu</t>
  </si>
  <si>
    <t>MU-87</t>
  </si>
  <si>
    <t>Posta Kutusu Görüntüleme Sonrası Liste Konumunun Korunması</t>
  </si>
  <si>
    <t>MU-86</t>
  </si>
  <si>
    <t>Webmail Adres Defterinin Mobil Uygulamada Eşzamanlı Kullanılması</t>
  </si>
  <si>
    <t>MU-85</t>
  </si>
  <si>
    <t xml:space="preserve">Posta Kutularındaki İletiler İçin "Yanıtla", "İlet" ve "Sil" İşlevlerinin Sağlanması </t>
  </si>
  <si>
    <t>MU-84</t>
  </si>
  <si>
    <t>Hatalı TCKN veya Şifre Girişinde Kullanıcı Uyarısının Güncellenmesi</t>
  </si>
  <si>
    <t>MU-83</t>
  </si>
  <si>
    <t>KEP Gönderim Ekranında İletinin Gönderimi Sırasında Paket İçeriğine Müdahalenin Engellenmesi</t>
  </si>
  <si>
    <t>MU-82</t>
  </si>
  <si>
    <t>KEP Başvuru Girişi Sonrası Ana Sayfaya Dönüş Sorununun Giderilmesi</t>
  </si>
  <si>
    <t>MU-81</t>
  </si>
  <si>
    <t>KEP İletisi Gönderim Ekranında Alıcı Adresi Doğrulama Kontrolü</t>
  </si>
  <si>
    <t>MU-80</t>
  </si>
  <si>
    <t>İleti Arama Filtreleme Arayüzü Düzenlemesi</t>
  </si>
  <si>
    <t>MU-78</t>
  </si>
  <si>
    <t>Şifre sıfırlama sonrası giriş ekranında etkileşim problemi</t>
  </si>
  <si>
    <t>MU-77</t>
  </si>
  <si>
    <t>Canlı ve Test Ortamında Ulaşılamayan Mobil Servislerin Erişilebilirliğinin Sağlanması</t>
  </si>
  <si>
    <t>MU-76</t>
  </si>
  <si>
    <t>Giden Kutusundan Görüntülenen Mesajlarda 'Geri' Tuşunun Yanlış Ekrana Yönlendirmesi</t>
  </si>
  <si>
    <t>MU-73</t>
  </si>
  <si>
    <t>Posta Kutuları Tasarımsal Düzenleme Hk.</t>
  </si>
  <si>
    <t>KEP-299</t>
  </si>
  <si>
    <t>/ws/evidencelistbyorigmsgid Metodunda Tarih Bilgisinin Dönülmesi</t>
  </si>
  <si>
    <t>KEP-298</t>
  </si>
  <si>
    <t xml:space="preserve">Hesapta Tanımlı Olandan Farklı Bir Telefon Numarası ile Mobil İmzalama Yapılabilmesi </t>
  </si>
  <si>
    <t>KEP-296</t>
  </si>
  <si>
    <t>MKR Sorgusunda Bulunamayan KEP Adresleri için Anlaşılır Uyarı Gösterilmesi</t>
  </si>
  <si>
    <t>DAVS-35</t>
  </si>
  <si>
    <t>Sisteme Giriş Loglarının Tutulması</t>
  </si>
  <si>
    <t>DAVS-34</t>
  </si>
  <si>
    <t xml:space="preserve">Alternatif Giriş Yöntemleri/ Elektronik İmza </t>
  </si>
  <si>
    <t>DAVS-33</t>
  </si>
  <si>
    <t>Alternatif Giriş Yöntemleri/Mobil İmza</t>
  </si>
  <si>
    <t>DAVS-32</t>
  </si>
  <si>
    <t>Kullanıcıların e-Posta/ TCKN ve Parola Bilgisi ile Portala Giriş Yapabilmesi.</t>
  </si>
  <si>
    <t>CRM-642</t>
  </si>
  <si>
    <t>Entegrasyon Suit trafik bilgilerinin kaydedilmesi</t>
  </si>
  <si>
    <t>EFT-2208</t>
  </si>
  <si>
    <t>SAP - Gelen İrsaliyeleri İndir (UUID) Metodunun Sağlanması</t>
  </si>
  <si>
    <t>EFT-2207</t>
  </si>
  <si>
    <t>SAP - Gelen İrsaliyeleri İndir (ZIP UBL) Metodunun Sağlanması</t>
  </si>
  <si>
    <t>EFT-2206</t>
  </si>
  <si>
    <t>SAP - Gelen İrsaliyeleri Listeleyen Metot Sağlanması</t>
  </si>
  <si>
    <t>CRM-649</t>
  </si>
  <si>
    <t>E-Fatura ve E-Arşiv Ürünleri Trafik Bilgileri Detay Görünüm</t>
  </si>
  <si>
    <t>CRM-650</t>
  </si>
  <si>
    <t>Tevkifatlı Fatura Sınırı Güncelleme</t>
  </si>
  <si>
    <t>WIK-689</t>
  </si>
  <si>
    <t>Özlük Belgeleri KVKK Aydınlatma Metinin İçerisinde Ünvanın Sayfa İçerisine Sığmaması</t>
  </si>
  <si>
    <t>MU-105</t>
  </si>
  <si>
    <t>Mobil Uygulamada Cihaz Ekran Boyutlarına Göre Görsel Oran Uyumsuzluklarının Düzenlenmesi</t>
  </si>
  <si>
    <t>MU-104</t>
  </si>
  <si>
    <t>Kurumsal Ön Başvuru Belge Yükleme Alanında Dosya Format Kontrolü ve Galeri Erişimi</t>
  </si>
  <si>
    <t>MU-103</t>
  </si>
  <si>
    <t>Kurumsal Ön Başvuru Belge Yükleme Alanında Yüklenen Belgelerin Anlık Görüntülenmemesi</t>
  </si>
  <si>
    <t>MU-102</t>
  </si>
  <si>
    <t>Ön Başvuru Onaylama Sayfasında Tekrarlı Gönderimlerin Engellenmesi</t>
  </si>
  <si>
    <t>KW-8</t>
  </si>
  <si>
    <t>rem-address-is-active Metodunda "hesapDurum" Değerinin Düzeltilmesi</t>
  </si>
  <si>
    <t>TIM-450</t>
  </si>
  <si>
    <t>Onaylama Adımından Sonra Karekod Doğrulama Kodunun Gelmemesi</t>
  </si>
  <si>
    <t>MU-108</t>
  </si>
  <si>
    <t>Okunmamış İletilerin Okundu Olarak İşaretlenmesi Gerçek Zamanlı Güncellenmiyor</t>
  </si>
  <si>
    <t>MU-107</t>
  </si>
  <si>
    <t>Login İşleminde API 500 Hatası Alındığında Anlaşılır Hata Bildirimi Gösterilmiyor</t>
  </si>
  <si>
    <t>KA-1514</t>
  </si>
  <si>
    <t>Taslaklardan EYP eki silerken alınan hata</t>
  </si>
  <si>
    <t>EFT-2213</t>
  </si>
  <si>
    <t>e-İrsaliye SAP Metotları Test Sürecini Kolaylaştıran Uygulamanın Yazılması</t>
  </si>
  <si>
    <t>EFT-2205</t>
  </si>
  <si>
    <t xml:space="preserve">İlaç Tıbbi Cihaz Teslimlerine İlişkin Fatura Teknik Kılavuzu 1.2 Sürümü Değişiklikleri </t>
  </si>
  <si>
    <t>EDF-771</t>
  </si>
  <si>
    <t>Ayyıldız İmza Şematron Sorunu Çözüm Araştırması</t>
  </si>
  <si>
    <t>DAVS-47</t>
  </si>
  <si>
    <t>"Giden e-İrsaliye Faturalar"ın Listelenmesi</t>
  </si>
  <si>
    <t>DAVS-46</t>
  </si>
  <si>
    <t>"Gelen e-İrsaliye Faturalar"ın Listelenmesi</t>
  </si>
  <si>
    <t>DAVS-45</t>
  </si>
  <si>
    <t>"Gönderilen e-Arşiv Faturaların" Listelenmesi.</t>
  </si>
  <si>
    <t>DAVS-44</t>
  </si>
  <si>
    <t>Fatura Uygulamasından Gelen, Giden ve E-arşiv Faturaların Saklama Uygulamasına Aktarılması için Entegrasyon Servisi Geliştirilmesi</t>
  </si>
  <si>
    <t>DAVS-43</t>
  </si>
  <si>
    <t>"Giden Faturalar” ların Listelenmesi</t>
  </si>
  <si>
    <t>DAVS-42</t>
  </si>
  <si>
    <t>"Gelen Faturalar” ların Listelenmesi</t>
  </si>
  <si>
    <t>DAVS-41</t>
  </si>
  <si>
    <t>Gelişmiş Filtreleme Alanlarının Eklenmesi</t>
  </si>
  <si>
    <t>DAVS-40</t>
  </si>
  <si>
    <t>KEP Uygulamasından Verilerin Alınarak Saklama Uygulamasına Aktarılması için Entegrasyon Servisi Geliştirilmesi</t>
  </si>
  <si>
    <t>DAVS-39</t>
  </si>
  <si>
    <t>Birden Fazla KEP Hesabı Olan Kullanıcının Hesap Seçimi Yapabilmesi ve İlk Adımda Seçim Zorunluluğu</t>
  </si>
  <si>
    <t>DAVS-38</t>
  </si>
  <si>
    <t>"Delil"lerin Listelenmesi</t>
  </si>
  <si>
    <t>DAVS-37</t>
  </si>
  <si>
    <t>"Giden İletiler"in Listelenmesi</t>
  </si>
  <si>
    <t>DAVS-36</t>
  </si>
  <si>
    <t xml:space="preserve">"Gelen İletiler"in Listelenmesi </t>
  </si>
  <si>
    <t>CRM-654</t>
  </si>
  <si>
    <t>E-Defter Uygulamasına Organizasyon ID ve Periyod Bilgisi Gönderimi</t>
  </si>
  <si>
    <t>CRM-653</t>
  </si>
  <si>
    <t>E-Belge Ürünleri için Açılan Görev Kayıtlarının Düzenlenmesi</t>
  </si>
  <si>
    <t>MYS-779</t>
  </si>
  <si>
    <t>Basılı İletilerde Açıklama Alanında Karakter Sınırı Aşıldığında Uygun Uyarı Mesajı Gösterilmemesi</t>
  </si>
  <si>
    <t>MU-114</t>
  </si>
  <si>
    <t>Ön Başvuru Geri Dönüş Akışında 'Doğrulama Kodu Gönder' Butonu Pasif Kalıyor</t>
  </si>
  <si>
    <t>MU-113</t>
  </si>
  <si>
    <t>Ön başvuru Onay Giriş İşleminde API 500 Hatası Alındığında Anlaşılır Hata Bildirimi Gösterilmiyor</t>
  </si>
  <si>
    <t>MU-112</t>
  </si>
  <si>
    <t>Kep İletisi Gönderiminde Parmak İzi Numarasının Kullanıcı Arayüzünde Görüntülenmemesi</t>
  </si>
  <si>
    <t>MU-111</t>
  </si>
  <si>
    <t>Android Target SDK Versiyonunun 35'e Güncellenmesi</t>
  </si>
  <si>
    <t>IEU-229</t>
  </si>
  <si>
    <t xml:space="preserve">Yük Testi Süreçlerinin Gözden Geçirilmesi </t>
  </si>
  <si>
    <t>IEU-228</t>
  </si>
  <si>
    <t xml:space="preserve"> Entegrasyon Suit Servisleri İçin Müşteriye Sunulabilir Standart Metot Dokümanının Oluşturulması</t>
  </si>
  <si>
    <t>IEU-227</t>
  </si>
  <si>
    <t>Araştırma-  api/v1/sign/multi Metodunun Lisans ve Access Token Kontrolleri Açısından İncelenmesi</t>
  </si>
  <si>
    <t>CRM-655</t>
  </si>
  <si>
    <t>E-İrsaliye Ürünü Maliyet Raporu Güncellenmesi</t>
  </si>
  <si>
    <t>CRM-656</t>
  </si>
  <si>
    <t>Sözleşmeler Modülünde Trafik Bilgileri Alanı Gönderi Bilgisi Getir Butonu</t>
  </si>
  <si>
    <t>CRM-657</t>
  </si>
  <si>
    <t>SuggestKEP Metoduna Parametre Eklenmesi</t>
  </si>
  <si>
    <t>CRM-658</t>
  </si>
  <si>
    <t>İptal Durumdaki KEP Adresinin Tekrar Aktif Edilmesi</t>
  </si>
  <si>
    <t>EFT-2215</t>
  </si>
  <si>
    <t>Default İrsaliye Tasarımının Yeni Dinamik Kalem Destekli Şablon ile Güncellenmesi</t>
  </si>
  <si>
    <t>EFT-2214</t>
  </si>
  <si>
    <t>Yolcu Beraber Fatura Senaryosunda KDV Alanının Açılması ve Vergi Muafiyet Kodunun Düzenlenmesi</t>
  </si>
  <si>
    <t>WIK-692</t>
  </si>
  <si>
    <t>Araştırma- Bir Çalışan İçin Birden Fazla Sayfa İçeren PDF Yüklendiğinde Tümünün Tek İleti İle Gönderilebilmesi</t>
  </si>
  <si>
    <t>WIK-693</t>
  </si>
  <si>
    <t>Özlük Belgesi Yükleme Mailin Domain İsim Değişikliği</t>
  </si>
  <si>
    <t>MU-117</t>
  </si>
  <si>
    <t>KEP Ön Başvuru Giriş Uyarı Mesajlarının Tasarıma Uygun Hale Getirilmesi</t>
  </si>
  <si>
    <t>MU-116</t>
  </si>
  <si>
    <t>Bildirim Servisinin İncelenmesi ve Sistem Dokumantasyonu Hazırlanması</t>
  </si>
  <si>
    <t>MU-109</t>
  </si>
  <si>
    <t>Drawer Menü Tasarımı ve Kullanılabilirliği Düzenleme</t>
  </si>
  <si>
    <t>IEU-233</t>
  </si>
  <si>
    <t>tkiletisimbilgisi Parametresinin Swagger Sayfasında Hatalı İsimlendirilmesi</t>
  </si>
  <si>
    <t>CRM-663</t>
  </si>
  <si>
    <t>E-Defter Uygulamasına Tüm Organizasyon ID ve Periyod Bilgisi Gönderimi</t>
  </si>
  <si>
    <t>WIK-696</t>
  </si>
  <si>
    <t>Test Robot Ortamının Kurulması</t>
  </si>
  <si>
    <t>TIM-451</t>
  </si>
  <si>
    <t>Türkkep İmza- Zaman Damgası Değişikliği</t>
  </si>
  <si>
    <t>MYS-785</t>
  </si>
  <si>
    <t>Toplu İşlemler Menüsünün Türkçeleştirilmesi</t>
  </si>
  <si>
    <t>MYS-782</t>
  </si>
  <si>
    <t>KEP ve UETS Servislerinden Gelen İletilerde Takvimleme Mekanizması</t>
  </si>
  <si>
    <t>MU-120</t>
  </si>
  <si>
    <t>Dil Seçim Menüsü için Animasyonlu Tasarım</t>
  </si>
  <si>
    <t>MU-119</t>
  </si>
  <si>
    <t>Boş Posta Kutusu Durumu için Tasarım Değişikliği</t>
  </si>
  <si>
    <t>KA-1517</t>
  </si>
  <si>
    <t>Gelen Kutusu ve Görevlerim Ekranlarına Toplu EYP/EML İndirme Butonu Eklenmesi</t>
  </si>
  <si>
    <t>CRM-661</t>
  </si>
  <si>
    <t>CRM-662</t>
  </si>
  <si>
    <t>Sözleşmeler - Trafik Bilgileri Ekranı Güncelleme</t>
  </si>
  <si>
    <t>CRM-664</t>
  </si>
  <si>
    <t>E-Belge Başarısız Aktivasyon Raporunun İlgili Kişilere İletilmesi</t>
  </si>
  <si>
    <t>WIK-699</t>
  </si>
  <si>
    <t>Duyuru Modülündeki Uyarı Metninin Güncellenmesi ve Tasarım Düzenlemesi</t>
  </si>
  <si>
    <t>WIK-697</t>
  </si>
  <si>
    <t>Tüm "Eminim" Butonlarının "Evet" Olarak Güncellenmesi</t>
  </si>
  <si>
    <t>WIK-698</t>
  </si>
  <si>
    <t>PIN Girişi Eksikliği ve E-İmza Bloke Durumunda Gösterilen Uyarı Mesajlarının Düzenlenmesi</t>
  </si>
  <si>
    <t>WIK-703</t>
  </si>
  <si>
    <t>Birden Fazla TCKN Kontrolü Yapılması</t>
  </si>
  <si>
    <t>WIK-702</t>
  </si>
  <si>
    <t>Yüklenen PDF te Sayfa Sayısı Kontrolü</t>
  </si>
  <si>
    <t>UKDS-163</t>
  </si>
  <si>
    <t>Araştırma- UKDS Toplu Excel Alma İşlemleri için Kuyruk/Asenkron Yapı Önerisi</t>
  </si>
  <si>
    <t>WIK-704</t>
  </si>
  <si>
    <t>Dosya Okunması ve Eşleştirilmesi</t>
  </si>
  <si>
    <t>WIK-701</t>
  </si>
  <si>
    <t>Yükleme Ekranı Geliştirmesi</t>
  </si>
  <si>
    <t>WIK-700</t>
  </si>
  <si>
    <t>Araştırma- DB Partitioning İşleminin Teknik Değerlendirilmesi</t>
  </si>
  <si>
    <t>TIM-452</t>
  </si>
  <si>
    <t>Mobil İmzalama Adımında Türkçe Karakterli Kullanıcı Adı Sorunu Hk</t>
  </si>
  <si>
    <t>MU-110</t>
  </si>
  <si>
    <t>KEP Açılış Ön Başvuru Ekranlarında Tasarımsal ve Kullanılabilirlik Sorunları</t>
  </si>
  <si>
    <t>EFT-2229</t>
  </si>
  <si>
    <t>SAP WS Kılavuz Hazırlanması</t>
  </si>
  <si>
    <t>EFT-2227</t>
  </si>
  <si>
    <t>Konnektör Mail Parametrelerinin OTAdmin ile Yönetilmesi</t>
  </si>
  <si>
    <t>EFT-2226</t>
  </si>
  <si>
    <t>Smartcard Bilgilerinin Tutulduğu Tablodaki Verilerin CRM'e Aktarımı için Metot Hazırlanması</t>
  </si>
  <si>
    <t>EFT-2225</t>
  </si>
  <si>
    <t>SmartCard Bilgilerinin Şifreli (Encrypted) Saklanması</t>
  </si>
  <si>
    <t>EFT-2223</t>
  </si>
  <si>
    <t>9900 TL ve Üzeri Tutarlı Faturalar için Eklenen Kontrollerden TCKN "11111111111" ve Alıcı Adı/Soyadı "Muhtelif Kullancılar" Kontrollerinin Kaldırılması</t>
  </si>
  <si>
    <t>EFT-2218</t>
  </si>
  <si>
    <t>Nihai Tüketici Kontrol Tutarının 9.900TL ve Üzeri Tutarlı Faturalar İçin Yapılması</t>
  </si>
  <si>
    <t>EFT-2217</t>
  </si>
  <si>
    <t>Web Serviste e-Mail Hatalarının Düzelmesi için Regex Kontrolü</t>
  </si>
  <si>
    <t>EFT-2216</t>
  </si>
  <si>
    <t>Projelerin GITLAB Platformuna Taşınması</t>
  </si>
  <si>
    <t>EDF-773</t>
  </si>
  <si>
    <t>Araştırma - Tekrar Denemelerde Her Seferinde Aynı Hatayı Alan Parçaların Sistemin Defter İşlemlerini Aksatmasını Engellemesi</t>
  </si>
  <si>
    <t>DAVS-63</t>
  </si>
  <si>
    <t>Backend Çalışması</t>
  </si>
  <si>
    <t>DAVS-62</t>
  </si>
  <si>
    <t>Arayüz Ön Çalışma</t>
  </si>
  <si>
    <t>DAVS-61</t>
  </si>
  <si>
    <t>Dokümanların Görüntülenmesi</t>
  </si>
  <si>
    <t>DAVS-60</t>
  </si>
  <si>
    <t>Yeni Klasör Oluşturma</t>
  </si>
  <si>
    <t>DAVS-59</t>
  </si>
  <si>
    <t>Yeni Doküman Ekleme</t>
  </si>
  <si>
    <t>DAVS-58</t>
  </si>
  <si>
    <t>Sürükle-bırak Fonksiyonun Sağlanması</t>
  </si>
  <si>
    <t>DAVS-57</t>
  </si>
  <si>
    <t>Klasör ve Dokümanların İndirilmesi</t>
  </si>
  <si>
    <t>DAVS-56</t>
  </si>
  <si>
    <t>Klasör ve Dokümanların Listelenmesi</t>
  </si>
  <si>
    <t>DAVS-55</t>
  </si>
  <si>
    <t>"Giden Faturalar” ların İndirilmesi</t>
  </si>
  <si>
    <t>DAVS-54</t>
  </si>
  <si>
    <t>"Gelen Faturalar” ların İndirilmesi</t>
  </si>
  <si>
    <t>DAVS-53</t>
  </si>
  <si>
    <t>"Gönderilen e-Arşiv Faturaların" İndirilmesi</t>
  </si>
  <si>
    <t>DAVS-52</t>
  </si>
  <si>
    <t>"Giden e-İrsaliye Faturalar"ın İndirilmesi</t>
  </si>
  <si>
    <t>DAVS-51</t>
  </si>
  <si>
    <t>"Gelen e-İrsaliye Faturalar"ın  İndirilmesi</t>
  </si>
  <si>
    <t>DAVS-50</t>
  </si>
  <si>
    <t xml:space="preserve">"Delil"lerin İndirilmesi </t>
  </si>
  <si>
    <t>DAVS-49</t>
  </si>
  <si>
    <t xml:space="preserve">"Giden İleti"lerin İndirilmesi </t>
  </si>
  <si>
    <t>DAVS-48</t>
  </si>
  <si>
    <t>"Gelen İleti"lerin İndirilmesi</t>
  </si>
  <si>
    <t>UKDS-169</t>
  </si>
  <si>
    <t>Başvuru önyüz geliştirmesi</t>
  </si>
  <si>
    <t>UKDS-170</t>
  </si>
  <si>
    <t>Başvuru Servislerinin Geliştirmesi</t>
  </si>
  <si>
    <t>IEU-238</t>
  </si>
  <si>
    <t>UKDS Servislerinin Entegrasyon Suit Üzerinden Sunulması</t>
  </si>
  <si>
    <t>KAN-60</t>
  </si>
  <si>
    <t xml:space="preserve">Test Ortamında Domain Geçiş Hazırlıkları ve Geçiş </t>
  </si>
  <si>
    <t>KEP Asistan</t>
  </si>
  <si>
    <t>KA-1521</t>
  </si>
  <si>
    <t xml:space="preserve">2025-BTA-013 FKM'ne Geçiş Projesi Test Ortamında Domain Geçiş Hazırlıkları ve Geçiş </t>
  </si>
  <si>
    <t>KA-1523</t>
  </si>
  <si>
    <t>Güncelleme Paketi hazırlanması</t>
  </si>
  <si>
    <t>MU-133</t>
  </si>
  <si>
    <t>KEP Gönderme Ekranında Geri Tuşu Uyarı Mekanizması</t>
  </si>
  <si>
    <t>MU-132</t>
  </si>
  <si>
    <t>KEP Gönderme Ekranında Alan Sıralamasının Düzenlenmesi</t>
  </si>
  <si>
    <t>MU-130</t>
  </si>
  <si>
    <t>Android Cihazlarda UKDS Kurumsal Başvuruda JPEG Dosya Yükleme Sorunu</t>
  </si>
  <si>
    <t>MU-129</t>
  </si>
  <si>
    <t>Android Cihazlarda "Firma Çalışanı Değilim" Seçeneğinde Yönlendirme Sorunu</t>
  </si>
  <si>
    <t>MU-122</t>
  </si>
  <si>
    <t>Gelen Kutusunda Okunmayan İletilerin Sayısının Gösterilmesi</t>
  </si>
  <si>
    <t>MYS-787</t>
  </si>
  <si>
    <t>MYS-788</t>
  </si>
  <si>
    <t>Takvimleme Methodu Hata Alma Senaryosu</t>
  </si>
  <si>
    <t>MYS-789</t>
  </si>
  <si>
    <t>CRM-667</t>
  </si>
  <si>
    <t>KEP İleti Sayıları CRM Sistemine Data Aktarımı</t>
  </si>
  <si>
    <t>CRM-668</t>
  </si>
  <si>
    <t>İptal Durumdan Aktif Duruma Alınan KEP IK Hesapları Düzenleme</t>
  </si>
  <si>
    <t>CRM-669</t>
  </si>
  <si>
    <t>İptal Durumdan Aktif Duruma Alınacak KEP IK Hesapları Ek Geliştirme</t>
  </si>
  <si>
    <t>CRM-670</t>
  </si>
  <si>
    <t>Mersis Sorgulama İçin EndPoint Paylaşımı</t>
  </si>
  <si>
    <t>CRM-671</t>
  </si>
  <si>
    <t>Mersis Sorgu Sonucu Ek Geliştirme</t>
  </si>
  <si>
    <t>EFT-2241</t>
  </si>
  <si>
    <t>2025-BTA-013 FKM'ne Geçiş Projesi Test Ortamı Domain Geçiş Hazırlıkları ve Geçiş</t>
  </si>
  <si>
    <t>EFT-2240</t>
  </si>
  <si>
    <t>ERP Bağımlı Konnektör Metotlarında e-Fatura Oluşturmada Zorunlu Olmayan Yeni Alanların Eklenmesi - Aselsan</t>
  </si>
  <si>
    <t>EFT-2237</t>
  </si>
  <si>
    <t>Bağımsız Konnektörde e-Fatura Oluşturmada Zorunlu Olmayan Yeni Alanların Eklenmesi</t>
  </si>
  <si>
    <t>EFT-2236</t>
  </si>
  <si>
    <t>Web Servis Metotlarında e-Fatura Oluşturmada Zorunlu Olmayan Yeni Alanların Eklenmesi - Aselsan</t>
  </si>
  <si>
    <t>EFT-2235</t>
  </si>
  <si>
    <t>Portal Üzerinde e-Fatura Oluşturmada Zorunlu Olmayan Yeni Alanların Eklenmesi - Aselsan</t>
  </si>
  <si>
    <t>EDF-776</t>
  </si>
  <si>
    <t>2025-BTA-013 FKM'ne Geçiş Projesi Test Ortam Domain Geçiş Hazırlıkları ve Geçiş</t>
  </si>
  <si>
    <t>MU-135</t>
  </si>
  <si>
    <t>KEP Gönderme Ekranında “Vazgeç” Aksiyonlarının Hatalı Yönlendirmelere Sebep Olması</t>
  </si>
  <si>
    <t>MU-124</t>
  </si>
  <si>
    <t>Şifremi Unuttum Akışında Geri Tuşu ile Bilgilerin Silinmesi ve Yanlış Ekrana Yönlendirmesi</t>
  </si>
  <si>
    <t>MU-131</t>
  </si>
  <si>
    <t>İmzala ve Gönder Butonuna Çoklu Tıklama ile Mobil İmza Talebinin Tekrarlanması</t>
  </si>
  <si>
    <t>CRM-674</t>
  </si>
  <si>
    <t>Toplu Açılış Excel Aktarım Ek Geliştirme</t>
  </si>
  <si>
    <t>CRM-675</t>
  </si>
  <si>
    <t>Sipariş Detayı Mersis Süreci Münferit Müşteri E-Devlet Onaya Gönderme</t>
  </si>
  <si>
    <t>CRM-676</t>
  </si>
  <si>
    <t>Sipariş Detayı Ekranı Mersis Sorgulama</t>
  </si>
  <si>
    <t>CRM-679</t>
  </si>
  <si>
    <t>Trendyol Projesi Bireysel ve Kurumsal Promosyon Tanımlama</t>
  </si>
  <si>
    <t>CRM-680</t>
  </si>
  <si>
    <t>Trendyol Projesi DIŞ Bireysel ve Kurumsal Promosyon CRM Sisteminde Tanımlama</t>
  </si>
  <si>
    <t>CRM-681</t>
  </si>
  <si>
    <t>Trendyol Projesi Ödeme İşlemi Link Gönderimi</t>
  </si>
  <si>
    <t>MUL-210</t>
  </si>
  <si>
    <t>2025-BTA-013 FKM'ne Geçiş Projesi Test Ortamında Domain Geçiş Hazırlıkları ve Geçiş</t>
  </si>
  <si>
    <t>KIK-153</t>
  </si>
  <si>
    <t>KEP İK YK</t>
  </si>
  <si>
    <t>DS-14</t>
  </si>
  <si>
    <t>2025-BTA-013 FKM'ne Geçiş Projesi Canlı Ortamı Domain Geçiş Hazırlıkları ve Geçiş</t>
  </si>
  <si>
    <t>IEU-244</t>
  </si>
  <si>
    <t>192.168.224.224 Sunucusunda /tkapp Diskinden /tklog Diskine Log Yönlendirmesi</t>
  </si>
  <si>
    <t>EFT-2249</t>
  </si>
  <si>
    <t>e-İrsaliye SAP Servisi Gelen İrsaliyeleri Listele Metodunda Düzenleme</t>
  </si>
  <si>
    <t>EFT-2248</t>
  </si>
  <si>
    <t>e-Arsiv Teknik Kilavuzu V.1.18 ve earsiv paket v1.1_4 İncelemesi</t>
  </si>
  <si>
    <t>EFT-2239</t>
  </si>
  <si>
    <t>Nihai Tüketici İfadesi Kullanım Kuralı</t>
  </si>
  <si>
    <t>EFT-2238</t>
  </si>
  <si>
    <t>Muhtelif Müşteriler İfadesi Kullanım Kuralı</t>
  </si>
  <si>
    <t>EFT-2243</t>
  </si>
  <si>
    <t>MYS-793</t>
  </si>
  <si>
    <t>Gelen İletiler EYP 2.0 Görüntüleme Desteği ve Ek Alanların Gösterimi</t>
  </si>
  <si>
    <t>UKDS-174</t>
  </si>
  <si>
    <t>Mobil İmza Aşamasında Operatör Seçeneklerinin Eklenmesi</t>
  </si>
  <si>
    <t>MYS-795</t>
  </si>
  <si>
    <t>MUL-211</t>
  </si>
  <si>
    <t>MU-142</t>
  </si>
  <si>
    <t>Okunmamış KEP Gönderileri İçin Kırmızı Gösterge (Badge) Tasarımı</t>
  </si>
  <si>
    <t>KIK-155</t>
  </si>
  <si>
    <t>Sub-task</t>
  </si>
  <si>
    <t>KA-1536</t>
  </si>
  <si>
    <t>Sub-Task Veritabanı ve Servis Geliştirmesi Hk.</t>
  </si>
  <si>
    <t>IEU-251</t>
  </si>
  <si>
    <t>EYP 2.0 oluşturma sırasında aciklama parametresi boş bırakıldığında parser hatası oluşuyor</t>
  </si>
  <si>
    <t>ES-302</t>
  </si>
  <si>
    <t>2025-BTA-013 FKM'ne Geçiş Projesi Canlı Ortam Domain Geçiş Hazırlıkları ve Geçiş</t>
  </si>
  <si>
    <t>E-Saklama</t>
  </si>
  <si>
    <t>ES-301</t>
  </si>
  <si>
    <t xml:space="preserve">2025-BTA-013 FKM'ne Geçiş Projesi Test Ortam Domain Geçiş Hazırlıkları ve Geçiş </t>
  </si>
  <si>
    <t>EFT-2260</t>
  </si>
  <si>
    <t>GİB Güncellemesi – Yeni İstisna Kodu (344) için Düzenlemeler</t>
  </si>
  <si>
    <t>EFT-2258</t>
  </si>
  <si>
    <t>Konnektör Bağımsız/ 702 Kodlu İhraç Kayıtlı Faturalarda Değişiklik</t>
  </si>
  <si>
    <t>EFT-2257</t>
  </si>
  <si>
    <t xml:space="preserve">Konnektör Bağımlı/ 702 Kodlu İhraç Kayıtlı Faturalarda Değişiklik </t>
  </si>
  <si>
    <t>EFT-2256</t>
  </si>
  <si>
    <t xml:space="preserve">Portal/ 702 Kodlu İhraç Kayıtlı Faturalarda Değişiklik </t>
  </si>
  <si>
    <t>EFT-2255</t>
  </si>
  <si>
    <t>e- Fatura Paket Güncellemesi</t>
  </si>
  <si>
    <t>EFT-2254</t>
  </si>
  <si>
    <t>GIB Web Servisleri Test ve Doğrulama Süreci</t>
  </si>
  <si>
    <t>EDF-777</t>
  </si>
  <si>
    <t xml:space="preserve">2025-BTA-013 FKM'ne Geçiş Projesi Canlı Ortam Domain Geçiş Hazırlıkları ve Geçiş </t>
  </si>
  <si>
    <t>EDF-774</t>
  </si>
  <si>
    <t xml:space="preserve">Araştırma - İmzalama Sürecinde Defterlerde Yaşanan Hatalar </t>
  </si>
  <si>
    <t>DAVS-137</t>
  </si>
  <si>
    <t>File Service – Klasör İçeriğinin Dosya Tipine Göre Getirme Endpoint'i Geliştirilmesi</t>
  </si>
  <si>
    <t>DAVS-134</t>
  </si>
  <si>
    <t>Dosyaların silinmesi</t>
  </si>
  <si>
    <t>DAVS-133</t>
  </si>
  <si>
    <t>Dosya isminin güncellenmesi</t>
  </si>
  <si>
    <t>DAVS-132</t>
  </si>
  <si>
    <t>File Service – Çöp Kutusundaki Tüm Verileri Kalıcı Silme Endpoint'i Geliştirilmesi</t>
  </si>
  <si>
    <t>DAVS-131</t>
  </si>
  <si>
    <t>File Service – Çöp Kutusundaki Tüm Verileri Geri Taşıma Endpoint'i Geliştirilmesi</t>
  </si>
  <si>
    <t>DAVS-130</t>
  </si>
  <si>
    <t>Uygulama açılış sayfası geliştirilmesi</t>
  </si>
  <si>
    <t>DAVS-129</t>
  </si>
  <si>
    <t>File Service – Çöp kutusunda olan Klasör İçeriğini Getirme Endpoint'i Geliştirilmesi</t>
  </si>
  <si>
    <t>DAVS-128</t>
  </si>
  <si>
    <t>Çöp kutusundaki verilerin tamamen silinmesi</t>
  </si>
  <si>
    <t>DAVS-127</t>
  </si>
  <si>
    <t>Çöp kutusundaki verilerin geri yüklenmesi</t>
  </si>
  <si>
    <t>DAVS-126</t>
  </si>
  <si>
    <t>Çöp Kutusu sayfasındaki verilerin listelenmesi</t>
  </si>
  <si>
    <t>DAVS-125</t>
  </si>
  <si>
    <t>Çöp Kutusu sayfası tasarımsal düzenlemeler</t>
  </si>
  <si>
    <t>DAVS-124</t>
  </si>
  <si>
    <t>User Service – Parola Güncelleme Endpoint'i Geliştirilmesi</t>
  </si>
  <si>
    <t>DAVS-123</t>
  </si>
  <si>
    <t>User Service – Parola Sıfırlama Endpoint'i Geliştirilmesi</t>
  </si>
  <si>
    <t>DAVS-122</t>
  </si>
  <si>
    <t xml:space="preserve">Frontend Geliştirme- Destek Merkezi / SSS </t>
  </si>
  <si>
    <t>DAVS-121</t>
  </si>
  <si>
    <t xml:space="preserve">Frontend Geliştirme- Doğrulama Kodu Giriş Ekranı  </t>
  </si>
  <si>
    <t>DAVS-120</t>
  </si>
  <si>
    <t xml:space="preserve">Frontend Geliştirme- Giriş Sayfası </t>
  </si>
  <si>
    <t>DAVS-116</t>
  </si>
  <si>
    <t>Sayfa içi fonksiyon ve tasarım çalışmaları/Sprint3</t>
  </si>
  <si>
    <t>DAVS-115</t>
  </si>
  <si>
    <t>DAVS-113</t>
  </si>
  <si>
    <t>DAVS-108</t>
  </si>
  <si>
    <t>Invoices Service – E-Fatura Aktarım Durumu Sorgulama Endpoint’inin Geliştirilmesi</t>
  </si>
  <si>
    <t>DAVS-107</t>
  </si>
  <si>
    <t>Invoices Service – E-Fatura Dosyası Gönderme Endpoint’inin Geliştirilmesi</t>
  </si>
  <si>
    <t>DAVS-106</t>
  </si>
  <si>
    <t>Rem Service – KEP Dosya Aktarım Durumu Sorgulama Endpoint’i Geliştirilmesi</t>
  </si>
  <si>
    <t>DAVS-105</t>
  </si>
  <si>
    <t>Rem Service – KEP Üzerinden Dosya Gönderimi Endpoint’i Geliştirilmesi</t>
  </si>
  <si>
    <t>DAVS-101</t>
  </si>
  <si>
    <t>Integrations Service – İrsaliye Kayıtlarını Filtreleme Endpoint’i Geliştirilmesi</t>
  </si>
  <si>
    <t>DAVS-100</t>
  </si>
  <si>
    <t>Integrations Service – İrsaliye Listeleme Endpoint’i Geliştirilmesi</t>
  </si>
  <si>
    <t>DAVS-99</t>
  </si>
  <si>
    <t>Integrations Service – Fatura Kayıtlarını Filtreleme Endpoint’i Geliştirilmesi</t>
  </si>
  <si>
    <t>DAVS-98</t>
  </si>
  <si>
    <t>Integrations Service – Fatura Listeleme Endpoint’i Geliştirilmesi</t>
  </si>
  <si>
    <t>DAVS-97</t>
  </si>
  <si>
    <t>Integrations Service – KEP İletilerini Filtreleme Endpoint’i Geliştirilmesi</t>
  </si>
  <si>
    <t>DAVS-96</t>
  </si>
  <si>
    <t>Integrations Service – KEP İletilerini Listeleme Endpoint’i Geliştirilmesi</t>
  </si>
  <si>
    <t>DAVS-95</t>
  </si>
  <si>
    <t>Integrations Service – KEP Hesaplarını Listeleme Endpoint’i Geliştirilmesi</t>
  </si>
  <si>
    <t>DAVS-94</t>
  </si>
  <si>
    <t>Integrations Service – Entegrasyon Modüllerini Getirme Endpoint’i Geliştirilmesi</t>
  </si>
  <si>
    <t>DAVS-93</t>
  </si>
  <si>
    <t>Document Operations Service – Parçalı Yüklemeyi Tamamlama Endpoint’i Geliştirilmesi</t>
  </si>
  <si>
    <t>DAVS-91</t>
  </si>
  <si>
    <t>Document Operations Service – Dosya Yükleme Endpoint’i Geliştirilmesi</t>
  </si>
  <si>
    <t>DAVS-89</t>
  </si>
  <si>
    <t>File Service – Çöp Kutusu Kalıcı Silme Endpoint'i Geliştirilmesi</t>
  </si>
  <si>
    <t>DAVS-88</t>
  </si>
  <si>
    <t>File Service – Çöp Kutusundan Geri Taşıma Endpoint'i Geliştirilmesi</t>
  </si>
  <si>
    <t>DAVS-86</t>
  </si>
  <si>
    <t>File Service – Dosya İsmini Güncelleme Endpoint'i Geliştirilmesi</t>
  </si>
  <si>
    <t>DAVS-85</t>
  </si>
  <si>
    <t>File Service – Dosya Kopyalama Endpoint'i Geliştirilmesi</t>
  </si>
  <si>
    <t>DAVS-84</t>
  </si>
  <si>
    <t>File Service – Dosya Taşıma Endpoint'i Geliştirilmesi</t>
  </si>
  <si>
    <t>DAVS-83</t>
  </si>
  <si>
    <t>File Service – Dosyayı Çöp Kutusuna Taşıma Endpoint'i Geliştirilmesi</t>
  </si>
  <si>
    <t>DAVS-79</t>
  </si>
  <si>
    <t>File Service – Dosya Arama Endpoint'i Geliştirilmesi</t>
  </si>
  <si>
    <t>DAVS-78</t>
  </si>
  <si>
    <t>File Service – Ana Klasördeki Dosyaları Getirme Endpoint'i Geliştirilmesi</t>
  </si>
  <si>
    <t>DAVS-77</t>
  </si>
  <si>
    <t>File Service – Önerilen Belgeleri Getirme Endpoint'i Geliştirilmesi</t>
  </si>
  <si>
    <t>DAVS-75</t>
  </si>
  <si>
    <t>User Service – OTP Doğrulama ve Token Oluşturma Endpoint'i Geliştirilmesi</t>
  </si>
  <si>
    <t>DAVS-74</t>
  </si>
  <si>
    <t>User Service – Giriş ve OTP Gönderimi Endpoint'i Geliştirilmesi</t>
  </si>
  <si>
    <t>DAVS-73</t>
  </si>
  <si>
    <t>User Service – Organizasyona Ait Kullanıcıları Getirme Endpoint'i Geliştirilmesi</t>
  </si>
  <si>
    <t>DAVS-72</t>
  </si>
  <si>
    <t>User Service – Kullanıcıyı Pasife Çekme Endpoint'i Geliştirilmesi</t>
  </si>
  <si>
    <t>DAVS-71</t>
  </si>
  <si>
    <t>User Service – Kullanıcı Bilgisi Güncelleme Endpoint'i Geliştirilmesi</t>
  </si>
  <si>
    <t>DAVS-70</t>
  </si>
  <si>
    <t>User Service – Yeni Kullanıcı Oluşturma Endpoint'i Geliştirilmesi</t>
  </si>
  <si>
    <t>DAVS-69</t>
  </si>
  <si>
    <t>User Service – Kullanıcının Bilgilerini Getirme Endpoint'i Geliştirilmesi</t>
  </si>
  <si>
    <t>DAVS-68</t>
  </si>
  <si>
    <t>Organization Service – Kota ve Kullanım Bilgisi Getirme Endpoint'i Geliştirilmesi</t>
  </si>
  <si>
    <t>CRM-691</t>
  </si>
  <si>
    <t>Kurumsal KEP Öneri Firma Adı Karakter Sınırı Güncelleme</t>
  </si>
  <si>
    <t>CRM-689</t>
  </si>
  <si>
    <t>Başvuru Formları CRM İçerisinde Güncellenmesi</t>
  </si>
  <si>
    <t>CRM-688</t>
  </si>
  <si>
    <t xml:space="preserve">Müşteriye Askıda Olan Siparişi İçin Hatırlatma </t>
  </si>
  <si>
    <t>CRM-687</t>
  </si>
  <si>
    <t>E-Ödeme Test Sunucusunun Kurulumu</t>
  </si>
  <si>
    <t>CRM-683</t>
  </si>
  <si>
    <t>E-İmza Aktivasyon SMS'nin Türkkep CRM Üzerinden Tetiklenmesi</t>
  </si>
  <si>
    <t>CRM-690</t>
  </si>
  <si>
    <t>Trendyol'dan Gelen Başvuruların Ayrıştırılması</t>
  </si>
  <si>
    <t>KA-1537</t>
  </si>
  <si>
    <t>Uygulamada İngilizce İfadelerin Türkçeleştirilmesi</t>
  </si>
  <si>
    <t>KEP Assist</t>
  </si>
  <si>
    <t>MYS-798</t>
  </si>
  <si>
    <t>MU-146</t>
  </si>
  <si>
    <t>UKDS Giriş Ekranı Alan Gösterimi</t>
  </si>
  <si>
    <t>MU-147</t>
  </si>
  <si>
    <t>UKDS Güncellemeleri Mobil Uygulama Uyumlandırması ve Trendyol Başvuru Süreçleri</t>
  </si>
  <si>
    <t>WIK-713</t>
  </si>
  <si>
    <t>Doğum Tarihi Alanının Tüm Bölgesini Tıklanabilir Olması</t>
  </si>
  <si>
    <t>WIK-715</t>
  </si>
  <si>
    <t>Örnek Excel Formatındaki E-Posta Adresinin Güncellenmesi</t>
  </si>
  <si>
    <t>WIK-716</t>
  </si>
  <si>
    <t>Islak İmza Sürecinde Gösterilen Uyarı Mesajı Kutusunun Boyutunun Küçültülmesi</t>
  </si>
  <si>
    <t>IEU-252</t>
  </si>
  <si>
    <t>EYP 1.3 Dokümana Uygunluk Kapsamında Eksik Kontrollerin Tamamlanması</t>
  </si>
  <si>
    <t>IEU-253</t>
  </si>
  <si>
    <t>EYP 2.0 Dokümana Uygunluk Kapsamında Eksik Kontrollerin Tamamlanması</t>
  </si>
  <si>
    <t>IEU-257</t>
  </si>
  <si>
    <t>Kota hesaplama servisinde bazı hesapların kotası veri tabanına yazılmaması</t>
  </si>
  <si>
    <t>MU-149</t>
  </si>
  <si>
    <t>UKDS Süreç Takibi ve Hata Giderme Çalışmaları</t>
  </si>
  <si>
    <t>EFT-2266</t>
  </si>
  <si>
    <t>Mevcut QR Code Image Alanlarının Kaldırılması – Sadece JavaScript ile Devam Edilmesi</t>
  </si>
  <si>
    <t>EFT-2261</t>
  </si>
  <si>
    <t>Araştırma-Gelen Faturaların Sistem Üzerinde Görünmemesi Durumunun İncelenmesi</t>
  </si>
  <si>
    <t>EFT-2259</t>
  </si>
  <si>
    <t>Web Servis/ 702 Kodlu İhraç Kayıtlı Faturalarda Değişiklik</t>
  </si>
  <si>
    <t>EDF-781</t>
  </si>
  <si>
    <t>Onaylı Defter Silme İşleminde GİB Kontrolü</t>
  </si>
  <si>
    <t>KA-1541</t>
  </si>
  <si>
    <t>OverFrame – AllowedHosts IP Bağımlılığı Sorunu</t>
  </si>
  <si>
    <t>EFT-2270</t>
  </si>
  <si>
    <t>Web Serviste YeniGelenFaturalarıListele Metodu Şahıs Şirketi Bilgileri</t>
  </si>
  <si>
    <t>EFT-2269</t>
  </si>
  <si>
    <t>Web Serviste FaturaGonder Metodu 00 ile Başlayan TaxID Düzeltmesi</t>
  </si>
  <si>
    <t>EFT-2268</t>
  </si>
  <si>
    <t>Konnektör – E-Fatura/İrsaliye Ekranlarında Notlar Alanında Scroll Fonksiyonun Eklenmesi</t>
  </si>
  <si>
    <t>EFT-2267</t>
  </si>
  <si>
    <t>Tüm XSLT’lerde GİB logosu güncellemesi</t>
  </si>
  <si>
    <t>DP-285</t>
  </si>
  <si>
    <t>"Harici Olarak İşaretleme" ve Arşiv Bilgisi Alanlarin Eklenmesi</t>
  </si>
  <si>
    <t>CRM-692</t>
  </si>
  <si>
    <t>Rest Servisinde Kullanılan Zaman Damgası Kullanıcısının Değiştirimesi</t>
  </si>
  <si>
    <t>CRM-693</t>
  </si>
  <si>
    <t>Kurumsal KEP Adresi Öneri Güncelleme</t>
  </si>
  <si>
    <t>CRM-702</t>
  </si>
  <si>
    <t>CRM Sözleşme PDF'i Unvan Uzunlukları ve Adres Formatı</t>
  </si>
  <si>
    <t>CRM-700</t>
  </si>
  <si>
    <t>UKDS Bireysel KEP Kontrol Otomasyonu</t>
  </si>
  <si>
    <t>CRM-701</t>
  </si>
  <si>
    <t>UKDS Kurumsal KEP Kontrol Otomasyonu</t>
  </si>
  <si>
    <t>WIK-717</t>
  </si>
  <si>
    <t>Uygulama İçindeki “KEP Sender” İfadesinin Türkçeleştirilmesi</t>
  </si>
  <si>
    <t>WIK-721</t>
  </si>
  <si>
    <t>İnceleme-Kütüphane Değişliği</t>
  </si>
  <si>
    <t>UKDS-176</t>
  </si>
  <si>
    <t>MU-127</t>
  </si>
  <si>
    <t>Şifremi Unuttum” Ekranında Sayfa Geçişlerinde Oluşan Katmanlama Hatası</t>
  </si>
  <si>
    <t>IEU-262</t>
  </si>
  <si>
    <t>API Entegrasyonu: SBM Firması Yanıtında Türkçe Karakter Kodlama Sorunu (UTF-8)</t>
  </si>
  <si>
    <t>MYS-803</t>
  </si>
  <si>
    <t>İngilizce Metinlerin Türkçeleştirilmesi</t>
  </si>
  <si>
    <t>KA-1547</t>
  </si>
  <si>
    <t>Toplu Dosya İmzalama İşleminde Chrome Performans Sorunu</t>
  </si>
  <si>
    <t>KA-1548</t>
  </si>
  <si>
    <t>Çoklu KEP İletisi Oluşturulduğunda İmzalama Hatası</t>
  </si>
  <si>
    <t>MU-126</t>
  </si>
  <si>
    <t>UKDS Login Ekranında Sayfa Geçişlerinde Görülen Katmanlama Hatası</t>
  </si>
  <si>
    <t>MU-152</t>
  </si>
  <si>
    <t>Deferred Deep Link Entegrasyonu: Teknik Analiz ve MVP Uygulaması</t>
  </si>
  <si>
    <t>MU-153</t>
  </si>
  <si>
    <t>Kullanıcı Davranış Analizi İçin Mobil Uygulama Event'lerinin Entegrasyonu</t>
  </si>
  <si>
    <t>ES-303</t>
  </si>
  <si>
    <t>Yetkilendirme Düzeltmesi</t>
  </si>
  <si>
    <t>EFT-2277</t>
  </si>
  <si>
    <t>EFT-2267 Mevcut default xslt dosyalarının GIB logosunun güncellenmesi</t>
  </si>
  <si>
    <t>EFT-2278</t>
  </si>
  <si>
    <t>e-Fatura portalda parent yapısı için kullanılan imzalamanın set-up güncellemesi</t>
  </si>
  <si>
    <t>EFT-2276</t>
  </si>
  <si>
    <t>Regex Kurallarının Düzenlenmesi</t>
  </si>
  <si>
    <t>IEU-263</t>
  </si>
  <si>
    <t>Entegrasyon Suit - UKDS Servis Uyarılarının Ortaklaştırılması</t>
  </si>
  <si>
    <t>EFT-2281</t>
  </si>
  <si>
    <t>Prod Ortamda Xslt Dosyalarının Script Olması</t>
  </si>
  <si>
    <t>EFT-2279</t>
  </si>
  <si>
    <t>Mail Gönderimlerinin Ortaklaştırılması</t>
  </si>
  <si>
    <t>EFT-2280</t>
  </si>
  <si>
    <t>Kullanıcı Bildirim Stratejisinin Analizi ve Uygulama Bazında Dokümantasyonu</t>
  </si>
  <si>
    <t>EFT-2282</t>
  </si>
  <si>
    <t>SAP Servisleri / Gelenirsliyeindir ve Gelenirsliyelistele Metodlarının İncelenmesi</t>
  </si>
  <si>
    <t>CRM-696</t>
  </si>
  <si>
    <t>E-İmza Siparişleri Ek Düzenleme</t>
  </si>
  <si>
    <t>CRM-712</t>
  </si>
  <si>
    <t>E-Ödeme Linki Gönderiminde Onay Süreci Şartı</t>
  </si>
  <si>
    <t>CRM-708</t>
  </si>
  <si>
    <t>Halkbank Projesi için Statü Kodlarının Eklenmesi</t>
  </si>
  <si>
    <t>CRM-709</t>
  </si>
  <si>
    <t>UKDS Kontrol Otomasyon Raporu</t>
  </si>
  <si>
    <t>CRM-710</t>
  </si>
  <si>
    <t>UKDS Kontrol Otomasyonu Kurumsal KEP Öneri</t>
  </si>
  <si>
    <t>CRM-711</t>
  </si>
  <si>
    <t>MERSİS Sonuç Dokümanı ile CRM Müşteri Ekranı VKN Eşleştirmesi</t>
  </si>
  <si>
    <t>UKDS-180</t>
  </si>
  <si>
    <t>UKDS e- Devlet Onay Linki Süreci İçin Hatırlatma Bildirimleri</t>
  </si>
  <si>
    <t>UKDS</t>
  </si>
  <si>
    <t>WIK-732</t>
  </si>
  <si>
    <t>Araştırma- Kep İK Servisleri İçin DB Partitioning İşleminin Teknik Değerlendirilmesi</t>
  </si>
  <si>
    <t>WIK-724</t>
  </si>
  <si>
    <t>Uyarı Gösteriminde PrimeNG Kütüphanesi Entegrasyonunun Sağlanması</t>
  </si>
  <si>
    <t>WIK-725</t>
  </si>
  <si>
    <t>Toast Mesajlarının Gruplandırmaya Göre Yeniden Düzenlenmesi ve Metinlerin İyileştirilmesi</t>
  </si>
  <si>
    <t>KEP-304</t>
  </si>
  <si>
    <t>KEP Adresi Arama Alanında EYP Görüntüleme Sorunu</t>
  </si>
  <si>
    <t>WIK-731</t>
  </si>
  <si>
    <t>Araştırma- Kullanıcı Yönetimi Ekranı DB Partitioning İşleminin Teknik Değerlendirilmesi</t>
  </si>
  <si>
    <t>WIK-730</t>
  </si>
  <si>
    <t>Araştırma- Duyuru Modülü İçin DB Partitioning İşleminin Teknik Değerlendirilmesi</t>
  </si>
  <si>
    <t>WIK-729</t>
  </si>
  <si>
    <t>Araştırma- Çalışan Ekle Ekranı İçin DB Partitioning İşleminin Teknik Değerlendirilmesi</t>
  </si>
  <si>
    <t>WIK-728</t>
  </si>
  <si>
    <t>Araştırma- Çalışanlar Ekranında DB Partitioning İşleminin Teknik Değerlendirilmesi</t>
  </si>
  <si>
    <t>WIK-727</t>
  </si>
  <si>
    <t>Araştırma- İk Gönderimleri DB Partitioning İşleminin Teknik Değerlendirilmesi</t>
  </si>
  <si>
    <t>WIK-708</t>
  </si>
  <si>
    <t>Araştırma- Anasayfa  DB Partitioning İşleminin Teknik Değerlendirilmesi</t>
  </si>
  <si>
    <t>UKDS-181</t>
  </si>
  <si>
    <t>Kep İK,  Süreçleri İçin Bildirimlerin Ayrıştırılması</t>
  </si>
  <si>
    <t>Uzaktan Kimlik Doğrulama Sistemi</t>
  </si>
  <si>
    <t>MYS-810</t>
  </si>
  <si>
    <t>KEP İletisi İşlemi Sonrası Görev Statüsünün Hatalı Olarak 'Onay Bekliyor'da Kalması</t>
  </si>
  <si>
    <t>MYS-809</t>
  </si>
  <si>
    <t>SEP Entegrasyonu / Durum  Hatası</t>
  </si>
  <si>
    <t>MYS-806</t>
  </si>
  <si>
    <t>Kullanıcı Yorumu Alanına Tooltip ve Grid Genişletme Fonksiyonun Eklenmesi</t>
  </si>
  <si>
    <t>MU-157</t>
  </si>
  <si>
    <t>Uygulama İçi ve Push Notification Fonksiyonun Eklenmesi</t>
  </si>
  <si>
    <t>MU-156</t>
  </si>
  <si>
    <t>Tarih Seçimi Format Hatası: Ayın 10. günü "010" olarak formatlanıyor ve doğrulamayı geçemiyor.</t>
  </si>
  <si>
    <t>MU-155</t>
  </si>
  <si>
    <t>Webmail erişim Kontrolün Eklenmesi</t>
  </si>
  <si>
    <t>MU-141</t>
  </si>
  <si>
    <t>Araştırma-FCM Token Alma Hatası Durumların Araştırılması</t>
  </si>
  <si>
    <t>MU-125</t>
  </si>
  <si>
    <t>_currentMailBoxData Alanının Başlatılmaması Nedeniyle Oluşan Hata</t>
  </si>
  <si>
    <t>KEP-307</t>
  </si>
  <si>
    <t>Yetki Alanlarının Web ve Mobil Uygulamalarda Doğru Çalışmasının Test Edilmesi</t>
  </si>
  <si>
    <t>KEP-306</t>
  </si>
  <si>
    <t>SOAP servislerde "webmail erişim yetkisi" Kontrolünün Mobil Uygulama için Eklenmesi</t>
  </si>
  <si>
    <t>KEP-303</t>
  </si>
  <si>
    <t>Bazı Senaryolarda "Şifremi Unuttum" Adımında Yaşanan Hata</t>
  </si>
  <si>
    <t>KA-1554</t>
  </si>
  <si>
    <t>KEP Assist Gelen Kutusunda EYP 1.3 iletisi görüntülenmek istendiğinde 500 hatası alınıyor ve ekran donuyor</t>
  </si>
  <si>
    <t>DP-284</t>
  </si>
  <si>
    <t>Destek Portal Veritabanı Hostname Geçişi</t>
  </si>
  <si>
    <t>DAVS-176</t>
  </si>
  <si>
    <t>Kullanıcı statüsünün güncellenmesi</t>
  </si>
  <si>
    <t>DAVS-175</t>
  </si>
  <si>
    <t>E-Defter modülü Defter Rapor Berat dokümanının indirilmesi</t>
  </si>
  <si>
    <t>DAVS-174</t>
  </si>
  <si>
    <t>E-Defter modülü sayfasının oluşturulması</t>
  </si>
  <si>
    <t>DAVS-173</t>
  </si>
  <si>
    <t>E-Defter dokümanlarının indirilmesi</t>
  </si>
  <si>
    <t>DAVS-172</t>
  </si>
  <si>
    <t>E-Defter kayıtlarının listelenmesi</t>
  </si>
  <si>
    <t>DAVS-171</t>
  </si>
  <si>
    <t>Kod refactoring çalışması</t>
  </si>
  <si>
    <t>DAVS-168</t>
  </si>
  <si>
    <t>DAVS-166</t>
  </si>
  <si>
    <t>DAVS-165</t>
  </si>
  <si>
    <t>Faz-1 geliştirmeleri için kod refactoring çalışması</t>
  </si>
  <si>
    <t>DAVS-164</t>
  </si>
  <si>
    <t>Servis dokümanının güncellenmesi</t>
  </si>
  <si>
    <t>DAVS-163</t>
  </si>
  <si>
    <t>Entegrasyon modülünün kullanıcı yetkilerine göre erişilmesi - E-Defter</t>
  </si>
  <si>
    <t>DAVS-104</t>
  </si>
  <si>
    <t>Integrations Service – Defter Belgesini Getirme Endpoint’i Geliştirilmesi</t>
  </si>
  <si>
    <t>DAVS-103</t>
  </si>
  <si>
    <t>Integrations Service – Defter Kayıtlarını Filtreleme Endpoint’i Geliştirilmesi</t>
  </si>
  <si>
    <t>DAVS-102</t>
  </si>
  <si>
    <t>Integrations Service – Defter Listeleme Endpoint’i Geliştirilmesi</t>
  </si>
  <si>
    <t>CRM-717</t>
  </si>
  <si>
    <t>CRM Satış Raporundaki Olumsuz Durumlar</t>
  </si>
  <si>
    <t>CRM-716</t>
  </si>
  <si>
    <t>UKDS Şahıs Şirketi Müşteri Tipi Kontrol Otomasyonu</t>
  </si>
  <si>
    <t>CRM-713</t>
  </si>
  <si>
    <t>UKDS'den Gelen Münferit Kayıtlarda Faaliyet Belgesi ve İmza Sirküsü Zorunluluğunun Kaldırılması</t>
  </si>
  <si>
    <t>EFT-2295</t>
  </si>
  <si>
    <t>'0' Başlayan VKN'lerde Excel Aktarım Hatası Hk.</t>
  </si>
  <si>
    <t>EFT-2287</t>
  </si>
  <si>
    <t>140 Sunucusunda "Deleted" Klasörünün Otomatik Temizlenmesi</t>
  </si>
  <si>
    <t>DP-287</t>
  </si>
  <si>
    <t>Template Tablosu İnceleme</t>
  </si>
  <si>
    <t>EDF-785</t>
  </si>
  <si>
    <t>Her Seferinde Aynı Hatayı Alan Parçaların Diğer Defter İşlemlerini Aksatmasının Engellemesi</t>
  </si>
  <si>
    <t>WIK-736</t>
  </si>
  <si>
    <t>KEP İK Delil Raporları Alanında Düzenleme</t>
  </si>
  <si>
    <t>WIK-733</t>
  </si>
  <si>
    <t>Uygulamayı Kullanmadan İptal Eden Müşteriler İçin İptal Süreci Metodu Oluşturulması</t>
  </si>
  <si>
    <t>UKDS-187</t>
  </si>
  <si>
    <t>CRM Üzerinden Açılan UKDS Başvurularında E-Devlet Onayı İçin Hatırlatma Maillerinin Gönderilmesi</t>
  </si>
  <si>
    <t>UKDS-186</t>
  </si>
  <si>
    <t>CRM Süreçlerinde BTK Onayında Bekleyen Kayıtların Otomatik İptali ve “Süresi Geçti” Statüsünün Tanımlanması</t>
  </si>
  <si>
    <t>UKDS-185</t>
  </si>
  <si>
    <t>Paket Seçimi Sonrasında Kullanıcının Ödeme Alanına Yönlendirilmesi ve Ödeme Tamamlanmadan Sürece Devam Edilmemesi</t>
  </si>
  <si>
    <t>UKDS-183</t>
  </si>
  <si>
    <t>Kidos Ekran/ KEP Adres Bilgisi Görüntüleme ve Excel Aktarımı</t>
  </si>
  <si>
    <t>UKDS-182</t>
  </si>
  <si>
    <t>Ek İşler Hk</t>
  </si>
  <si>
    <t>TIM-453</t>
  </si>
  <si>
    <t>E-İmza Girişinde TCKN Tanımlı Olmayan Kullanıcılarda Hata Bildirimi Gösterilmesi</t>
  </si>
  <si>
    <t>SMSGW-11</t>
  </si>
  <si>
    <t>Bakiye Alt Limit Uyarı ve Parametrik Mail Bildirimi</t>
  </si>
  <si>
    <t>Türkkep SMS GW</t>
  </si>
  <si>
    <t>MYS-815</t>
  </si>
  <si>
    <t>BPA_LST_ATTRIBUTEVALUES_SP</t>
  </si>
  <si>
    <t>MU-168</t>
  </si>
  <si>
    <t>"Şifremi Unuttum" Ekranında KEP Adresi, TCKN ve GSM Alanlarında Format Doğrulaması (Regex Kontrolü) Eksikliği</t>
  </si>
  <si>
    <t>MU-167</t>
  </si>
  <si>
    <t>Posta Kutularında (Inbox) Aşağı Kaydırma Yapıldığında Eski İletiler Yavaş Yükleniyor</t>
  </si>
  <si>
    <t>MU-164</t>
  </si>
  <si>
    <t>Android için Debug Apk Oluşturulması</t>
  </si>
  <si>
    <t>MU-162</t>
  </si>
  <si>
    <t>Face ID (yüz tanıma) ile girişte “Bağlantı sorunu oluştu” hatası</t>
  </si>
  <si>
    <t>MU-160</t>
  </si>
  <si>
    <t>Ayarlar Şifre Değiştirme</t>
  </si>
  <si>
    <t>MU-159</t>
  </si>
  <si>
    <t>App Rate Pop-up Eklenmesi</t>
  </si>
  <si>
    <t>KEP-308</t>
  </si>
  <si>
    <t>SOAP servislerde "görme yetkisi" Kontrolünün Mobil Uygulama için Eklenmesi</t>
  </si>
  <si>
    <t>KA-1559</t>
  </si>
  <si>
    <t>Sub-Task Veri Modelleri ve İşlem Akışı Hk.</t>
  </si>
  <si>
    <t>KA-1556</t>
  </si>
  <si>
    <t xml:space="preserve">Hesap Hata Takibi </t>
  </si>
  <si>
    <t>KA-1555</t>
  </si>
  <si>
    <t>KEP Assist Otomatik Yanıt Süreç Hatası</t>
  </si>
  <si>
    <t>IEU-273</t>
  </si>
  <si>
    <t>EYP Parser v20 – Alan Eksiklikleri ve Boş Response Sorunları</t>
  </si>
  <si>
    <t>IEU-272</t>
  </si>
  <si>
    <t>EYP Parser v13 – Alan Eksiklikleri ve Boş Response Sorunları</t>
  </si>
  <si>
    <t>IEU-264</t>
  </si>
  <si>
    <t>Entegrasyon Suit - UKDS Web Servis Entegrasyonunun Teknik Dokümantasyonunun Hazırlanması</t>
  </si>
  <si>
    <t>IEU-258</t>
  </si>
  <si>
    <t>İnceleme/ e-Güven İmza Test API’si İncelemesi ve Olası Değişiklik Senaryolarının Değerlendirilmesi</t>
  </si>
  <si>
    <t>EFT-2296</t>
  </si>
  <si>
    <t>Gelen Fatura Kalemleri Raporunda PartyName Alanı Yoksa Fatura Kalemi Eklenememesi</t>
  </si>
  <si>
    <t>EFT-2290</t>
  </si>
  <si>
    <t>GİB Sicil Servis Testi ile e-Belge Hizmet İptali</t>
  </si>
  <si>
    <t>EFT-2289</t>
  </si>
  <si>
    <t>Gelen Fatura için Otomatik İade Faturası Oluşturma Butonu Eklenmesi</t>
  </si>
  <si>
    <t>EFT-2288</t>
  </si>
  <si>
    <t>Fatura Takibi için Okundu-Okunmadı Özelliği Eklenmesi</t>
  </si>
  <si>
    <t>DAVS-170</t>
  </si>
  <si>
    <t>CRM-727</t>
  </si>
  <si>
    <t>Sanal Pos Ödeme Limiti Güncellemesi</t>
  </si>
  <si>
    <t>CRM-726</t>
  </si>
  <si>
    <t>Form Kayıtlarının CRM’de Potansiyel Müşteri Olarak Oluşturulması</t>
  </si>
  <si>
    <t>CRM-725</t>
  </si>
  <si>
    <t>Kısmı İade Fatura Kaydı</t>
  </si>
  <si>
    <t>CRM-724</t>
  </si>
  <si>
    <t>KIDOS Kayıtlarında MERSİS Sorgu Dokümanı Ekleme Hatası</t>
  </si>
  <si>
    <t>CRM-721</t>
  </si>
  <si>
    <t>KEP IK KKB Belgesi (PDF) Üretimi</t>
  </si>
  <si>
    <t>CRM-720</t>
  </si>
  <si>
    <t>Ödeme Öncelikli Sipariş Yönetimi</t>
  </si>
  <si>
    <t>CRM-719</t>
  </si>
  <si>
    <t>Bireysel ve Kurumsal KEP Sözleşmelerinde(PDF) Eklenecek Bilgiler</t>
  </si>
  <si>
    <t>CRM-705</t>
  </si>
  <si>
    <t>İptal Siparişler Ek Düzenleme</t>
  </si>
  <si>
    <t>MU-158</t>
  </si>
  <si>
    <t>Şifre Unuttum Ekranlarının Tasarımlarının Güncellenmesi</t>
  </si>
  <si>
    <t>IEU-245</t>
  </si>
  <si>
    <t>EYP-Service için Teknik Rehbere Göre EYP 1.3 ve 2.0 Testlerinin Gerçekleştirilmesi</t>
  </si>
  <si>
    <t>IEU-246</t>
  </si>
  <si>
    <t>timestamp-controller Altındaki Metotlara CloudApiHost Alanının Eklenmesi ve API-Access Token Kontrollü Erişim</t>
  </si>
  <si>
    <t>IEU-247</t>
  </si>
  <si>
    <t>Servisteki Hataların Dokümantasyonu</t>
  </si>
  <si>
    <t>KAN-63</t>
  </si>
  <si>
    <t>KA-1530</t>
  </si>
  <si>
    <t>KA-1531</t>
  </si>
  <si>
    <t>KA-1533</t>
  </si>
  <si>
    <t>KA-1532</t>
  </si>
  <si>
    <t>MU-137</t>
  </si>
  <si>
    <t>Kep Gönderimi – İleti Tipi Seçimini BottomSheet ile Göster</t>
  </si>
  <si>
    <t>MU-136</t>
  </si>
  <si>
    <t>Şifremi Unuttum – İnternet Yok Uyarısı</t>
  </si>
  <si>
    <t>MU-139</t>
  </si>
  <si>
    <t>Kep Gönderimden Sonra Giden Kutusu Otomatik Açılması</t>
  </si>
  <si>
    <t>MU-140</t>
  </si>
  <si>
    <t>SMS Doğrulama/ Kod Silindiğin Butonun Pasif Olması</t>
  </si>
  <si>
    <t>MU-143</t>
  </si>
  <si>
    <t>"İleti Detayı (Barkod)" Alanına Bilgilendirme Eklenmesi</t>
  </si>
  <si>
    <t>CRM-682</t>
  </si>
  <si>
    <t>E-Belge Entegrasyon Yönetimi Alanı Düzenleme</t>
  </si>
  <si>
    <t>CRM-677</t>
  </si>
  <si>
    <t>Ent. Suit Yenileme ve Modül Yenileme Akışının Düzenlenmesi</t>
  </si>
  <si>
    <t>UKDS-172</t>
  </si>
  <si>
    <t>getApplicationsByMobile API’sine Yeni Parametrelerin Eklenmesi</t>
  </si>
  <si>
    <t>KEP-302</t>
  </si>
  <si>
    <t>e-Güven İmzalama API Testi</t>
  </si>
  <si>
    <t>Project Name</t>
  </si>
  <si>
    <t>Canlıya Alma (E/H)</t>
  </si>
  <si>
    <t>Story Point</t>
  </si>
  <si>
    <t>x</t>
  </si>
  <si>
    <t>(Tümü)</t>
  </si>
  <si>
    <t>Development</t>
  </si>
  <si>
    <t>EFT-2301</t>
  </si>
  <si>
    <t>Pasif Olan Kullanıcılara Bildirim Maillerinin Gönderilmemesi</t>
  </si>
  <si>
    <t>EFT-2300</t>
  </si>
  <si>
    <t>GİB - e-Arşiv Paket Güncellemesi</t>
  </si>
  <si>
    <t>EFT-2299</t>
  </si>
  <si>
    <t>GİB - e-Fatura Paketi Güncelleme</t>
  </si>
  <si>
    <t>EFT-2298</t>
  </si>
  <si>
    <t>EFT-2297</t>
  </si>
  <si>
    <t>EFT-2275</t>
  </si>
  <si>
    <t>e- Belge “GIB” Ön Ek Düzenlemeleri</t>
  </si>
  <si>
    <t>EDF-789</t>
  </si>
  <si>
    <t>Şifre Hatırlat Link Düzeltmesi</t>
  </si>
  <si>
    <t>EDF-788</t>
  </si>
  <si>
    <t>Araştırma - e-Envanter Defterinin e-Defter Altında Konumlandırılması</t>
  </si>
  <si>
    <t>Kasım 2024'ten İtibaren Toplam Değerler</t>
  </si>
  <si>
    <t>Tamamlanan Sprint Değerleri</t>
  </si>
  <si>
    <t>Ürünler</t>
  </si>
  <si>
    <t>Tamamlanan İş Adetleri</t>
  </si>
  <si>
    <t xml:space="preserve"> Product Backlog Eritme oranı</t>
  </si>
  <si>
    <t>Tamamlanan Sprint Perf. Oranı</t>
  </si>
  <si>
    <t>Tamamlanan Sprint içinde Üzerinde Çalışılan Bug Adedi</t>
  </si>
  <si>
    <t>Chatbot Webhook Güvenlik Servisi Geliştirmesi</t>
  </si>
  <si>
    <t>YZCK-17</t>
  </si>
  <si>
    <t>Yapay Zeka Destekli Çağrı Karşılama</t>
  </si>
  <si>
    <t>Chatbot Mobil Uygulama FrontEnd Geliştirme</t>
  </si>
  <si>
    <t>YZCK-16</t>
  </si>
  <si>
    <t>Araştırma-Max Iteration Hatası – Agent Döngü Problemi ve Çözüm Uygulamaları</t>
  </si>
  <si>
    <t>YZCK-15</t>
  </si>
  <si>
    <t>Chat History Workflow ve PostgreSQL Entegrasyonu</t>
  </si>
  <si>
    <t>YZCK-10</t>
  </si>
  <si>
    <t>Vectorel Veri Tabanında Q&amp;A Verilerinin Artırılması</t>
  </si>
  <si>
    <t>YZCK-9</t>
  </si>
  <si>
    <t>Excelde Bulunan Linklerin Clickable Olması</t>
  </si>
  <si>
    <t>YZCK-8</t>
  </si>
  <si>
    <t>Chatbot Frontend Geliştirme Yaklaşımı İçin Teknik Araştırma</t>
  </si>
  <si>
    <t>YZCK-7</t>
  </si>
  <si>
    <t>Promptta Bulunmayan Verilerin Hata Mesajı Düzeltmesi</t>
  </si>
  <si>
    <t>YZCK-6</t>
  </si>
  <si>
    <t>Çağrı Merkezi Senaryolarının Database Node (Qdrant)' a Eklenmesi</t>
  </si>
  <si>
    <t>YZCK-5</t>
  </si>
  <si>
    <t>WIK-627</t>
  </si>
  <si>
    <t>WIK-621</t>
  </si>
  <si>
    <t>WIK-612</t>
  </si>
  <si>
    <t>UKDS-165</t>
  </si>
  <si>
    <t>UKDS-122</t>
  </si>
  <si>
    <t>MYS-816</t>
  </si>
  <si>
    <t>MYS-732</t>
  </si>
  <si>
    <t>MYS-731</t>
  </si>
  <si>
    <t>MYS-727</t>
  </si>
  <si>
    <t>MUL-194</t>
  </si>
  <si>
    <t>MUL-193</t>
  </si>
  <si>
    <t>MUL-191</t>
  </si>
  <si>
    <t>MUL-185</t>
  </si>
  <si>
    <t>MUL-182</t>
  </si>
  <si>
    <t>MUL-181</t>
  </si>
  <si>
    <t>MUL-177</t>
  </si>
  <si>
    <t>MUL-84</t>
  </si>
  <si>
    <t>MU-174</t>
  </si>
  <si>
    <t>MU-173</t>
  </si>
  <si>
    <t>MU-172</t>
  </si>
  <si>
    <t>MU-171</t>
  </si>
  <si>
    <t>MU-170</t>
  </si>
  <si>
    <t>MU-169</t>
  </si>
  <si>
    <t>MU-128</t>
  </si>
  <si>
    <t>MU-123</t>
  </si>
  <si>
    <t>KEP-169</t>
  </si>
  <si>
    <t>KEP-104</t>
  </si>
  <si>
    <t>KA-1562</t>
  </si>
  <si>
    <t>KA-1546</t>
  </si>
  <si>
    <t>KA-1529</t>
  </si>
  <si>
    <t>IEU-281</t>
  </si>
  <si>
    <t>IEU-279</t>
  </si>
  <si>
    <t>IEU-277</t>
  </si>
  <si>
    <t>IEU-243</t>
  </si>
  <si>
    <t>IEU-242</t>
  </si>
  <si>
    <t>IEU-237</t>
  </si>
  <si>
    <t>IEU-118</t>
  </si>
  <si>
    <t>IEU-108</t>
  </si>
  <si>
    <t>EFT-2308</t>
  </si>
  <si>
    <t>EFT-2067</t>
  </si>
  <si>
    <t>EFT-2055</t>
  </si>
  <si>
    <t>EFT-2022</t>
  </si>
  <si>
    <t>EFT-1996</t>
  </si>
  <si>
    <t>EDF-791</t>
  </si>
  <si>
    <t>EDF-738</t>
  </si>
  <si>
    <t>EDF-737</t>
  </si>
  <si>
    <t>EDF-735</t>
  </si>
  <si>
    <t>EDF-701</t>
  </si>
  <si>
    <t>DP-274</t>
  </si>
  <si>
    <t>DP-265</t>
  </si>
  <si>
    <t>DP-264</t>
  </si>
  <si>
    <t>DP-263</t>
  </si>
  <si>
    <t>DP-261</t>
  </si>
  <si>
    <t>DP-260</t>
  </si>
  <si>
    <t>DP-259</t>
  </si>
  <si>
    <t>DP-258</t>
  </si>
  <si>
    <t>DP-253</t>
  </si>
  <si>
    <t>CRM-539</t>
  </si>
  <si>
    <t>CRM-523</t>
  </si>
  <si>
    <t>CRM-522</t>
  </si>
  <si>
    <t>CRM-516</t>
  </si>
  <si>
    <t>TEST</t>
  </si>
  <si>
    <t>Kardekod logo ayar ekranı konumların kayması hk.</t>
  </si>
  <si>
    <t>Karekod görsel sorunu</t>
  </si>
  <si>
    <t>Duyuru modülü Taslakların güncellenmemesi</t>
  </si>
  <si>
    <t>Çalışan Ekle Toplu İşlemlerde Paging Sorunu Hk</t>
  </si>
  <si>
    <t>KİDOS Kurumsal başvurularda VKN hatası</t>
  </si>
  <si>
    <t xml:space="preserve">MYS(agesa) Görevler Toplu İşlemler Alanında SEP İletileri İçin Toplu Aksiyon Butonları Çalışmıyor </t>
  </si>
  <si>
    <t>SEP İletisi Gönderme Hatası</t>
  </si>
  <si>
    <t>EYP'lerin Taslaklara Kopyalanma Hatası</t>
  </si>
  <si>
    <t>Basılı İleti -&gt; Taslaklar Ekranında Silme İşlemi Sırasında Hata ve Uyarılar</t>
  </si>
  <si>
    <t>Toplu Alıcı Ekleme/Kaydetme Hk.</t>
  </si>
  <si>
    <t>Test Servisleri Genel Test Bulguları-2</t>
  </si>
  <si>
    <t>Test Servisleri Genel Test Bulguları</t>
  </si>
  <si>
    <t>Doküman Kişiselleştir Hatası</t>
  </si>
  <si>
    <t>İTO 65K'lık belge yükleme sonrası oluşan hata</t>
  </si>
  <si>
    <t>MKR yüksek ölçekli dosyaların indirilmesinde hata</t>
  </si>
  <si>
    <t>Daha önce silinen belgelerin başka bir belge yüklerken tekrar listelenmesi</t>
  </si>
  <si>
    <t>Kep iletisi içerik alanındaki metinlerin webmail'den görüntülenme düzenlemesi</t>
  </si>
  <si>
    <t xml:space="preserve">KEP Mobil Uygulama HTML İçerik Sorunu </t>
  </si>
  <si>
    <t>Yanlış Posta Kutusunda Görünüyor (Gelen Kutusu İken Giden Kutusu Yazıyor)</t>
  </si>
  <si>
    <t>Tarih Seçim Bileşeninde Geri Tuşu Kullanımı: Gün Görünümünden Ay Görünümüne Dönülmüyor, Direkt Yıla Atlıyor</t>
  </si>
  <si>
    <t>UKDS Başvurusu Onayında Akış Kesintisi: "Hayır İptal Etme" Seçeneği Uygulamadan Atıyor (Logout)</t>
  </si>
  <si>
    <t>Android'de Uygulama İlk Kez Açılırken Bildirim İzni İsteği İki Kez Görünüyor (Reddetmeye Rağmen)</t>
  </si>
  <si>
    <t>Oturum Kapatma (Logout) Sonrası Giriş Ekranında Biyometrik Kimlik Doğrulama Otomatik Tetiklenmiyor</t>
  </si>
  <si>
    <t>Cihazlarda FCM Token Alma Sürecinde Zaman Zaman Oluşan Hata</t>
  </si>
  <si>
    <t>OTP Doğrulama Alanında Silinen Kod Sonrası "Doğrula" Butonunun Aktif Kalması</t>
  </si>
  <si>
    <t>EYP İndirme Sorunu</t>
  </si>
  <si>
    <t>Desteği Olmayan Web Sunucu Uygulaması</t>
  </si>
  <si>
    <t>Bazı KEP Adreslerinden Gelen İletilerin Ekleri gözükmemektedir.</t>
  </si>
  <si>
    <t>Toplu İmza Sürecinde Sıra Atlama ve FaultException Hatası</t>
  </si>
  <si>
    <t>İmzalanan iletilerde "İmzalayanlar" alanında yanlış isim bilgisi görünmesi</t>
  </si>
  <si>
    <t>INT-SUITE Ortamında Bellek Tüketimi Artışı araştırması</t>
  </si>
  <si>
    <t>KEP Hesaplarında Onay Sürecindeki Login Hatası</t>
  </si>
  <si>
    <t>Servisde Listeleme Sorunu: İletilerin Eksik Görüntülenmesi</t>
  </si>
  <si>
    <t>EYP 2.0 Formatındaki Dosyanın Parse Edilirken Hata Alınması</t>
  </si>
  <si>
    <t>-	EYP 1.3’te gerçek kişi oluştururken hata alınması</t>
  </si>
  <si>
    <t>HSM İmzalamalardaki Hatalar</t>
  </si>
  <si>
    <t>Mutabakat metodunda gelen ileti adetlerinin sorgu sonucuna yansıtılamaması</t>
  </si>
  <si>
    <t>Yüksek boyutlu KEP iletisi oluşturma hatası hakkında</t>
  </si>
  <si>
    <t>e-Arşiv ve e-Fatura Gönderilen Faturalar Sayfalarından 'e-Posta Gönder' Butonunun Kaldırılması</t>
  </si>
  <si>
    <t>Konnektörde Seçilen Faturanın Mail Olarak Gönderilememesi</t>
  </si>
  <si>
    <t>E-Fatura Portal Hizmet Sözleşmesi Alanında Belge Yükleme Limit Kaldırılması</t>
  </si>
  <si>
    <t xml:space="preserve">Konnektörde İrsaliye Oluşturma Ekranında “Cari Seç” ve “Ürün Seç” Butonlarının Kısayollarında ki Hata Hk. </t>
  </si>
  <si>
    <t xml:space="preserve">Portalde Fatura Girişte 'Hesaplanan KDV' değeri ile Fatura Kesildikten Sonra ki 'Hesaplanan KDV' Değeri Arasında ki Fark </t>
  </si>
  <si>
    <t>Ondalık Birim Nokta Olduğu Defter XML'lerinin Düzeltilmesi</t>
  </si>
  <si>
    <t>Scheduler Servis İyileştirmesi</t>
  </si>
  <si>
    <t>Veritabanında Open Transaction Uyarısı Hk.</t>
  </si>
  <si>
    <t>Bloke Olan Kullanıcı 'Şifre Hatırlat' Butonuna Tıkladığında Ekranda Uyarı Mesajı</t>
  </si>
  <si>
    <t xml:space="preserve">Defter Raporu Kuyrukta Bekleme Sorunu </t>
  </si>
  <si>
    <t>KEP-Assist Kep İmza İşlemleri</t>
  </si>
  <si>
    <t>Gönderilen E-Fatura ve E-İrsaliye'de 1163 Olup İçinde 2004 Durumlu Zarf Olanlarda Hata Alması</t>
  </si>
  <si>
    <t>E-Fatura&gt;İptal Firma Modülü Timeout Hata</t>
  </si>
  <si>
    <t>E-Fatura Modülünde Toplu Zarf Sorgulama Ebasebulka İşlem Yapılamaması</t>
  </si>
  <si>
    <t>Gönderilen Faturalarda 1163 Faturaların Zarf Kontrolde 1000 Durumuna Gelmesi</t>
  </si>
  <si>
    <t xml:space="preserve">E-Fatura&gt;Gelen Faturalarda Yanıt Zarf Kontrolü </t>
  </si>
  <si>
    <t>Rapor &gt; E-Fatura Sayfasında Sorgulama Hatası</t>
  </si>
  <si>
    <t>E-Fatura&gt; Gönderilen Fatura İşlemleri&gt; 1163 Faturaları Hk.</t>
  </si>
  <si>
    <t xml:space="preserve">Raporlar Modülünde 2 Günden Fazla Günlerde Alınan Hata </t>
  </si>
  <si>
    <t>Toplu KEP IK Bireysel KEP Açılışlarında Rezerve Tablosunun Kontrolü</t>
  </si>
  <si>
    <t>Pazarama Bug Fix</t>
  </si>
  <si>
    <t>Teklif Onay Sayfasında Özel İndirim Alanı Hk.</t>
  </si>
  <si>
    <t>Kısmen İade Tutar Bug</t>
  </si>
  <si>
    <t>Tamamlanan Sprint içinde Üzerinde Çalışılan İş Adedi (Bug Dahil)</t>
  </si>
  <si>
    <t>Toplam İş Adedi 
(Açık ve Kapalı Tüm Maddeleri, Bug Dahil)</t>
  </si>
  <si>
    <t>Toplam Bug Adedi</t>
  </si>
  <si>
    <t>KEP İK Kullanıcı Yetkilendirme Modülü Entegrasyonu</t>
  </si>
  <si>
    <t>CRM-718</t>
  </si>
  <si>
    <t>Üretim Modülü Ek Geliştirme</t>
  </si>
  <si>
    <t>CRM-728</t>
  </si>
  <si>
    <t>KEP Öneri Metodu Karakter Hatası</t>
  </si>
  <si>
    <t>CRM-732</t>
  </si>
  <si>
    <t xml:space="preserve">Ödeme Altyapısının Servis ile UKDS ve MU ile Paylaşılması </t>
  </si>
  <si>
    <t>CRM-744</t>
  </si>
  <si>
    <t xml:space="preserve">Datassist &amp; CRM Entegrasyonu - Kurumsal Müşteri ve Teklif Kayıtları Oluşturma </t>
  </si>
  <si>
    <t>CRM-747</t>
  </si>
  <si>
    <t>Datassist &amp; CRM Entegrasyonu - Kurumsal Teklif İçin Sipariş Detayı ve Sözleşme Kayıtları Oluşturma</t>
  </si>
  <si>
    <t>CRM-748</t>
  </si>
  <si>
    <t>Datassist &amp; CRM Entegrasyonu - Bireysel Sipariş Detayı Oluşturma</t>
  </si>
  <si>
    <t>CRM-740</t>
  </si>
  <si>
    <t>KEP Adresi Açılışında UKDS’ye KEP ID Gönderimi</t>
  </si>
  <si>
    <t>CRM-742</t>
  </si>
  <si>
    <t>UKDS Servisine API Access Token Gönderimi</t>
  </si>
  <si>
    <t>CRM-743</t>
  </si>
  <si>
    <t>RezerveKEP Metoduna API Access Token Parametresi Eklenmesi</t>
  </si>
  <si>
    <t>CRM-745</t>
  </si>
  <si>
    <t>UKDS Kontrol Otomasyonu - E-Devlet Onay İbaresi Alanı Ek Metin</t>
  </si>
  <si>
    <t>CRM-749</t>
  </si>
  <si>
    <t>KEP Oluştur Butonu - Kuyruk Ayrımı</t>
  </si>
  <si>
    <t>CRM-741</t>
  </si>
  <si>
    <t>Tekliflerde İade Faturası Sonrası Eksik Fatura Kontrolü</t>
  </si>
  <si>
    <t>CRM-736</t>
  </si>
  <si>
    <t>E-Belge Ürünleri Zorunlu Eşitlemeler</t>
  </si>
  <si>
    <t>IEU-278</t>
  </si>
  <si>
    <t>IEU-280</t>
  </si>
  <si>
    <t>KA-1563</t>
  </si>
  <si>
    <t>KA-1564</t>
  </si>
  <si>
    <t>MYS-817</t>
  </si>
  <si>
    <t>UKDS Metodlarındaki Güncellemelerin Entegrasyon Suit Tarafında Uygulanması</t>
  </si>
  <si>
    <t>EYP 2.0 Paketine İkinci İmza Ekleme İşleminde "Zaten İmzalıdır" Hatası</t>
  </si>
  <si>
    <t>Word-PDF Dönüşümü APİ (Office + API) Test ve Doğrulaması</t>
  </si>
  <si>
    <t>EvoPDF ile Word → PDF Dönüşüm Aracı Değerlendirmesi</t>
  </si>
  <si>
    <t>Cevap Şablon Modülünün SEP Yanıt Süreç Akışının Sağlanması</t>
  </si>
  <si>
    <t>IEU-282</t>
  </si>
  <si>
    <t>IEU-283</t>
  </si>
  <si>
    <t>MU-163</t>
  </si>
  <si>
    <t>MU-176</t>
  </si>
  <si>
    <t>MU-177</t>
  </si>
  <si>
    <t>MYS-821</t>
  </si>
  <si>
    <t>MYS-820</t>
  </si>
  <si>
    <t>Araştırma/ İmzalama Sürecinde Aynı Anda Gelen Çoklu İstek Akışının Belirlenmesi</t>
  </si>
  <si>
    <t>Araştırma KEP Gönderim Süreçlerinin Tek Metotta Birleştirilmesi ve Optimizasyonu</t>
  </si>
  <si>
    <t>CRM Onayı Bekleyen KEP Adresleri İçin Yönlendirme Sayfalarının Tasarım Güncellemesi</t>
  </si>
  <si>
    <t>CRM Onayı Bekleyen KEP Adresleri İçin Yönlendirme Sayfalarının API Entegrasyonu</t>
  </si>
  <si>
    <t>TEST - E-Tebligat Metninde Satır Başı Sorunu</t>
  </si>
  <si>
    <t>KEP-Gelen İleti Listeleme Ekranında Giden İleti ID Gösterimi</t>
  </si>
  <si>
    <t>UKDS-198</t>
  </si>
  <si>
    <t>UKDS ana servis ve önyüzde yeni tipe göre güncelleme</t>
  </si>
  <si>
    <t>UKDS-189</t>
  </si>
  <si>
    <t>"Entegrasyon Suit UKDS" servisinin remake çalışması hk</t>
  </si>
  <si>
    <t>UKDS-191</t>
  </si>
  <si>
    <t>Entegrasyon Suit Üzerinden UKDS Modülü Satıldığında UKDS’ye Bilgi Gönderilecek Yeni Methodun Oluşturulması</t>
  </si>
  <si>
    <t>UKDS-194</t>
  </si>
  <si>
    <t>Ön Başvuru Oluşturma Metoduna kepid, producttype ve value Parametrelerinin Eklenmesi</t>
  </si>
  <si>
    <t>UKDS-195</t>
  </si>
  <si>
    <t>Ön Başvuru Düzenleme Metoduna Yeni Parametrelerin Eklenmesi</t>
  </si>
  <si>
    <t>UKDS-197</t>
  </si>
  <si>
    <t>Get Integration/application/{applicationId} Methodunun Response’una kepid Eklenmesi</t>
  </si>
  <si>
    <t>UKDS-196</t>
  </si>
  <si>
    <t>Tüm Başvuruları Listeleme Metodunda kepid Zorunluluğunun Kaldırılması</t>
  </si>
  <si>
    <t>UKDS-193</t>
  </si>
  <si>
    <t>Yeni Bir Başvuru Tipi Eklenmesi: IKENTEGRASYON</t>
  </si>
  <si>
    <t>UKDS-192</t>
  </si>
  <si>
    <t>changestatuscrm Methoduna ‘kepid’ Parametresinin Eklenmesi</t>
  </si>
  <si>
    <t>UKDS-201</t>
  </si>
  <si>
    <t>Toplu Çalışan Ekleme – Excel Format Doğrulama Akışındaki Tarih Formatının Kontrolü</t>
  </si>
  <si>
    <t>WIK-741</t>
  </si>
  <si>
    <t>Çalışan Ekle Ekranında Ad–Soyad Bilgilerinin Tüm Fonksiyonlarda Görüntülenmesi ve Aranabilir Hale Getirilmesi</t>
  </si>
  <si>
    <t>WIK-743</t>
  </si>
  <si>
    <t>Çalışanlar Ekranına Çalışan Grubu Kolonu Eklenmesi</t>
  </si>
  <si>
    <t>Issue id</t>
  </si>
  <si>
    <t>Parent id</t>
  </si>
  <si>
    <t>Project key</t>
  </si>
  <si>
    <t>Project type</t>
  </si>
  <si>
    <t>Project lead</t>
  </si>
  <si>
    <t>Project description</t>
  </si>
  <si>
    <t>Project url</t>
  </si>
  <si>
    <t>Priority</t>
  </si>
  <si>
    <t>Resolution</t>
  </si>
  <si>
    <t>Assignee</t>
  </si>
  <si>
    <t>Reporter</t>
  </si>
  <si>
    <t>Creator</t>
  </si>
  <si>
    <t>Created</t>
  </si>
  <si>
    <t>Updated</t>
  </si>
  <si>
    <t>Last Viewed</t>
  </si>
  <si>
    <t>Resolved</t>
  </si>
  <si>
    <t>Fix Version/s</t>
  </si>
  <si>
    <t>Due Date</t>
  </si>
  <si>
    <t>Votes</t>
  </si>
  <si>
    <t>Labels</t>
  </si>
  <si>
    <t>Description</t>
  </si>
  <si>
    <t>Environment</t>
  </si>
  <si>
    <t>Watchers</t>
  </si>
  <si>
    <t>Watchers_2</t>
  </si>
  <si>
    <t>Watchers_3</t>
  </si>
  <si>
    <t>Log Work</t>
  </si>
  <si>
    <t>Log Work_7</t>
  </si>
  <si>
    <t>Log Work_8</t>
  </si>
  <si>
    <t>Log Work_9</t>
  </si>
  <si>
    <t>Log Work_10</t>
  </si>
  <si>
    <t>Log Work_11</t>
  </si>
  <si>
    <t>Log Work_12</t>
  </si>
  <si>
    <t>Log Work_13</t>
  </si>
  <si>
    <t>Log Work_14</t>
  </si>
  <si>
    <t>Log Work_15</t>
  </si>
  <si>
    <t>Log Work_16</t>
  </si>
  <si>
    <t>Log Work_17</t>
  </si>
  <si>
    <t>Original Estimate</t>
  </si>
  <si>
    <t>Remaining Estimate</t>
  </si>
  <si>
    <t>Time Spent</t>
  </si>
  <si>
    <t>Work Ratio</t>
  </si>
  <si>
    <t>Σ Original Estimate</t>
  </si>
  <si>
    <t>Σ Remaining Estimate</t>
  </si>
  <si>
    <t>Σ Time Spent</t>
  </si>
  <si>
    <t>Security Level</t>
  </si>
  <si>
    <t>Outward issue link (Relates)</t>
  </si>
  <si>
    <t>Attachment</t>
  </si>
  <si>
    <t>Custom field (Analyst)</t>
  </si>
  <si>
    <t>Custom field (Başlama Tarihi)</t>
  </si>
  <si>
    <t>Custom field (Epic Color)</t>
  </si>
  <si>
    <t>Custom field (Epic Link)</t>
  </si>
  <si>
    <t>Custom field (Epic Name)</t>
  </si>
  <si>
    <t>Custom field (Epic Status)</t>
  </si>
  <si>
    <t>Custom field (Ortak - Kayda Atanan)</t>
  </si>
  <si>
    <t>Custom field (Ortak - Kaydı Açan)</t>
  </si>
  <si>
    <t>Custom field (Pending Reason)</t>
  </si>
  <si>
    <t>Custom field (Product Owner)</t>
  </si>
  <si>
    <t>Custom field (Rank)</t>
  </si>
  <si>
    <t>Sprint</t>
  </si>
  <si>
    <t>Custom field (Story Points)</t>
  </si>
  <si>
    <t>Custom field (Talep Sahibi - CRM)</t>
  </si>
  <si>
    <t>Custom field (Tester)</t>
  </si>
  <si>
    <t>Comment</t>
  </si>
  <si>
    <t>Ara Servis Katmanında IP Kontrolünün Yapılabilmesi</t>
  </si>
  <si>
    <t>YZCK-19</t>
  </si>
  <si>
    <t>YZCK</t>
  </si>
  <si>
    <t>software</t>
  </si>
  <si>
    <t>elvan.gurler</t>
  </si>
  <si>
    <t/>
  </si>
  <si>
    <t>Medium</t>
  </si>
  <si>
    <t>baris.tunc</t>
  </si>
  <si>
    <t>Araştırma- Chat Değerlendirme Workflow'da Ürün Bazlı Değerlendirme Sonucu</t>
  </si>
  <si>
    <t>YZCK-18</t>
  </si>
  <si>
    <t>basak.ayverdi</t>
  </si>
  <si>
    <t>Ek İşler Hk.</t>
  </si>
  <si>
    <t>Side-Jobs</t>
  </si>
  <si>
    <t>berrin.akan</t>
  </si>
  <si>
    <t>Arka planda yapılan işlerin loglanması</t>
  </si>
  <si>
    <t>omer.saritoy</t>
  </si>
  <si>
    <t>WIK</t>
  </si>
  <si>
    <t>ceren.sertkaya</t>
  </si>
  <si>
    <t>https://kep-ik.turkkep.com.tr/</t>
  </si>
  <si>
    <t>onder.bar</t>
  </si>
  <si>
    <t>can.macit</t>
  </si>
  <si>
    <t>gulnur.aka</t>
  </si>
  <si>
    <t>Kidos Ekranlarına Aktif/Pasif Statün Eklenmesi</t>
  </si>
  <si>
    <t>UKDS-200</t>
  </si>
  <si>
    <t>UKDS Paket Seçimi Sonrası Ödeme Adımı Servis Entegrasyonunun Gerçekleştirilmesi</t>
  </si>
  <si>
    <t>UKDS-199</t>
  </si>
  <si>
    <t>gurkan.guney</t>
  </si>
  <si>
    <t>gitlab.dev</t>
  </si>
  <si>
    <t>hasan.coskun</t>
  </si>
  <si>
    <t>Verified</t>
  </si>
  <si>
    <t>Epic</t>
  </si>
  <si>
    <t>MYS</t>
  </si>
  <si>
    <t>Remzi.Sefer</t>
  </si>
  <si>
    <t>http://mys.turkkep.com.tr/</t>
  </si>
  <si>
    <t>batuhan.tufan</t>
  </si>
  <si>
    <t>Ek işler Hk.</t>
  </si>
  <si>
    <t>mert.tanel</t>
  </si>
  <si>
    <t>API Bağlantılarındaki Responselar için Model Düzenlemeleri</t>
  </si>
  <si>
    <t>MU-175</t>
  </si>
  <si>
    <t>MU</t>
  </si>
  <si>
    <t>Türkkep Uniram, Kep ileti Gönderim ve alım webservisleri ve webmail için oluşturulmuştur.</t>
  </si>
  <si>
    <t>ugur.dundar</t>
  </si>
  <si>
    <t>KEP Sprint 2025/39-40</t>
  </si>
  <si>
    <t>KEP Sprint 2025/40-41</t>
  </si>
  <si>
    <t>KEP Sprint 2025/42-43</t>
  </si>
  <si>
    <t>KEP Sprint 2025/30-32</t>
  </si>
  <si>
    <t>KEP Sprint 2025/335-36</t>
  </si>
  <si>
    <t>KEP Sprint 2025/37-38</t>
  </si>
  <si>
    <t>04/Sep/25 11:20 AM;gulnur.aka;Yapılan görüşmeden sonra testlerin 22 Eylül gibi tamamlanması beklenmektedir.</t>
  </si>
  <si>
    <t>KA</t>
  </si>
  <si>
    <t>https://kepassist.turkkep.com.tr/</t>
  </si>
  <si>
    <t>recep.simsek</t>
  </si>
  <si>
    <t>DP-288</t>
  </si>
  <si>
    <t>IEU</t>
  </si>
  <si>
    <t>https://int-suite.turkkep.com.tr/</t>
  </si>
  <si>
    <t>IEU Sprint 2025/35-41</t>
  </si>
  <si>
    <t>omer.turkmen</t>
  </si>
  <si>
    <t>IEU Sprint 2025/35-40</t>
  </si>
  <si>
    <t>hamza.ceylan</t>
  </si>
  <si>
    <t>e-Fatura Portal</t>
  </si>
  <si>
    <t>EFT-2311</t>
  </si>
  <si>
    <t>EFT</t>
  </si>
  <si>
    <t>Temel, Ticari, E-Arşiv Fatura</t>
  </si>
  <si>
    <t>https://efportal.turkkep.com.tr/</t>
  </si>
  <si>
    <t>İlaçTıbbiAçıklama Alanın Tıklanabilir Input Tablosuna Dönüştürülmesi</t>
  </si>
  <si>
    <t>EFT-2310</t>
  </si>
  <si>
    <t>atakan.akyildiz</t>
  </si>
  <si>
    <t>e-Fatura - İlk Aktivasyon Esnasında Mükelleflerin İmza/Mali Mühür Sertifikasyon Başlangıç-Bitiş Tarih Loglama</t>
  </si>
  <si>
    <t>EFT-2309</t>
  </si>
  <si>
    <t xml:space="preserve">GİB - "CurrencyCodeList" Güncellenmesi </t>
  </si>
  <si>
    <t xml:space="preserve">GİB - ILAC_TIBBICIHAZ Profilinde "AdditionalItemIdentification" Kontrolü </t>
  </si>
  <si>
    <t>EDF</t>
  </si>
  <si>
    <t>http://edefter.turkkep.com.tr</t>
  </si>
  <si>
    <t>KEP Assist - Hesap Hata Takibi Tablosu Eklenmesi</t>
  </si>
  <si>
    <t>kemal.gur</t>
  </si>
  <si>
    <t>https://crm.turkkep.com.tr</t>
  </si>
  <si>
    <t>ahmet.hekim</t>
  </si>
  <si>
    <t>Sipariş Detayı Sayfası – İyileştirme Çalışması</t>
  </si>
  <si>
    <t>CRM-746</t>
  </si>
  <si>
    <t>KEP Zorunlu Eşitlemeler</t>
  </si>
  <si>
    <t>CRM-739</t>
  </si>
  <si>
    <t>CRM-735</t>
  </si>
  <si>
    <t>KEP Opsiyonel Eşitlemeler</t>
  </si>
  <si>
    <t>CRM-738</t>
  </si>
  <si>
    <t>Kurumsal Çözümler Zorunlu Eşitlemeler</t>
  </si>
  <si>
    <t>CRM-737</t>
  </si>
  <si>
    <t>KEP IK Başvuru Süreci CRM ve UKDS Sistemleri Arası Doğrulama</t>
  </si>
  <si>
    <t>CRM-734</t>
  </si>
  <si>
    <t>UKDS Kaynaklı Başvuru Durumlarının CRM Sisteminde Görüntülenmesi</t>
  </si>
  <si>
    <t>CRM-733</t>
  </si>
  <si>
    <t>Ent. Suit Sözleşme Bitiş Bildirimi</t>
  </si>
  <si>
    <t>CRM-729</t>
  </si>
  <si>
    <t>Sipariş Detayları ekranında bulunan "*Entegrasyon Yönetimi*" alanı zorunlu olup, liste içerisinde mevcut sistemde "Portal, Konnektör, Özel Entegrasyon" seçenekleri bulunmaktadır._x000D_
_x000D_
İstenilen "Entegrasyon Yönetimi" alanındaki listenin güncellenmesi._x000D_
_x000D_
Portal ve Serbest Konnektör seçeneği tek başına seçilebilir, fakat ERP Bağımlı Konnektör veya Özel Entegrasyon seçenekleri seçilir ise altlarında belirtilen seçeneklerinde seçilebilir olması gerekir._x000D_
_x000D_
Sipariş detayı ekranında bulunan "Entegrasyon Yönetimi" alanından "ERP Bağımlı Konnektör ve Özel Entegrasyon" seçeneği seçilirse "ERP İsmi" alanı zorunlu olur ve aşağıda belirtilen seçeneklerin seçilebilmesi sağlanır._x000D_
_x000D_
"ERP Bağımlı Konnektör ve Özel Entegrasyon seçildiğinde "ERP İsmi" alanı zorunlu olur._x000D_
_x000D_
Yeni Eklenecek Seçenekler;_x000D_
 * Portal_x000D_
 * Serbest Konnektör_x000D_
 * ERP Bağımlı Konnektör_x000D_
 ** BAY.T Yazılım_x000D_
 ** ETA_x000D_
 ** LİNK_x000D_
 ** LOGO_x000D_
 ** MEDİTEK Yazılım_x000D_
 ** Mikro_x000D_
 ** Scala_x000D_
 ** Sispar_x000D_
 ** Vega_x000D_
 ** Zirve_x000D_
 ** Efes Pro ERP_x000D_
 ** Akınsoft Volvox_x000D_
 ** Netsis_x000D_
 ** Sermar_x000D_
 * Özel Entegrasyon_x000D_
 ** ABYS_x000D_
 ** ADA YAZILIM_x000D_
 ** AKEAD_x000D_
 ** ANYSTOCK_x000D_
 ** ARES YAZILIM_x000D_
 ** ATC GRUP_x000D_
 ** ATLAS HAL_x000D_
 ** AYAZSOFT_x000D_
 ** BAYBİLGİN ERP_x000D_
 ** BEST BİLGİSAYAR_x000D_
 ** BEYAZ YAZILIM_x000D_
 ** BGSİS_x000D_
 ** BİLİŞİM ERP_x000D_
 ** BİLTAM_x000D_
 ** BİMSER_x000D_
 ** BİSOD YAZILIM / ORİON_x000D_
 ** BOTANİK YAZILIM_x000D_
 ** CETASOFT_x000D_
 ** DOA YAZILIM_x000D_
 ** DEFLİNE TEKNOLOJİ_x000D_
 ** E-BİLGİ_x000D_
 ** EGEMEN YAZILIM_x000D_
 ** EKOHESAP_x000D_
 ** EKSTREM YAZILIM_x000D_
 ** ELEKTRA YAZILIM_x000D_
 ** ENTEGRA_x000D_
 ** ERP12 YAZILIM_x000D_
 ** EVRİM YAZILIM_x000D_
 ** FEMSOFT_x000D_
 ** F- ERP YAZILIM_x000D_
 ** GELECEK YAZILIM_x000D_
 ** GURU ENVİRO_x000D_
 ** GÜNEŞ YAZILIM_x000D_
 ** HARMONY ERP_x000D_
 ** HASER BİLGİSAYAR SİST. YAZILIM LTD._x000D_
 ** HBSOFT_x000D_
 ** HOTELRUNNER_x000D_
 ** İNCİ DİJİTAL_x000D_
 ** K12.NET_x000D_
 ** LED YAZILIM_x000D_
 ** LİKOM PRESTO PLUS_x000D_
 ** LUCA_x000D_
 ** MAVİ YAZILIM_x000D_
 ** MEDULA_x000D_
 ** MİKROTEKSOFT_x000D_
 ** MODEL BİLGİ İŞL. HİZ. SAN. TİC. LTD._x000D_
 ** NESİLCESOFT_x000D_
 ** NET KOZA_x000D_
 ** NETSİM_x000D_
 ** NETO YAZILIM_x000D_
 ** NİMBO/MODALTRANS_x000D_
 ** NOKTA BARKOD_x000D_
 ** NOVA FORTİS_x000D_
 ** ONELEE_x000D_
 ** ÖZKIRCA BİLGİSAYAR_x000D_
 ** PALMA_x000D_
 ** PAYCELL_x000D_
 ** POİNT YAZILIM / MEDİSİS_x000D_
 ** PR YAZILIM_x000D_
 ** PROTEL_x000D_
 ** RESİTAL_x000D_
 ** SABNET_x000D_
 ** SAP_x000D_
 ** SDATAM_x000D_
 ** SELECT_x000D_
 ** SENBENDENAL_x000D_
 ** SENİT YAZILIM_x000D_
 ** SENTEZ_x000D_
 ** SETİM_x000D_
 ** THREECOLOR_x000D_
 ** TÜRK NİPPON SİGORTA_x000D_
 ** USTAPOS_x000D_
 ** VERA ERP_x000D_
 ** VERİ BİLİŞİM_x000D_
 ** WORK OF TIME -MTOD</t>
  </si>
  <si>
    <t>Eklenmek istenen alanlar veritabanına eklenerek ilgili alanda listelenmesi sağlandı;15/Sep/25 10:09 AM;baris.tunc;7200</t>
  </si>
  <si>
    <t>Erp İsmi alanına elenen değerler entegrasyon yöntemi alanına bağlanıp filreleme yapılmıştır.;15/Sep/25 10:11 AM;baris.tunc;10800</t>
  </si>
  <si>
    <t>04/Sep/25 2:40 PM;kemal.gur;Entegrasyon Yönetimi Alanı.xlsx;http://192.168.124.186:8080/secure/attachment/15559/Entegrasyon+Y%C3%B6netimi+Alan%C4%B1.xlsx</t>
  </si>
  <si>
    <t>08/Sep/25 10:25 AM;kemal.gur;image-2025-09-08-10-25-10-177.png;http://192.168.124.186:8080/secure/attachment/15568/image-2025-09-08-10-25-10-177.png</t>
  </si>
  <si>
    <t>10/Sep/25 4:43 PM;baris.tunc;resim.png;http://192.168.124.186:8080/secure/attachment/15592/resim.png</t>
  </si>
  <si>
    <t>10/Sep/25 4:44 PM;baris.tunc;resim.png doyasındaki alanların _x000D_
_x000D_
Sipariş detayı =&gt; adv_entegrasyon_yontemi =&gt; entegrasyon_yonetimi_list kısmına eklenmesi gerekmektedir</t>
  </si>
  <si>
    <t>11/Sep/25 9:36 AM;baris.tunc;Aşağıdaki değerlerin Sipariş detayı =&gt; trkkp_erp_adi =&gt; trkkp_erp_adi_list kısmında yok ise eklenmesi gerekmektedir._x000D_
 'bayt_yazilim' : 'BAY.T Yazılım',_x000D_
 'eta' : 'ETA',_x000D_
 'link' : 'LİNK',_x000D_
 'logo' : 'LOGO',_x000D_
 'meditek_yazilim' : 'MEDİTEK Yazılım',_x000D_
 'mikro' : 'Mikro',_x000D_
 'scala' : 'Scala',_x000D_
 'sispar' : 'Sispar',_x000D_
 'vega' : 'Vega',_x000D_
 'zirve' : 'Zirve',_x000D_
 'efes_pro_erp' : 'Efes Pro ERP',_x000D_
 'akinsotf_volvox' : 'Akınsoft Volvox',_x000D_
 'netsis' : 'Netsis',_x000D_
 'sermar' : 'Sermar',_x000D_
 'abys' : 'ABYS',_x000D_
 'ada_yazilim' : 'ADA YAZILIM',_x000D_
 'akead' : 'AKEAD',_x000D_
 'anystock' : 'ANYSTOCK',_x000D_
 'ares_yazilim' : 'ARES YAZILIM',_x000D_
 'atc_grup' : 'ATC GRUP',_x000D_
 'atlas_hal' : 'ATLAS HAL',_x000D_
 'ayaz_spft' : 'AYAZSOFT',_x000D_
 'baybilgin_erp' : 'BAYBİLGİN ERP',_x000D_
 'mest_bilgisayar' : 'BEST BİLGİSAYAR',_x000D_
 'beyaz_yazilim' : 'BEYAZ YAZILIM',_x000D_
 'bgsis' : 'BGSİS',_x000D_
 'bilisim_erp' : 'BİLİŞİM ERP',_x000D_
 'biltam' : 'BİLTAM',_x000D_
 'bimser' : 'BİMSER',_x000D_
 'bisod_yazililm_orion' : 'BİSOD YAZILIM / ORİON',_x000D_
 'botanik_yazilim' : 'BOTANİK YAZILIM',_x000D_
 'cetasoft' : 'CETASOFT',_x000D_
 'oda_yazilim' : 'DOA YAZILIM',_x000D_
 'defline_teknoloji' : 'DEFLİNE TEKNOLOJİ',_x000D_
 'e_bilgi' : 'E-BİLGİ',_x000D_
 'egemen_yazilim' : 'EGEMEN YAZILIM',_x000D_
 'ekohesap' : 'EKOHESAP',_x000D_
 'ekstrem_yazilim' : 'EKSTREM YAZILIM',_x000D_
 'elektra_yazilim' : 'ELEKTRA YAZILIM',_x000D_
 'entagra' : 'ENTEGRA',_x000D_
 'erp12_yazilim' : 'ERP12 YAZILIM',_x000D_
 'evrim_yazilim' : 'EVRİM YAZILIM',_x000D_
 'femsport' : 'FEMSOFT',_x000D_
 'f_erp_yazilim' : 'F- ERP YAZILIM',_x000D_
 'elecek_yazilim' : 'GELECEK YAZILIM',_x000D_
 'guru_evrino' : 'GURU ENVİRO',_x000D_
 'gunes_yazilim' : 'GÜNEŞ YAZILIM',_x000D_
 'marmony_erp' : 'HARMONY ERP',_x000D_
 'haser_bilgisayar' : 'HASER BİLGİSAYAR SİST. YAZILIM LTD.',_x000D_
 'hbsoft' : 'HBSOFT',_x000D_
 'hotelrunner' : 'HOTELRUNNER',_x000D_
 'inci_dijital' : 'İNCİ DİJİTAL',_x000D_
 'k12_net' : 'K12.NET',_x000D_
 'led_yazilim' : 'LED YAZILIM',_x000D_
 'likom_presto_plus' : 'LİKOM PRESTO PLUS',_x000D_
 'luca' : 'LUCA',_x000D_
 'mavi_yazilim' : 'MAVİ YAZILIM',_x000D_
 'medula' : 'MEDULA',_x000D_
 'mikroteksoft' : 'MİKROTEKSOFT',_x000D_
 'model_bilgi_isl' : 'MODEL BİLGİ İŞL. HİZ. SAN. TİC. LTD.',_x000D_
 'nesilcesoft' : 'NESİLCESOFT',_x000D_
 'net_koza' : 'NET KOZA',_x000D_
 'netsim' : 'NETSİM',_x000D_
 'netro_yazilim' : 'NETO YAZILIM',_x000D_
 'nimbp_modaltrans' : 'NİMBO/MODALTRANS',_x000D_
 'nokta_barkod' : 'NOKTA BARKOD',_x000D_
 'nova_fortis' : 'NOVA FORTİS',_x000D_
 'onele' : 'ONELEE',_x000D_
 'ozkirca_bilgisayar' : 'ÖZKIRCA BİLGİSAYAR',_x000D_
 'palma' : 'PALMA',_x000D_
 'paycell' : 'PAYCELL',_x000D_
 'point_yazilim_medisis' : 'POİNT YAZILIM / MEDİSİS',_x000D_
 'pr_yazilim' : 'PR YAZILIM',_x000D_
 'protel' : 'PROTEL',_x000D_
 'resital' : 'RESİTAL',_x000D_
 'sabnet' : 'SABNET',_x000D_
 'sap' : 'SAP',_x000D_
 'sdatam' : 'SDATAM',_x000D_
 'select' : 'SELECT',_x000D_
 'senbendenal' : 'SENBENDENAL',_x000D_
 'senit_yazilim' : 'SENİT YAZILIM',_x000D_
 'sentez' : 'SENTEZ',_x000D_
 'setim' : 'SETİM',_x000D_
 'threecolor' : 'THREECOLOR',_x000D_
 'turk_nippon_sigorta' : 'TÜRK NİPPON SİGORTA',_x000D_
 'ustapos' : 'USTAPOS',_x000D_
 'vera_erp' : 'VERA ERP',_x000D_
 'veri_bilisim' : 'VERİ BİLİŞİM',_x000D_
 'mark_of_time' : 'WORK OF TIME -MTOD',</t>
  </si>
  <si>
    <t>11/Sep/25 9:37 AM;baris.tunc;trkkp_erp_adi alanına eklenmesi gereken alanların hepsi test ortamına eklenmemiştir. Test yapılırken dikkate alınmalıdır.</t>
  </si>
  <si>
    <t>12/Sep/25 9:53 AM;kemal.gur;İlgili alanlar canlı ortamda eklenmiştir.</t>
  </si>
  <si>
    <t>CRM Update 30</t>
  </si>
  <si>
    <t>CRM sisteminde E-Fatura ve E-Arşiv ürünleri için trafik bilgileri ekranında tarih aralığı girerek, girilen tarihler arasındaki trafik bilgilerinin gösterilmesi._x000D_
_x000D_
Trafik bilgileri ekranında "*Detay Göster*" butonu eklenmelidir._x000D_
_x000D_
Detay göster butonuna tıklandığında tarih aralığı girilebilmeli ve girilen tarih aralığına göre sonuçlar listelenmelidir._x000D_
_x000D_
Kullanılacak Servisler: [https://efinttestws.turkkep.com.tr/TurkkepAdminEntegrasyon.asmx]_x000D_
_x000D_
                                     [InvoiceArchiveCountService Web Service|http://192.168.226.101:1001/InvoiceArchiveCountService.asmx]_x000D_
_x000D_
Kullanılacak Metodlar:_x000D_
 * *GetErrorTurmobInfoCountByDate*_*:*_ Belirli bir tarih aralığında yapılan Türmob sorguları içinden hatalı sonuçlananları verir._x000D_
 * *GetSuccessTurmobInfoCountByDate*: Belirli bir tarih aralığında yapılan Türmob sorgularında başarılı olanların sayısını döner._x000D_
 * *GetInvoiceArchiveCount:* Belirli bir tarih aralığında yapılan gelen-giden faturalar_x000D_
 ([http://192.168.226.101:1001/InvoiceArchiveCountService.asmx?op=GetInvoiceArchiveCount])</t>
  </si>
  <si>
    <t>GetErrorTurmobInfoCountByDate , GetSuccessTurmobInfoCountByDate,GetInvoiceArchiveCount_x000D_
kod da servisler için methodlar tanımlandı istek atıldı._x000D_
_x000D_
 ;21/Jul/25 5:08 PM;ahmet.hekim;32400</t>
  </si>
  <si>
    <t>sözleşme modülünde trafik bilgileri ekranında gönderi bilgisi getir buttonu eklendi._x000D_
buttonda girilen tarihe göre gönderi servisden dönen datalar hesaplandı, bilgileri popupda gösterildi. hata durumları tanımlandı, popup da gösterildi._x000D_
_x000D_
örnek kayıt:_x000D_
http://10.1.20.180/index.php?module=AOS_Contracts&amp;action=DetailView&amp;record=9cf0d99a6a9f363ec61d5dad0679840f;21/Jul/25 5:16 PM;ahmet.hekim;64800</t>
  </si>
  <si>
    <t>"servis test edili, arayüz yerleştirmeleri buttonlar popuplar hata durumları test edildi, çalışma testi yapıldı._x000D_
servisden gelen parametrelere karşılık gelen fieldlar tanımlandı._x000D_
servisden gelen parametreler eksik bilgi veya yanlış bilgi kontrolü için analize iletildi.";22/Jul/25 9:32 AM;ahmet.hekim;32400</t>
  </si>
  <si>
    <t>11/Jul/25 2:48 PM;kemal.gur;image-2025-07-11-14-48-09-144.png;http://192.168.124.186:8080/secure/attachment/15389/image-2025-07-11-14-48-09-144.png</t>
  </si>
  <si>
    <t>22/Jul/25 9:39 AM;ahmet.hekim;servisden gelen parametreler aşağıdaki gibi tanımlanmıştır._x000D_
e-Fatura Sözleşme: _x000D_
 * Giden Toplam:                                     GetInvoiceArchiveCount-&gt;CountModel-&gt;EInvoiceOutgoingCount_x000D_
 * Gelen Toplam:                                     GetInvoiceArchiveCount-&gt;CountModel-&gt;EInvoiceIncomingCount_x000D_
 * Toplam Gelen/Giden Adeti            GetInvoiceArchiveCount-&gt;CountModel-&gt;TotalInvoiceCount_x000D_
 * Toplam Satın Alınan                          GetInvoiceArchiveCount-&gt;CountModel-&gt;TotalEInvoiceCredit_x000D_
 * e-Yazışma Toplam Giden Adet:    GetSuccessTurmobInfoCountByDate-&gt;Data_x000D_
 * e-Yazışma Toplam Gönderi:           GetErrorTurmobInfoCountByDate-&gt;Data_x000D_
 * Tüketilen Toplam Gönderi Adeti   (TurmobSuccessCount + TurmobErrorCount) / 2_x000D_
 * Tüketim Durumu                                 Toplam Satın Alınan - Toplam Gelen/Giden Adeti - Tüketilen Toplam Gönderi Adeti_x000D_
_x000D_
e-Arşiv-Fatura Sözleşme:_x000D_
 * Giden Toplam:                    GetInvoiceArchiveCount-&gt;CountModel-&gt;EArchiveInvoiceCount_x000D_
 * Gelen Toplam:                    GetInvoiceArchiveCount-&gt;CountModel-&gt;EArchiveInvoiceCount_x000D_
 * Toplam Satın Alınan         GetInvoiceArchiveCount-&gt;CountModel-&gt;TotalEArchiveCredit</t>
  </si>
  <si>
    <t>CRM Update 29</t>
  </si>
  <si>
    <t>KEP IK ürününde geliştirilen Kullanıcı Yetkilendirme Modülünün CRM sisteminde, KEP IK sözleşmesi içerisinden "CRM sistemi" üzerinden aktivasyon edilmesidir._x000D_
_x000D_
KEP IK Kullanıcı Yetkilendirme Modülünün satışı yapılan müşterilere "işlem kaydı" ekranında bulunan "durum" alanında "Kullanıcı Yetkilendirme Ekle" butonunu aktif olmalıdır._x000D_
_x000D_
Durum ve İşlem Durumu alanları "Uygulandı" statüsünde ulaştıktan sonra işlem kaydı ekranında bulunan "durum" alanında "Kullanıcı Yetkilendirme Ekle" butonu gizlenip, "Kullanıcı Yetkilendirme İptal Et" butonu aktif olmalıdır._x000D_
_x000D_
Eklenen Kullanıcı Yetkilendirmenin Bitiş Tarihi: Oluşan işlem kaydı editlenerek "Kullanıcı Yetkilendirme" uygulanacak KEP IK sözleşmesi seçilir._x000D_
 Bitiş Tarihi: Seçilen KEP IK sözleşmesindeki bitiş tarihi ile aynı olmalıdır._x000D_
_x000D_
Yeni müşteri için kullanıcı yetkilendirme modülü açılacağı zaman, "*hasPrivacy*" true olarak gelmelidir._x000D_
_x000D_
Modül açılırken de "admin" işlem yetkilisi için "*isadmin*" true olmalıdır._x000D_
_x000D_
İşlem yetkili kodu (authorization code) sözleşmeler ekranında işlem yetkilileri alanında "*işlem yetkili no*" olarak görünüyor._x000D_
_x000D_
Kullanıcı Yetkilendirme Modülü eklerken ilk admin ekleme işleminde "Kullanıcı Yetkilendirme Ekle" butonuna tıklandığında pop-up ekran ile hesaba bağlı işlem yetkilileri listelenir, pop-up ekrandan en az 1 adet (birden fazla seçim yapılabilir) seçim ile admin atanır._x000D_
_x000D_
Sonradan admin yetkilendirmek istenirse ilgili hesabın işlem yetkililerinin sayfasında olacak olan "admin ata" butonu ile yetkilendirilebilir._x000D_
_x000D_
 _x000D_
_x000D_
KEP IK Web Servis: [https://testik.turkkep.com.tr:8020|https://testik.turkkep.com.tr:8020/swagger-ui]_x000D_
 Kullanılacak Metod: 1- Put /crm/customer/privacy/status - (Kullanıcı yetkilendirme modülünü açmak veya kapatmak için)_x000D_
_x000D_
                                 2- Put /crm/user/admin - (Ek bir admin ekleme veya admin güncelleme)_x000D_
_x000D_
Kullanılacak Metod Parametresi/Parametreleri: user, secret_x000D_
_x000D_
 _x000D_
_x000D_
Miro Board Link:_x000D_
_x000D_
[https://miro.com/app/board/uXjVIjX0BRs=/?share_link_id=704259629236]</t>
  </si>
  <si>
    <t>;22/Sep/25 6:01 PM;gurkan.guney;3600</t>
  </si>
  <si>
    <t>;23/Sep/25 3:54 PM;gurkan.guney;3600</t>
  </si>
  <si>
    <t>09/Jul/25 10:38 AM;baris.tunc;Dev ortamı İşlemler modül *type* alanına '_x000D_
*kepikkullaniciyetkilendirme*' =&gt; 'KEP IK Kullanıcı Yetkilendirme' ve '*kepikkullaniciyetkilendirmeyenileme*' =&gt; 'KEP IK Kullanıcı Yetkilendirme Yenileme' değerleri eklendi. Deployment sonrası production ortamına da eklenmelidir._x000D_
 </t>
  </si>
  <si>
    <t>09/Jul/25 10:46 AM;baris.tunc;Dev ortamı Sözleşmeler modülüne *'Kontrol Kutusu'* veri tipinde '*trkkp_yetkilendirme_yapildi*' =&gt; '*Kullanıcı Yetkilendirme Uygulandı mı*' alanı eklendi. Deployment sonrası production ortamına da eklenmelidir._x000D_
 * [|http://192.168.124.186:8080/secure/AddComment!default.jspa?id=21717]</t>
  </si>
  <si>
    <t>23/Sep/25 3:54 PM;gurkan.guney;Modülü ekleyebildim. [gurkan.firma@kep.turkkep.com.tr|mailto:gurkan.firma@kep.turkkep.com.tr] 001 kendimi admin olarak seçtim. Ama kep ik uygulamasına girerken böyle bir uyarı verdi ve uygulamaya login etmedi:_x000D_
_x000D_
 "Adınıza herhangi bir yetki tanımlaması yapılmamıştır. Giriş yapabilmeniz için sistem yöneticinizden size yetki tanımlaması yapmasını isteyiniz."_x000D_
_x000D_
 Bu uyarı yetkilendirme modül olup da admin olmayan standart kullanıcılara çıkan bir uyarıdır. Kendimi Admin olarak eklediğim için böyle bir uyarı vermemesi lazım.  _x000D_
_x000D_
Anladığım kadarıyla admin olduğum bilgisini ik'nın veritabanına iletmedi._x000D_
_x000D_
 </t>
  </si>
  <si>
    <t>EFT-2307</t>
  </si>
  <si>
    <t>e-Arşiv Fatura - Yatırım Teşvik Belgesi Faturası Oluşturulup Gönderilmesi</t>
  </si>
  <si>
    <t>EFT-2306</t>
  </si>
  <si>
    <t>e-Fatura - Yatırım Teşvik Belgesi Faturası Oluşturulup Gönderilmesi</t>
  </si>
  <si>
    <t>EFT-791</t>
  </si>
  <si>
    <t>IEU-287</t>
  </si>
  <si>
    <t>KA-1568</t>
  </si>
  <si>
    <t>KA-1567</t>
  </si>
  <si>
    <t>MU-180</t>
  </si>
  <si>
    <t>MU-179</t>
  </si>
  <si>
    <t>MYS-825</t>
  </si>
  <si>
    <t>MYS-822</t>
  </si>
  <si>
    <t>MYS-818</t>
  </si>
  <si>
    <t>MYS-819</t>
  </si>
  <si>
    <t>Başarısız işlem hatası- api/v1/eyp/parser/v20/download/ek 401 başarısız işlem</t>
  </si>
  <si>
    <t>KEPAssist Testi (Paket Öncesi)</t>
  </si>
  <si>
    <t>Ilk Onay Gerekiyor Surecinde Sms Doğrulama Adımı</t>
  </si>
  <si>
    <t>Login Hata Mesajının Güncellenmesi</t>
  </si>
  <si>
    <t>E-Tebligat Metninde Satır Başı Sorunu</t>
  </si>
  <si>
    <t>Listeleme Ekranlarında Grid Yüksekliğinin Artırılması</t>
  </si>
  <si>
    <t>Gelen Basılı İletiler / Editör Alanının Eklenmesi</t>
  </si>
  <si>
    <t>Yeniden Çalıştır Akışının Güvercin Onayı Atlanarak Görev Kutusuna Düşmesi</t>
  </si>
  <si>
    <t>KA-1571</t>
  </si>
  <si>
    <t>MU-183</t>
  </si>
  <si>
    <t>Hesap Oluşturma Sırasında Statü Seçilmemesi Sonucu Hesap Ayarları Ekranında Hata Oluşumu</t>
  </si>
  <si>
    <t>Ayarlar Ekranının Menü Yapısına Dönüştürülmesi</t>
  </si>
  <si>
    <t>KEP İletisi Silme Servisi Geliştirme</t>
  </si>
  <si>
    <t>EFT-2326</t>
  </si>
  <si>
    <t>GİB Mükellef Listesi Tarih Formatı Hatası Hk.</t>
  </si>
  <si>
    <t>EFT-2332</t>
  </si>
  <si>
    <t>Aselsan Geliştirmesi Sonucu Additional Item Alanında SchemeID Gelmemesi</t>
  </si>
  <si>
    <t>EFT-2331</t>
  </si>
  <si>
    <t>MA3 API e-imza Lisans Güncelleme ve Testi</t>
  </si>
  <si>
    <t>EFT-2325</t>
  </si>
  <si>
    <t>GİB Sicil Servis Test Entegresi</t>
  </si>
  <si>
    <t>EFT-2322</t>
  </si>
  <si>
    <t>GİB Sicil Servis Canlı Entegresi</t>
  </si>
  <si>
    <t>UKDS-179</t>
  </si>
  <si>
    <t>WIK-749</t>
  </si>
  <si>
    <t>Çalışan Grubunda Zorunlu Olan Alanların Boş Bırakılması Uyarı Bildirimi</t>
  </si>
  <si>
    <t>WIK-748</t>
  </si>
  <si>
    <t>Belge Raporları Devam Eden Rapor İstekleri Türkçeleştirilmesi</t>
  </si>
  <si>
    <t>WIK-747</t>
  </si>
  <si>
    <t>Belge Raporu Sayfasında Yeni Açılan Dönemlerin Gelmemesi</t>
  </si>
  <si>
    <t>WIK-754</t>
  </si>
  <si>
    <t>Sol Menü Alt Menülerinin Görselleştirilmesinin Local Ortamda Test Edilmesi</t>
  </si>
  <si>
    <t>WIK-751</t>
  </si>
  <si>
    <t>Belirlenen Kütüphanelerin Güncel Versiyonlarının Uygulanması</t>
  </si>
  <si>
    <t>WIK-753</t>
  </si>
  <si>
    <t>Belirlenen Sorguların Güncellenmesi</t>
  </si>
  <si>
    <t>UKDS-203</t>
  </si>
  <si>
    <t>Swagger Açıklamalarının Düzenlenmesi</t>
  </si>
  <si>
    <t>CRM-752</t>
  </si>
  <si>
    <t>Kurumsal KEP Öneri Metodu - Ek Geliştirme</t>
  </si>
  <si>
    <t>CRM-753</t>
  </si>
  <si>
    <t>Datassist &amp; CRM Entegrasyonu - Kurumsal Sözleşme Oluştur Metodu Tanımlanması</t>
  </si>
  <si>
    <t>CRM-754</t>
  </si>
  <si>
    <t>Kurumsal KEP Oluştur Butonunun JOB'a Bağlanması</t>
  </si>
  <si>
    <t>CRM-756</t>
  </si>
  <si>
    <t>UKDS Otomasyon Manuel İşlemler - Rapor</t>
  </si>
  <si>
    <t>CRM-757</t>
  </si>
  <si>
    <t>UKDS Otomasyonu - Ek Kontrol</t>
  </si>
  <si>
    <t>Log Work_18</t>
  </si>
  <si>
    <t>Outward issue link (Cloners)</t>
  </si>
  <si>
    <t>WIK-750</t>
  </si>
  <si>
    <t>dogukan.oncuer</t>
  </si>
  <si>
    <t>mehmetcan.olgun</t>
  </si>
  <si>
    <t>MU-182</t>
  </si>
  <si>
    <t>Mobil Uygulama / UKDS Süreçlerine Yeni Başvuru Tipi Eklenmesi</t>
  </si>
  <si>
    <t>MU-181</t>
  </si>
  <si>
    <t>KEP Sprint 2025/44-45</t>
  </si>
  <si>
    <t>IEU Sprint 2025/35-42</t>
  </si>
  <si>
    <t>e-İrsaliye - Web Servis - İnşaat Demiri İzleme Sistemi (IDIS) Faturası Oluşturulup Gönderilmesi</t>
  </si>
  <si>
    <t>EFT-2330</t>
  </si>
  <si>
    <t>EFT-2329</t>
  </si>
  <si>
    <t>e-İrsaliye - Konektör - İnşaat Demiri İzleme Sistemi (IDIS) Faturası Oluşturulup Gönderilmesi</t>
  </si>
  <si>
    <t>EFT-2324</t>
  </si>
  <si>
    <t>EFT-2328</t>
  </si>
  <si>
    <t>EFT-2327</t>
  </si>
  <si>
    <t>EFT-2323</t>
  </si>
  <si>
    <t>e-İrsaliye - Web Portal - İnşaat Demiri İzleme Sistemi (IDIS) Faturası Oluşturulup Gönderilmesi</t>
  </si>
  <si>
    <t>Kurumsal KEP siparişlerinde "Kurumsal KEP Oluştur" butonunun bir job'a bağlanması gerekmektedir. Kurumsal KEP Oluştur butonunun bir job'a bağlanarak açılışların otomatik olması gerekmektedir._x000D_
_x000D_
UKDS otomasyondan başarılı olarak geçen kurumsal kayıtlar otomatik olarak, diğerleri manuel tetiklenerek açılmalıdır.</t>
  </si>
  <si>
    <t>tanımlamalar yapılıp, açılmıştır;08/Dec/25 4:02 PM;ahmet.hekim;1800</t>
  </si>
  <si>
    <t>09/Dec/25 8:56 AM;ahmet.hekim;job kapatıldı, süreci tekrar incelencek.</t>
  </si>
  <si>
    <t>MYS-832</t>
  </si>
  <si>
    <t>MYS-826</t>
  </si>
  <si>
    <t>MYS-827</t>
  </si>
  <si>
    <t>IEU-292</t>
  </si>
  <si>
    <t>IEU-294</t>
  </si>
  <si>
    <t>IEU-291</t>
  </si>
  <si>
    <t>KA-1575</t>
  </si>
  <si>
    <t>KA-1574</t>
  </si>
  <si>
    <t>MYS-833</t>
  </si>
  <si>
    <t>Haciz Ekleme ve Haciz Kaldırma Metni Alanlarına Karakter Sınırı Uyarısı Eklenmesi</t>
  </si>
  <si>
    <t>Haciz Ekleme ve Haciz Kaldırma Metni Alanlarının Default Satır Yüksekliği Düzenlenmesi</t>
  </si>
  <si>
    <t>MA3 API Mobil İmza Lisans Güncelleme Teknik Hazırlık ve Testleri</t>
  </si>
  <si>
    <t>MA3 API Ent Suit Güncellemeleri hk</t>
  </si>
  <si>
    <t>KEP Gönderim Sürecinin Tek Metot Altında Birleştirilmesi</t>
  </si>
  <si>
    <t>Docx Dönüşümü Windows Servis/Etys Entegrasyonu</t>
  </si>
  <si>
    <t>Docx Dönüşümü Portal Entegrasyonu</t>
  </si>
  <si>
    <t>MA3 API Lisans Güncelleme Testleri</t>
  </si>
  <si>
    <t>KA-1573</t>
  </si>
  <si>
    <t>EYP Oluşturma – Dağıtım Listesi Tablosunda Kolonların Genişletilmesi</t>
  </si>
  <si>
    <t>MU-184</t>
  </si>
  <si>
    <t>KEP İletisi Yanıtla Fonksiyonun Eklenmesi</t>
  </si>
  <si>
    <t>MU-185</t>
  </si>
  <si>
    <t>KEP İletisi İletme Fonksiyonun Eklenmesi</t>
  </si>
  <si>
    <t>UKDS-206</t>
  </si>
  <si>
    <t>MA3 API Lisans/DLL Güncelleme Test</t>
  </si>
  <si>
    <t>Araştırma- Mevcut Kütüphanelerin Güncellenmesi</t>
  </si>
  <si>
    <t>WIK-764</t>
  </si>
  <si>
    <t>TIM-455</t>
  </si>
  <si>
    <t>MUL-212</t>
  </si>
  <si>
    <t>KIK-156</t>
  </si>
  <si>
    <t>WIK-760</t>
  </si>
  <si>
    <t>KEP Delil Servisinde Yüksek Boyutların Servisten İndirilmesi</t>
  </si>
  <si>
    <t>WIK-759</t>
  </si>
  <si>
    <t>KEP Delil Raporunda Silme İşleminin Başarısız Olması</t>
  </si>
  <si>
    <t>WIK-761</t>
  </si>
  <si>
    <t>KEP İK Girişinde Pasif Hesapların Gözükmesi</t>
  </si>
  <si>
    <t>WIK-763</t>
  </si>
  <si>
    <t>Toplu PDF Parçalama İçerisinde Kontrol Adımı</t>
  </si>
  <si>
    <t>WIK-765</t>
  </si>
  <si>
    <t>Duyuru Raporlama Ekranında Filtreleme Alanlarının Düzenlenmesi</t>
  </si>
  <si>
    <t>WIK-767</t>
  </si>
  <si>
    <t>Duyuru Modülünde Çalışan Grubu Bazlı Gönderim İlişki Kurulması</t>
  </si>
  <si>
    <t>WIK-768</t>
  </si>
  <si>
    <t>Yeni Filtreleme Alanlarına Yönelik Excel Fonksiyon Güncellemeleri</t>
  </si>
  <si>
    <t>UKDS-205</t>
  </si>
  <si>
    <t>şlem Belgesinin PAdES-LTV formatında oluşturulması</t>
  </si>
  <si>
    <t>Watchers_4</t>
  </si>
  <si>
    <t>Prompt Güncellemesi</t>
  </si>
  <si>
    <t>YZCK-28</t>
  </si>
  <si>
    <t>Çalışan Grubu Alanının Duyuru Raporlama Filtreleme Ekranına Eklenmesi</t>
  </si>
  <si>
    <t>WIK-766</t>
  </si>
  <si>
    <t>Belge Raporlarında Yeni Açılan Dönemlerin Gelmemesi</t>
  </si>
  <si>
    <t>WIK-762</t>
  </si>
  <si>
    <t>Şifremi Unuttum/ KEP Adres Seçimine Göre Şifre Değişikliği</t>
  </si>
  <si>
    <t>MU-188</t>
  </si>
  <si>
    <t>MU-186</t>
  </si>
  <si>
    <t>ugur.acik</t>
  </si>
  <si>
    <t>Highest</t>
  </si>
  <si>
    <t>KEP CORE MA3 API Versiyon ve Lisans güncellemesi</t>
  </si>
  <si>
    <t>KEP-313</t>
  </si>
  <si>
    <t>KEP Sprint 2025/46-47</t>
  </si>
  <si>
    <t>Yeni Kepapi Versiyonunun Çıkarılması</t>
  </si>
  <si>
    <t>KEP-310</t>
  </si>
  <si>
    <t>0|i00vra:zsyzgznlt</t>
  </si>
  <si>
    <t>KA-1572</t>
  </si>
  <si>
    <t>IEU Sprint 2025/35-44</t>
  </si>
  <si>
    <t>IEU Sprint 2025/35-43</t>
  </si>
  <si>
    <t>*Açıklama:*_x000D_
_x000D_
Bu task, yakın zamanda tamamlanan "UKDS Servisleri Entegrasyonunun" teknik detaylarını içeren kapsamlı bir dokümantasyon oluşturmayı amaçlamaktadır. _x000D_
_x000D_
*Amacı:*_x000D_
_x000D_
Bu servisleri kullanacak diğer ekipler veya uygulamalar için bir rehber oluşturmak._x000D_
_x000D_
*Dokümantasyonun Kapsamı ve İçermesi Gerekenler:*_x000D_
 # *Genel bakış ve amaç:* Bu entegrasyonun hangi iş ihtiyacını karşıladığı ve ne amaçla geliştirildiği._x000D_
 # *Mimari ve akış diyagramı*_x000D_
 # *Web servis endpoint'leri:* Eklenen tüm yeni endpoint'lerin listesi._x000D_
 # *Hata yönetimi ve kodları:* UKDS servisinden dönebilecek spesifik hata kodları ve bunların Entegrasyon Suit'te nasıl yorumlandığı._x000D_
 # *Örnek senaryo akışı*_x000D_
_x000D_
 _x000D_
_x000D_
http://192.168.124.186:8080/browse/IEU-228 JIRA kaydıyla oluşturulan diyagramlarda bu dokümana uygun bir şekilde eklenmelidir. </t>
  </si>
  <si>
    <t>25/Nov/25 2:13 PM;Remzi.Sefer;Entegrasyon Suit UKDS Güncelleme Alanları Taslak.docx;http://192.168.124.186:8080/secure/attachment/15727/Entegrasyon+Suit+UKDS+G%C3%BCncelleme+Alanlar%C4%B1+Taslak.docx</t>
  </si>
  <si>
    <t>22/Oct/25 3:23 PM;gulnur.aka;Entegrasyon Suit Web Servis Kılavuzu s.01.00.pdf;http://192.168.124.186:8080/secure/attachment/15672/Entegrasyon+Suit+Web+Servis+K%C4%B1lavuzu+s.01.00.pdf</t>
  </si>
  <si>
    <t>25/Nov/25 2:16 PM;Remzi.Sefer;UKDS 1.drawio.pdf;http://192.168.124.186:8080/secure/attachment/15728/UKDS+1.drawio.pdf</t>
  </si>
  <si>
    <t>25/Nov/25 2:17 PM;Remzi.Sefer;testpaydas-turkkep-tr-8020-swagger.pdf;http://192.168.124.186:8080/secure/attachment/15729/testpaydas-turkkep-tr-8020-swagger.pdf</t>
  </si>
  <si>
    <t>0|hzzzw8:</t>
  </si>
  <si>
    <t>25/Nov/25 2:16 PM;Remzi.Sefer;Merhaba,_x000D_
_x000D_
Entegrasyon Suit UKDS Güncelleme Alanları Taslak.docx taslak dosyası eklenmiştir._x000D_
 Eklenicek Görsel İş Akışı UKDS 1.drawio.pdf _x000D_
 Onayınız sonrası ilgili doküman Web Servis klavuzuna eklenecektir._x000D_
İlgili süreç ekte bulunan testpaydas-turkkep-tr-8020-swagger bilgisi üzerinden hazırlanmıştır._x000D_
 Eklenicek içerik ve akış için onayına sunarım._x000D_
 [~gulnur.aka]</t>
  </si>
  <si>
    <t>25/Nov/25 2:19 PM;Remzi.Sefer;Meerhaba Süreci Teste Alıp [~gulnur.aka] atamayı üzerine yaptım._x000D_
Taslak dokumanı onayladığında ilgili Klavuz dokümanına ekleme yapılıp talep kapatılacaktır._x000D_
Bilgine</t>
  </si>
  <si>
    <t>IDIS-Schematron Paketinin Güncellenmesi</t>
  </si>
  <si>
    <t>EFT-2346</t>
  </si>
  <si>
    <t>IDIS için DB, Model,Servis,XML Gösterim İşlemleri</t>
  </si>
  <si>
    <t>EFT-2345</t>
  </si>
  <si>
    <t>İnternet Satış Faturalarnın e-Arşiv Raporunda Zorunlu Alanlar Hk.</t>
  </si>
  <si>
    <t>EFT-2344</t>
  </si>
  <si>
    <t>InternetDetail Portalda Taslaklara Kopyalandığında Bilgilerin Sıfırlanması</t>
  </si>
  <si>
    <t>EFT-2343</t>
  </si>
  <si>
    <t>e-Arşiv Rapor İnternet Satış Bilgilerinde Gönderici VKN ile İlgili Düzeltme</t>
  </si>
  <si>
    <t>EFT-2342</t>
  </si>
  <si>
    <t>XML Note alanında YatırımTesvik Faturalarda KDV'li Halini Yazıyor</t>
  </si>
  <si>
    <t>EFT-2341</t>
  </si>
  <si>
    <t>EFT-2340</t>
  </si>
  <si>
    <t>e-Arşiv Fatura - Schematron Paketinin Güncellenmesi</t>
  </si>
  <si>
    <t>EFT-2339</t>
  </si>
  <si>
    <t>Lisans XML Güncellemesi Sonrası Yeni İmza Client .jar Yüklemesi</t>
  </si>
  <si>
    <t>EDF-795</t>
  </si>
  <si>
    <t>Muvafakatname Beratların İmzalanması Hk.</t>
  </si>
  <si>
    <t>EDF-794</t>
  </si>
  <si>
    <t>Raporlar&gt;Kullanıcı Raporları&gt;e-Fatura Raporlarını Alırken Hata Yaşanması</t>
  </si>
  <si>
    <t>DP-290</t>
  </si>
  <si>
    <t>Halkbank Projesi – İptal Statüsü Servis Tetikleme</t>
  </si>
  <si>
    <t>CRM-771</t>
  </si>
  <si>
    <t>Ent. Suit Sözleşme Ekranı - Tutar ve İlgili Kalem Alanları Düzeltme</t>
  </si>
  <si>
    <t>CRM-769</t>
  </si>
  <si>
    <t>Müşteri Ekranı | E-posta Alanı Zorunluluk Kontrolü</t>
  </si>
  <si>
    <t>CRM-768</t>
  </si>
  <si>
    <t>CRM-767</t>
  </si>
  <si>
    <t>E-Güven Servis</t>
  </si>
  <si>
    <t>CRM-766</t>
  </si>
  <si>
    <t>Müşterek Müşterilerde Doküman Onay Tipi Sınırlandırması</t>
  </si>
  <si>
    <t>CRM-765</t>
  </si>
  <si>
    <t>CRM-764</t>
  </si>
  <si>
    <t>CRM Satış Raporuna Hatalı Yansıyan Kayıt Tiplerinin İncelenmesi</t>
  </si>
  <si>
    <t>CRM-763</t>
  </si>
  <si>
    <t>* Müşteri ilgi seviyesi yanlış olan kayıtlar_x000D_
 ** 499624 - 484306 - 507053_x000D_
 * Müşteri ilgi seviyesi "yeni müşteri" fakat satış tipi çapraz ve ilave satış olan kayıtlar_x000D_
 ** 477171 - 483148 - 500840_x000D_
 * Ürün adında yenileme yok fakat satış tipi yenileme olan kayıtlar_x000D_
 ** 497839 - 495955 - 495966_x000D_
 * Müşteri ilgi seviyesi "mevcut müşteri" olan fakat satış tipi yeni satış olan kayıtlar_x000D_
 ** 499624 - 500193 - 486502_x000D_
 * Satış tipi yenileme olması gerekirken, çapraz ve ilave satış olan kayıtlar_x000D_
 ** 489641 - 489968 - 491061 -479097_x000D_
 * Satış tipi yeni satış olması gerekirken, çapraz ve ilave satış olan kayıtlar_x000D_
 ** 509091 - 509090 - 483148 - 484306_x000D_
 * Satış tipi yerinde hizmet olması gerekirken, yenileme olan kayıtlar_x000D_
 ** 505677 - 483148_x000D_
 * İlave stok kodu ile gelen fakat satış tipi ilave satış olarak gelmeyen kayıtlar_x000D_
 ** 509311 - 484749 - 492813</t>
  </si>
  <si>
    <t>;24/Dec/25 12:58 PM;gurkan.guney;7200</t>
  </si>
  <si>
    <t>;26/Dec/25 3:28 PM;gurkan.guney;1800</t>
  </si>
  <si>
    <t>24/Dec/25 12:58 PM;gurkan.guney;Kep Assist'in CRM ile herhangi bir entegrasyonu olmadığı için test edilemedi._x000D_
_x000D_
Entegrasyon Suit Çözüm ve Bulut olarak iki farklı senaryoda test edildi._x000D_
_x000D_
Sonradan eklenen modüllerin bitiş süresi, ana ürün sözleşmesi ile başarılı şekilde eşitlenmiş. Sonradan bir modül eklendiğinde bitiş süresi ana ürünün bitiş sözleşmesi ile aynı görünüyor._x000D_
_x000D_
Fakat sonradan eklenen modülün başlangıç tarihi de ana ürünün başlangıç tarihiyle eşitlenmiş durumda. Sonradan eklenen modül, hangi tarihte eklendiyse başlangıç tarihine o yansımalı.</t>
  </si>
  <si>
    <t>24/Dec/25 2:46 PM;baris.tunc;Modül ekle işleminden sonra başlangıç tarihi güncellemesi tespit edilmiş olup gerekli işlemler yapılmıştır.</t>
  </si>
  <si>
    <t>26/Dec/25 3:28 PM;gurkan.guney;Sonradan eklenen Ent. Suit modülün başlangıç tarihi de ana ürünün başlangıç tarihiyle eşitlenmiş durumda. Sonradan eklenen modül, hangi tarihte eklendiyse başlangıç tarihine o yansımalı.</t>
  </si>
  <si>
    <t>E-Defter Finansal Yıl Alanı</t>
  </si>
  <si>
    <t>CRM-698</t>
  </si>
  <si>
    <t>;25/Dec/25 1:21 PM;gurkan.guney;1800</t>
  </si>
  <si>
    <t>22/Sep/25 6:01 PM;gurkan.guney;İşlemler menüsünden KEP IK Kullanıcı Yetkilendirme modülü eklendi. Fakat o sırada işlem yetkilileri listelenmedi. Haliyle hangi yetkilinin admin olacağı belirlenemedi. Bu durumda 'Kep İk Kullanıcı Yetkilendir' butonuna basınca en az 1 admin seçilmelidir uyarısı geliyor ve ekran donuyor._x000D_
_x000D_
[http://10.1.20.180/index.php?module=AOS_Contracts&amp;action=DetailView&amp;record=a5148cf3-9782-11f0-a068-00505687203a]_x000D_
_x000D_
 _x000D_
 [gurkan.firma@kep.turkkep.com.tr|mailto:gurkan.firma@kep.turkkep.com.tr]_x000D_
  _x000D_
  </t>
  </si>
  <si>
    <t>24/Dec/25 1:43 PM;kemal.gur;Alınan hata için KEP IK tarafından aşağıdaki gibi yorum geldi._x000D_
_x000D_
Servisten admin yetkisi kullanıcıya verildi mi? Servisi ben kullanıyorum. Sorun yaşanmıyor. Kullanıcı yetkilendirmeyi aktif ettikten sonra işlem yetkilisine yetki verildi mi? Test hesabı bireysel bir hesap mı?</t>
  </si>
  <si>
    <t>25/Dec/25 1:21 PM;gurkan.guney;KEP IK servislerinde sorun bulunmuyor. Fakat CRM üzerinden mahremiyet modülü aktif edilip bir yetkili admin olarak tanımlandığında bu bilgiler IK'nın veritabanına ulaşmamış. Bu hesaba CRM üzerinden mahremiyet tanımlandı fakat IK tarafına bunu iletmemiş. Yani CRM'in mahremiyet modülünü ve admin kullanıcısını IK tarafına iletmesi gerekir.</t>
  </si>
  <si>
    <t>Portalda Taslak Fatura Güncellemede BuyerCustomerParty'nin XML'e Eklenmesi</t>
  </si>
  <si>
    <t>e-Fatura - Web Servis - İnşaat Demiri İzleme Sistemi (IDIS) Faturası Oluşturulup Gönderilmesi</t>
  </si>
  <si>
    <t>e-Fatura - Web Portal - İnşaat Demiri İzleme Sistemi (IDIS) Faturası Oluşturulup Gönderilmesi</t>
  </si>
  <si>
    <t>e-Fatura - Konektör - İnşaat Demiri İzleme Sistemi (IDIS) Faturası Oluşturulup Gönderilmesi</t>
  </si>
  <si>
    <t>MYS-837</t>
  </si>
  <si>
    <t>MU-193</t>
  </si>
  <si>
    <t>MU-192</t>
  </si>
  <si>
    <t>MU-190</t>
  </si>
  <si>
    <t>KA-1579</t>
  </si>
  <si>
    <t>KA-1578</t>
  </si>
  <si>
    <t>Toplu İmzalama İşleminde Buton İsim Kontrolünün Kaldırılması ve Akışın İyileştirilmesi</t>
  </si>
  <si>
    <t>Web üzerinden Çöp Kutusundan Gelen Kutusuna geri taşınan iletiler Mobil uygulamada listelenmiyor</t>
  </si>
  <si>
    <t>İK e-postalarındaki HTML yönlendirme ("Sayfaya Git") butonu görüntülenmiyo</t>
  </si>
  <si>
    <t>KEP İletisi Silme Yetkisi ve Onay Akışı</t>
  </si>
  <si>
    <t>Deliller Ekranı/ KEP İşlemleri Sütunu İçeriğinin Güncellenmesi</t>
  </si>
  <si>
    <t>API v2.4 POC'un İncelemesi ve Olası Değişiklik Senaryolarının Değerlendirilmesi</t>
  </si>
  <si>
    <t>IEU-299</t>
  </si>
  <si>
    <t>MU-198</t>
  </si>
  <si>
    <t>MU-197</t>
  </si>
  <si>
    <t>MU-200</t>
  </si>
  <si>
    <t>Uzaktan Kimlik Doğrulama Deeplink Akış Güncellemesi</t>
  </si>
  <si>
    <t>Mobil ve Web Mail Geçmiş İleti Senkronizasyonu Kontrolü</t>
  </si>
  <si>
    <t>Araştırma- Mobil Uygulamada KEP İletisin Çöp Kutusu Taşınması</t>
  </si>
  <si>
    <t>CRM-775</t>
  </si>
  <si>
    <t>MA3 API Güncelleme - CRM</t>
  </si>
  <si>
    <t>Halkbank Projesi - Servis Statü Tetikleme</t>
  </si>
  <si>
    <t>KİDOS - Hesap Durum Bildirimi</t>
  </si>
  <si>
    <t>e-Defter</t>
  </si>
  <si>
    <t>EDF-797</t>
  </si>
  <si>
    <t xml:space="preserve">Araştırma-Büyük Boyutlu Defterlerin Şematron Kontrollerinin Hızlanması Hakkında </t>
  </si>
  <si>
    <t>Log Work_6</t>
  </si>
  <si>
    <t>SonarQube Kod Analizi</t>
  </si>
  <si>
    <t>YZCK-33</t>
  </si>
  <si>
    <t>Gönderi Durum Raporu Tarih Aralığı Görüntülenmesi</t>
  </si>
  <si>
    <t>WIK-785</t>
  </si>
  <si>
    <t>Çalışan Grubu Excel yükleme Adımı</t>
  </si>
  <si>
    <t>WIK-784</t>
  </si>
  <si>
    <t>WIK-783</t>
  </si>
  <si>
    <t>*Amaç:*_x000D_
_x000D_
TÜBİTAK ücretli sürümü kapsamında sunulan API v2.4 POC’nin mevcut durumunun detaylı olarak analiz edilmesi ve olası bir paket değişikliğinin sistemimiz üzerindeki etkilerinin değerlendirilmesi amaçlanmaktadır._x000D_
_x000D_
Bu kapsamda;_x000D_
 * Olası versiyon değişikliklerinin sistemin üzerindeki etkilerinin belirlenmesi,_x000D_
_x000D_
 * Sistemimiz açısından riskli alanların ve bağımlılıkların tespit edilmesi,_x000D_
_x000D_
 * İlgili API v2.4 POC paketinin teknik açıdan test edilmesi,_x000D_
_x000D_
 * Canlı geçişinde ortaya çıkabilecek potansiyel sorunların önceden öngörülmesi,_x000D_
_x000D_
 * TÜBİTAK kaynaklı olarak daha önce karşılaşılan veya karşılaşılması muhtemel durumların  tespit edilmesi_x000D_
_x000D_
hedeflenmektedir._x000D_
_x000D_
 _x000D_
_x000D_
JAVA için; +[https://safirdepo.b3lab.org/baglanti-paylasimi/PuZ9v3tf3gFnKqspiITEJbs9W9Tqavkh]+_x000D_
.NET için; +[https://safirdepo.b3lab.org/baglanti-paylasimi/FJa2kpVHvWiEMBk4tw1n5fLE0RIK8Zqc]+</t>
  </si>
  <si>
    <t>KEP-314</t>
  </si>
  <si>
    <t>Gönderi Durum Raporu Sayfasında Tamamlanan Raporların Listenin Başına Taşınması</t>
  </si>
  <si>
    <t>WIK-782</t>
  </si>
  <si>
    <t>Gönderi Durumu Raporu Buton Başlığının Güncellenmesi</t>
  </si>
  <si>
    <t>WIK-781</t>
  </si>
  <si>
    <t>Çoklu PDF Yükle Butonu Tooltip Ekleme</t>
  </si>
  <si>
    <t>WIK-780</t>
  </si>
  <si>
    <t>Araştırma/ Ön Yüz Problemlerinin İncelenmesi</t>
  </si>
  <si>
    <t>WIK-779</t>
  </si>
  <si>
    <t>Arama Alanı İngilizce Terim Düzenlemesi ve Gönder Tuşunun Pasif Edilmesi</t>
  </si>
  <si>
    <t>WIK-778</t>
  </si>
  <si>
    <t>WIK Sprint 2025/ 48-49</t>
  </si>
  <si>
    <t>Toplu PDF Parçalama İçerisinde Kontrol Adımı-Önyüz</t>
  </si>
  <si>
    <t>WIK-777</t>
  </si>
  <si>
    <t>Backend -Duyuru Raporlama Ekranında Filtreleme Alanlarının Düzenlenmesi</t>
  </si>
  <si>
    <t>WIK-776</t>
  </si>
  <si>
    <t>Frontend- Duyuru Raporlama Ekranında Filtreleme Alanlarının Düzenlenmesi</t>
  </si>
  <si>
    <t>WIK-775</t>
  </si>
  <si>
    <t>Arama Fonksiyonu Performansı</t>
  </si>
  <si>
    <t>WIK-774</t>
  </si>
  <si>
    <t>WIK-773</t>
  </si>
  <si>
    <t xml:space="preserve"> Kullanıcı Bildirim Stratejisinin Analizi ve Uygulama Bazında Dokümantasyonu</t>
  </si>
  <si>
    <t>WIK-726</t>
  </si>
  <si>
    <t>Mobil İmza Adımında Sürecin Tamamlanmaması</t>
  </si>
  <si>
    <t>UKDS-211</t>
  </si>
  <si>
    <t>Başvuru adımında Mobil İmza ve Başvuru Sahibi TCKN Kontrolü</t>
  </si>
  <si>
    <t>UKDS-210</t>
  </si>
  <si>
    <t>Analiz- Müşterek Senaryolarda UKDS Süreçlerinin Dijitalleştirilmesi</t>
  </si>
  <si>
    <t>UKDS-209</t>
  </si>
  <si>
    <t>UKDS HSM İmza Kuyruk Yapısında Düzenleme</t>
  </si>
  <si>
    <t>UKDS-208</t>
  </si>
  <si>
    <t>Yeni satış/yenileme işlem kaydının iptali</t>
  </si>
  <si>
    <t>UEP-14</t>
  </si>
  <si>
    <t>TIM-456</t>
  </si>
  <si>
    <t>Admin Controller Altına SMS Detay Durum Sorgulama Metodu Eklenmesi</t>
  </si>
  <si>
    <t>SMSGW-13</t>
  </si>
  <si>
    <t>Ortak sms servisi için kuyruk yapısı</t>
  </si>
  <si>
    <t>SMSGW-5</t>
  </si>
  <si>
    <t>MYS-836</t>
  </si>
  <si>
    <t>MUL-213</t>
  </si>
  <si>
    <t>Geçici Şifre Senkronizasyon ve Statü Kontrolü Test</t>
  </si>
  <si>
    <t>MU-196</t>
  </si>
  <si>
    <t>Geçici Şifre Senkronizasyon Hatası</t>
  </si>
  <si>
    <t>MU-195</t>
  </si>
  <si>
    <t>Geçmiş İletilerin Listelenmemesi</t>
  </si>
  <si>
    <t>MU-194</t>
  </si>
  <si>
    <t>Çöp Kutusu Klasörü Eklenmesi</t>
  </si>
  <si>
    <t>MU-191</t>
  </si>
  <si>
    <t>BE - Paket Seçimi Sonrasında Kullanıcının Ödeme Alanına Yönlendirilmesi ve Ödeme Tamamlanmadan Sürece Devam Edilmemesi</t>
  </si>
  <si>
    <t>KEP-315</t>
  </si>
  <si>
    <t>09/Jan/26 12:14 AM;gulnur.aka;TURKKEP.zip;http://192.168.124.186:8080/secure/attachment/15821/TURKKEP.zip</t>
  </si>
  <si>
    <t>KEP Sprint 2025/48-49</t>
  </si>
  <si>
    <t>Sub-Task Kolon Düzenlemesi ve Controller Yapısı Hk.</t>
  </si>
  <si>
    <t>KA-1580</t>
  </si>
  <si>
    <t>EFT Sprint 2026/3-4</t>
  </si>
  <si>
    <t>EFT-2351</t>
  </si>
  <si>
    <t>EDF Sprint 2026/3-4</t>
  </si>
  <si>
    <t>EDF-796</t>
  </si>
  <si>
    <t>Gri Liste - Ek Geliştirme</t>
  </si>
  <si>
    <t>CRM-777</t>
  </si>
  <si>
    <t>Cep Telefonu Alanında +90 Ülke Kodu Tanımlanması</t>
  </si>
  <si>
    <t>CRM-776</t>
  </si>
  <si>
    <t>Datassist &amp; CRM Entegrasyon Özlük Numarası</t>
  </si>
  <si>
    <t>CRM-759</t>
  </si>
  <si>
    <t>Kurumsal KEP - Ek İşlem Yetkilisi</t>
  </si>
  <si>
    <t>CRM-758</t>
  </si>
  <si>
    <t>Kurumsal çözüm ürünlerinde (Ent. Suit) modüllerin bitiş süresi ile ana ürün sözleşme bitiş süresi eşitlenmelidir.</t>
  </si>
  <si>
    <t>;30/Dec/25 12:45 PM;gurkan.guney;3600</t>
  </si>
  <si>
    <t>Talep edilen güncellemeler yapıldı_x000D_
 ;08/Jan/26 7:19 AM;baris.tunc;7200</t>
  </si>
  <si>
    <t>Modül ekle işleminden sonra başlangıç tarihi güncellemesi tespit edilmiş olup gerekli işlemler yapılmıştır.;08/Jan/26 7:20 AM;baris.tunc;3600</t>
  </si>
  <si>
    <t>Sonradan eklenen Ent. Suit modülün başlangıç tarihi de ana ürünün başlangıç tarihiyle eşitlenmiş durumda. Sonradan eklenen modül, hangi tarihte eklendiyse başlangıç tarihine o yansı sağlanmıştır;08/Jan/26 7:21 AM;baris.tunc;3600</t>
  </si>
  <si>
    <t>08/Jan/26 7:41 AM;baris.tunc;image-2026-01-08-08-41-44-635.png;http://192.168.124.186:8080/secure/attachment/15816/image-2026-01-08-08-41-44-635.png</t>
  </si>
  <si>
    <t>29/Dec/25 1:17 PM;baris.tunc;İlgili düzenleme yapılmıştır tekrar deneyiniz</t>
  </si>
  <si>
    <t>30/Dec/25 12:45 PM;gurkan.guney;Sonradan eklenen ent. suit modülünün başlangıç tarihi eklenme tarihi olarak değil, ana ürünün başlangıç tarihi olarak geliyor. Hangi tarihte eklendiyse başlangıç tarihi de o olması gerekiyor.</t>
  </si>
  <si>
    <t>08/Jan/26 7:42 AM;baris.tunc;!image-2026-01-08-08-41-44-635.png!_x000D_
_x000D_
 _x000D_
_x000D_
Modül eklendikten sonra Kullanım başlangıç tarihinin eklenen tarih olarak göründüğü tespit edilmiştir</t>
  </si>
  <si>
    <t>Çalışmalar devam etmektedir.</t>
  </si>
  <si>
    <t>CRM-783</t>
  </si>
  <si>
    <t>Halkbank Projesi - Firma Cep No Alanı</t>
  </si>
  <si>
    <t>CRM-784</t>
  </si>
  <si>
    <t>Ent. Suit Modül Ekleme - İşlem Kaydı Sözleşme Zorunluluğu</t>
  </si>
  <si>
    <t>CRM-786</t>
  </si>
  <si>
    <t>Üretim Modülü Ek Geliştirme - Tip Alanı</t>
  </si>
  <si>
    <t>CRM-787</t>
  </si>
  <si>
    <t>Kısmi İade Fatura - Ek Düzenleme</t>
  </si>
  <si>
    <t>CRM-780</t>
  </si>
  <si>
    <t>E-Güven Servis - İmza Yenileme Tarihi</t>
  </si>
  <si>
    <t>CRM-789</t>
  </si>
  <si>
    <t>CRM&amp;MultiKEP Ent. - Ek Geliştirme</t>
  </si>
  <si>
    <t>CRM-788</t>
  </si>
  <si>
    <t>Sipariş İptal - KEP Adresinin Boşa Çıkarılması</t>
  </si>
  <si>
    <t>CRM-782</t>
  </si>
  <si>
    <t>14 Gün İçerisinde E-Devlet Onayı Verilmeyen Kayıtlar</t>
  </si>
  <si>
    <t>CRM-785</t>
  </si>
  <si>
    <t>İK Entegrasyon Ürünleri - Ent. Suit Entegrasyonu</t>
  </si>
  <si>
    <t>CRM-790</t>
  </si>
  <si>
    <t>Toplu Açılış - Ek Düzenleme</t>
  </si>
  <si>
    <t>WIK-790</t>
  </si>
  <si>
    <t>Kullanıcı Yetkilendirme Modülü Kullanan Yetkisi Kısıtlı Müşterilerde Aynı Aya Ait Dönemlerin Birden Fazla Gözükmesi</t>
  </si>
  <si>
    <t>EDF-803</t>
  </si>
  <si>
    <t>Envanter Defteri Sekmelerinin Eklenmesi</t>
  </si>
  <si>
    <t>EDF-802</t>
  </si>
  <si>
    <t>e-Defter Paketi Güncellemesi</t>
  </si>
  <si>
    <t>EDF-801</t>
  </si>
  <si>
    <t>e-Defter Alanına Envanter Defteri Alanı</t>
  </si>
  <si>
    <t>EDF-799</t>
  </si>
  <si>
    <t>Muvafakatnamede İmza Hatası Düzeltilmesi</t>
  </si>
  <si>
    <t>EFT-2362</t>
  </si>
  <si>
    <t>Konnektörde Hata Bildir&gt;Hızlı Test Butonu Kaldırma</t>
  </si>
  <si>
    <t>EFT-2361</t>
  </si>
  <si>
    <t>Portal - Excele Döviz Kuru Sütununun Eklenmesi</t>
  </si>
  <si>
    <t>EFT-2360</t>
  </si>
  <si>
    <t>Web Servis - e-Fatura ve e-Arşiv Fatura Yatırım Teşvik Senaryosu ve Tiplerin Eklenmesi</t>
  </si>
  <si>
    <t>EFT-2359</t>
  </si>
  <si>
    <t>Konektör - e-Fatura ve e-Arşiv Fatura Yatırım Teşvik Senaryosu ve Tiplerin Eklenmesi</t>
  </si>
  <si>
    <t>EFT-2358</t>
  </si>
  <si>
    <t>YTB - XSLT Dosyalarının Güncellenmesi</t>
  </si>
  <si>
    <t>EFT-2357</t>
  </si>
  <si>
    <t>EFT-2356</t>
  </si>
  <si>
    <t>GİB - e-Arşiv Paket Güncellemesi (v1.1_7)</t>
  </si>
  <si>
    <t>WIK Sprint 2026/ 3-4</t>
  </si>
  <si>
    <t>WIK 02.04</t>
  </si>
  <si>
    <t>KEP Arama-Filtreleme/ Sonuç Listesine Sağ Scroll Eklenmesi</t>
  </si>
  <si>
    <t>MU-207</t>
  </si>
  <si>
    <t>KEP Gönderme Ekranında Eklenen Eklerin İçeriklerinin İndirilmesi</t>
  </si>
  <si>
    <t>MU-205</t>
  </si>
  <si>
    <t>Şifremi Unuttum Akışında UI/UX Düzenlemeleri ve Veri Tutarlılığı İyileştirmeleri</t>
  </si>
  <si>
    <t>MU-204</t>
  </si>
  <si>
    <t>Şifre Değişikliği Ekranında “Güncelle” Butonunun Tüm Cihaz ve Versiyonlarda Doğru Görüntülenmesi</t>
  </si>
  <si>
    <t>MU-203</t>
  </si>
  <si>
    <t>İleti/ Metin Sayfaya Sığmadığında Yatay Scroll Yapılabilir Alanın Kullanıcıya Gösterilmesi</t>
  </si>
  <si>
    <t>MU-202</t>
  </si>
  <si>
    <t>KEP İletisi Detay, Yanıtla ve İlet Akışlarında Eklerin Tıklanabilir, Görüntülenebilir ve Kaldırılabilir Olması</t>
  </si>
  <si>
    <t>MU-201</t>
  </si>
  <si>
    <t>0|i00vra:zsyzgznlti</t>
  </si>
  <si>
    <t>KEP Sprint 2026/3-4</t>
  </si>
  <si>
    <t>Bilgilendirme Mailinde Alıcı Kurum Adı #to Alanının Boş Gelmesi Testleri</t>
  </si>
  <si>
    <t>KA-1585</t>
  </si>
  <si>
    <t>HSM Advanced Metodunda Yanlış Parametre İsmi ve Argument Type Hatası</t>
  </si>
  <si>
    <t>IEU-311</t>
  </si>
  <si>
    <t>IEU Sprint 2026/3-4</t>
  </si>
  <si>
    <t>Çoklu İmzalama Süreçlerinde PAdES ve XAdES Format Hataları / 500 Internal Error</t>
  </si>
  <si>
    <t>IEU-310</t>
  </si>
  <si>
    <t>HSM Sign Metotlarında Parametreden Bağımsız Sabit "CAdES-BES" İmza Atılması</t>
  </si>
  <si>
    <t>IEU-309</t>
  </si>
  <si>
    <t>Entegrasyon Testleri</t>
  </si>
  <si>
    <t>IEU-308</t>
  </si>
  <si>
    <t>IEU-307</t>
  </si>
  <si>
    <t>/api/v1/sign/base64 Metodunda Çoklu E-İmza Seçim Sorunu</t>
  </si>
  <si>
    <t>IEU-306</t>
  </si>
  <si>
    <t>cardType Parametresinin Eklenmesi (Çoklu E-İmza Desteği)</t>
  </si>
  <si>
    <t>IEU-305</t>
  </si>
  <si>
    <t>MA3 API imza-client-2.1.0.jar Entegrasyon Testleri</t>
  </si>
  <si>
    <t>IEU-304</t>
  </si>
  <si>
    <t>Mobil İmza: İmza Tipinin "Tümleşik"ten "Ayrık İmza"ya Dönüştürülmesi</t>
  </si>
  <si>
    <t>IEU-303</t>
  </si>
  <si>
    <t>Müşteri Ticari Sicil No Alanı</t>
  </si>
  <si>
    <t>CRM-791</t>
  </si>
  <si>
    <t>E-İmzanın "*yenileme tarih/saat*" bilgisi E-Güven tarafından beslenecektir, dolayısıyla E-Güven tarafına verilmek üzere bir servis hazırlanması gerekmektedir._x000D_
_x000D_
Servis ile alınan yenileme tarih/saat bilgisi, CRM sisteminde teklife bağlı oluşan "*yenileme*" ekranında yeni bir alan açılarak yazılmalıdır._x000D_
_x000D_
Mevcutta yenileme ekranında uygula butonuna basıldığı zaman teklife bağlı olarak 1-3 yıl olacak şekilde mevcut sipariş detayı ve sözleşme ekranlarında yer alan bitiş süresi alanı otomatik olarak uzar. E-İmza yenileme tarih/saat bilgisi alanına, tarih/saat bilgisi yazıldıktan sonra mevcut sipariş detayı ve mevcut sözleşme ekranlarında servis bitiş süresi güncellenmelidir._x000D_
_x000D_
Yenileme kayıtlarının ayrımını yapabilmek için E-Güven tarafından yenileme kayıtları için uniq bir değer bilgisi beklenmektedir._x000D_
_x000D_
*E-İmza Yenileme Tarihi:* Müşterinin 45 günlük yenileme süresi içerisinde yenileme işlemini gerçekleştirdiği tarih/saat bilgisidir.</t>
  </si>
  <si>
    <t>Soap servisleri yazıldı;19/Jan/26 2:43 PM;baris.tunc;14400</t>
  </si>
  <si>
    <t>Soap servisleri tamamlandı;19/Jan/26 2:43 PM;baris.tunc;18000</t>
  </si>
  <si>
    <t>19/Jan/26 2:42 PM;baris.tunc;Yenileme Modülü "Tarih-Saat" tipinde "renewal_date" isimli yeni bir alan açılmalıdır</t>
  </si>
  <si>
    <t>E-Güven Servis - İmza Üretim Tarihi &amp; İmza Güncel Durumu</t>
  </si>
  <si>
    <t>E-Güven E-İmza kayıtları için "E-İmza Üretim Tarihi ve İmzanın güncel durum" bilgileri E-Güven tarafından beslenecektir, dolayısıyla E-Güven tarafına verilmek üzere bir servis hazırlanması gerekmektedir._x000D_
_x000D_
 _x000D_
_x000D_
*E-İmza Üretim Tarih/Saati:* Sipariş detayı ekranında yer alan "*Servis Başlangıç Tarihi*" alanına yazılmalıdır. (Servis bitiş tarihi alanı ise servis başlangıcından itibaren teklif süresine göre 1-3 yıl olarak yazılmalıdır.)_x000D_
_x000D_
*İmzanın Güncel Durumu:* Aktif, Askıda ve İptal statüleri güncel duruma göre sipariş detayı ekranında "*Entegrasyon Durum*" alanına yazılmalıdır._x000D_
_x000D_
 _x000D_
_x000D_
*Mevcutta sipariş detayı ekranında bulunan bulunan Servis Başlangıç Tarihi alanının tipi tarih/saat olarak değiştirilmelidir.*_x000D_
_x000D_
 _x000D_
_x000D_
Sipariş detayı ekranında yer alan "E-İmza Üretim Tarihi" alanı farklı alanlarda kullanılmamaktadır. Sertifikanın üretildiği tarih servis başlangıç alanına yazılacağı için e-imza üretim tarihi alanı boşa çıkacaktır._x000D_
_x000D_
 _x000D_
_x000D_
E-İmza Üretim Tarihi: Sertifikanın tokena yüklendiği (üretildiği) tarih/saat bilgisidir._x000D_
_x000D_
E-İmza Yenileme Tarihi: Müşterinin 45 günlük yenileme süresi içerisinde yenileme işlemini gerçekleştirdiği tarih/saat bilgisidir.</t>
  </si>
  <si>
    <t>İlgili alanların eklene bilmesi için servis tarafında çalışmalar yapıldı;09/Jan/26 4:29 PM;baris.tunc;25200</t>
  </si>
  <si>
    <t>09/Jan/26 9:10 AM;baris.tunc;Canlı ortam Yenileme modülünde "adv_servis_yenileme_tarihi =&gt; Servis Yenileme Tarihi" alanı oluşturulması gerekmektedir.</t>
  </si>
  <si>
    <t>tamamlandı;21/Jan/26 4:39 PM;ahmet.hekim;48600</t>
  </si>
  <si>
    <t>21/Jan/26 4:37 PM;ahmet.hekim;Müşteri ilgi seviyesi yanlış olan kayıtlar_x000D_
499624 - 484306 - 507053_x000D_
_x000D_
* müşteri ilgi seviyesi: müsterinin, fatura tarihlerinin 365 günden büyük mü kuralına bakıyor, incelediğimde 2025 den önceki müşteriler yeni 2025 den sonraki müşteriler mevcut gözükmektedir. _x000D_
_x000D_
Müşteri ilgi seviyesi "yeni müşteri" fakat satış tipi çapraz ve ilave satış olan kayıtlar_x000D_
477171 - 483148 - 500840_x000D_
* müşterini geçmiş faturları oldugu için  çapraz ve ilave satış durumlarını almıştır."_x000D_
_x000D_
Ürün adında yenileme yok fakat satış tipi yenileme olan kayıtlar_x000D_
497839, 495955, 495966_x000D_
* eski kurala dolan kayıt, düzeltildi_x000D_
_x000D_
Müşteri ilgi seviyesi "mevcut müşteri" olan fakat satış tipi yeni satış olan kayıtlar_x000D_
499624_x000D_
 * ilgi seviyesi :yeni müşteri , ürün kalemleri yeni satıştır._x000D_
500193,486502_x000D_
* eski kurala dolan kayıt, düzeltildi_x000D_
_x000D_
Satış tipi yenileme olması gerekirken, çapraz ve ilave satış olan kayıtlar_x000D_
489641,489968_x000D_
aynı müşteriye ait faturalardır, bir ürün kalemi düzeltilmiştir._x000D_
491061_x000D_
* müşteri ürün kalemleri düzeltilmiştir._x000D_
_x000D_
479097_x000D_
* düzeltdilicek bir kayıt bulunamadı._x000D_
_x000D_
Satış tipi yeni satış olması gerekirken, çapraz ve ilave satış olan kayıtlar_x000D_
509091 - 509090 - 483148 - 484306_x000D_
* müşterini geçmiş faturları oldugu için  çapraz ve ilave satış durumlarını almıştır."_x000D_
_x000D_
_x000D_
Satış tipi yerinde hizmet olması gerekirken, yenileme olan kayıtlar_x000D_
505677_x000D_
* düzeltildi_x000D_
483148_x000D_
* yerinde hizmet ürün kalemi yoktur._x000D_
_x000D_
İlave stok kodu ile gelen fakat satış tipi ilave satış olarak gelmeyen kayıtlar_x000D_
509311 - 484749_x000D_
* düzeltildi._x000D_
492813_x000D_
ilave ürün kalemi yoktur.</t>
  </si>
  <si>
    <t>İlgili sipariş detayı ekranlarına tarihlerin eşitlenebilmesi için buton eklendi ve arka tarafta eşitleme işlemleri sürdürüldü;14/Jan/26 1:45 PM;baris.tunc;18000</t>
  </si>
  <si>
    <t>Sipariş detayı ekranlarındaki butona basıldığında ilgili sözleşme ve sipariş detaylari tarihleri güncellenmesi sağlandı;14/Jan/26 1:45 PM;baris.tunc;10800</t>
  </si>
  <si>
    <t>;11/Jan/26 2:15 PM;gurkan.guney;3600</t>
  </si>
  <si>
    <t>11/Jan/26 2:15 PM;gurkan.guney;Daha önceden bir Suit teklifi varsa ve ek modül teklifi girildiyse, yeni girilen teklifin başlangıç tarihi ilk girilen teklifin tarihi ile eşitleniyor. Aşağıdaki işlem 11.01.2026 tarihinde yapılmış olmasına rağmen Kullanım Başlangıç Tarihi: 17/12/2025 olarak görünüyor. Kullanım Başlangıç Tarihi: 11/01/2026 olarak görünmesi lazım._x000D_
_x000D_
[http://10.1.20.180/index.php?module=adv_Transactions&amp;action=DetailView&amp;record=c8221a06-0499-e2dd-84b8-696391bd9e31]_x000D_
_x000D_
 _x000D_
_x000D_
Bu müşteriye girilen ilk suit teklif işlemi aşağıdadır. Başlangıç tarihini oradan almış._x000D_
_x000D_
http://10.1.20.180/index.php?module=adv_Transactions&amp;action=DetailView&amp;record=a5da092b-8f90-ae5f-3820-6942c8b175e4</t>
  </si>
  <si>
    <t>IEU-320</t>
  </si>
  <si>
    <t>İmzalama Metotlarında Farklı Formatlı Ardışık İmza Hatası</t>
  </si>
  <si>
    <t>HSM Merkezi İmza Servisi: Linux Sunucu Kurulumu ve imza-client Uygulama Çalışması</t>
  </si>
  <si>
    <t>Akbank Haciz Gönderim Servisi Performans Sorunu ve Süre İyileştirmesi Talebi</t>
  </si>
  <si>
    <t>MU-209</t>
  </si>
  <si>
    <t>Doğrulama Kodu Süresi Dolduğunda “Tekrar Kod Gönder” Akışının Eklenmesi</t>
  </si>
  <si>
    <t>IEU-321</t>
  </si>
  <si>
    <t>KA-1587</t>
  </si>
  <si>
    <t>KA-1586</t>
  </si>
  <si>
    <t>MU-211</t>
  </si>
  <si>
    <t>MU-210</t>
  </si>
  <si>
    <t>MYS-843</t>
  </si>
  <si>
    <t>MYS-844</t>
  </si>
  <si>
    <t>MYS-846</t>
  </si>
  <si>
    <t>IEU-322</t>
  </si>
  <si>
    <t>MYS-848</t>
  </si>
  <si>
    <t>Client ve PDF Dönüşüm Sunucusu Arasındaki İletişimin Şifrelenmesi</t>
  </si>
  <si>
    <t>Bilgilendirme Mailinde Alıcı Kurum Adı (#to) Parametresinin Boş Gelmesi</t>
  </si>
  <si>
    <t>Desteklenmeyen Ekleri Görüntülenememesiyle ilgili Kullanıcılara Uyarı Gösterilmesi</t>
  </si>
  <si>
    <t>Mobil İmzalama Akışında Seçim Yapılan Operatörün Tutulması</t>
  </si>
  <si>
    <t>Posta Kutuları- Excel Aktarım Hatası (Tarih Filtresi ve JS TypeError)</t>
  </si>
  <si>
    <t>Ekli Gönderimlerde "500 Internal Server Error" Hatası</t>
  </si>
  <si>
    <t>Ana Sayfa Görevlerimin Yetki Bazlı Kaldırılması</t>
  </si>
  <si>
    <t>EYP 1.3 Parser Controller: download/ek Metodunda 401 Unauthorized Hatası</t>
  </si>
  <si>
    <t>Giden Kutusu EYP Eklerini İndirme Hatası</t>
  </si>
  <si>
    <t>IEU-316</t>
  </si>
  <si>
    <t>IEU-317</t>
  </si>
  <si>
    <t>IEU-318</t>
  </si>
  <si>
    <t>IEU-324</t>
  </si>
  <si>
    <t>KA-1588</t>
  </si>
  <si>
    <t>Klasör İsim Güncelleme Sorunu</t>
  </si>
  <si>
    <t>Türkçe Karakter ve UID Getirme Hatası</t>
  </si>
  <si>
    <t>Silinen Klasör Verisinin API Üzerinden Erişilebilir Olması</t>
  </si>
  <si>
    <t>Analiz- On-Prem Uygulama Otomatik Deploy Edilebilmesi</t>
  </si>
  <si>
    <t>Prod ortamda Türkçe olmayan kelimelerin tespit edilmesi ve Türkçeleştirilmesi</t>
  </si>
  <si>
    <t>CRM-799</t>
  </si>
  <si>
    <t>UKDS ve MU için Geliştirilen Ödeme Servisi - Hata Mesajları</t>
  </si>
  <si>
    <t>CRM-801</t>
  </si>
  <si>
    <t>CRM-800</t>
  </si>
  <si>
    <t>CRM-798</t>
  </si>
  <si>
    <t>CRM-795</t>
  </si>
  <si>
    <t>CRM-762</t>
  </si>
  <si>
    <t>Password Alanı Güncelleme</t>
  </si>
  <si>
    <t>İK Entegrasyon Ürünleri - Ent. Suit Entegrasyonu Yenileme</t>
  </si>
  <si>
    <t>RezervKEP Metoduna Order ID Parametresinin Eklenmesi</t>
  </si>
  <si>
    <t>E-Ödeme Servisi - Ek Geliştirme</t>
  </si>
  <si>
    <t>CRM Satış Raporu – Müşteri İlgi Seviyesi Tanımlama Kuralları</t>
  </si>
  <si>
    <t>WIK Sprint 2026/ 5-6</t>
  </si>
  <si>
    <t>Kullanıcı Yetkilendirme Modül İsimlerinin İngilizce Gözükmesi</t>
  </si>
  <si>
    <t>WIK-795</t>
  </si>
  <si>
    <t>Duyuru Modülü Sayfası Düzenleme</t>
  </si>
  <si>
    <t>WIK-794</t>
  </si>
  <si>
    <t>WIK-792</t>
  </si>
  <si>
    <t>KEPSprint 2026/5-6</t>
  </si>
  <si>
    <t>Portal ve Masaüstü İmzacı uygulamaları üzerinden yürütülen Word-PDF dönüşüm sürecinde , istemci (Client) ile API sunucusu (srvwordtopdf) arasında iletilen doküman verilerinin güvenliğini sağlamak amacıyla iletişim kanalının veya gönderilen paketlerin şifrelenmesi gerekmektedir. Bu geliştirme, kurum içi ağda veya dış ağda gerçekleşebilecek olası veri sızıntılarını önlemeyi ve doküman gizliliğini korumayı hedefler. _x000D_
 _x000D_
*Mevcut Yapı:* ConvertDocxToPdfApiUrl üzerinden yapılan API çağrıları. _x000D_
_x000D_
*Hedef:* Veri paketlerinin şifrelenmiş bir yapıda taşınması ve sadece ilgili uç noktalar tarafından çözülebilmesi. _x000D_
 _x000D_
*Kabul Kriterleri (Acceptance Criteria):* _x000D_
 # *Güvenli Kanal:* İmzacı Client (Portal/Masaüstü) ile API arasındaki iletişim HTTPS/TLS standartlarına uygun hale getirilmelidir. _x000D_
 # *Veri Şifreleme:* Doküman içeriği (Base64 veya Stream) transfer edilmeden önce uygulama katmanında şifrelenmeli ve sunucu tarafında güvenli bir şekilde deşifre edilmelidir. _x000D_
 # *Entegrasyon Testi:* Hem portal hem de masaüstü imzacı üzerinden tekli ve çoklu imzalama senaryoları, şifreli trafik ile başarılı bir şekilde çalışmalıdır. _x000D_
 # *Hata Yönetimi:* Şifreleme anahtarı uyumsuzluğu veya sertifika hataları durumunda kullanıcıya ve log sistemine anlamlı hata mesajları dönülmelidir. </t>
  </si>
  <si>
    <t>İlgili metotlar üzerinde geliştirmeler yapıldı._x000D_
_x000D_
Config dosyası düzenlendi.;02/Feb/26 5:10 PM;recep.simsek;19800</t>
  </si>
  <si>
    <t>Api tarafındaki ilgili metotlarda düzenlemeler yapıldı._x000D_
_x000D_
Yapılan değişiklikler sunucuya aktarıldı._x000D_
_x000D_
Test işlemleri yapıldı.;03/Feb/26 5:10 PM;recep.simsek;18000</t>
  </si>
  <si>
    <t>Gerekli yerlerde düzenlemeler yapıldı._x000D_
_x000D_
Test sunucusuna aktarım sağlandı._x000D_
_x000D_
Test işlemleri yapıldı.;04/Feb/26 2:18 PM;recep.simsek;9000</t>
  </si>
  <si>
    <t>0|i01exi:</t>
  </si>
  <si>
    <t>KA Sprint 2026/5-6</t>
  </si>
  <si>
    <t>04/Feb/26 2:19 PM;recep.simsek;İlgili yerlerde şifreleme işlemleri yapılmış olup test ortama aktarım sağlanmıştır.</t>
  </si>
  <si>
    <t>IEU Sprint 2026/5-6</t>
  </si>
  <si>
    <t>*Amac ve Kapsam:*_x000D_
_x000D_
Mevcut durumda Windows sunucu üzerinden yürütülen HSM  imza işlemlerinin; performans artışı, amacıyla Linux platformuna taşınması hedeflenmiştir.. Bu sunucu, şirket içi imza uygulamalarının (Online Başvuru, e-Fatura, e-Defter vb.) HSM ile haberleşmesini sağlayacak merkezi bir "Gateway" görevi görmesi planlanmaktadır.</t>
  </si>
  <si>
    <t>0|i01euw:</t>
  </si>
  <si>
    <t>27/Jan/26 10:26 AM;omer.turkmen;[http://192.168.120.191:8090/swagger-ui/index.html]_x000D_
_x000D_
761406615 ve 761406618 slotlarının ikisi de tüm senaryolarla test edilmelidir.</t>
  </si>
  <si>
    <t>05/Feb/26 9:17 AM;gulnur.aka;[~Remzi.Sefer] Selam, _x000D_
_x000D_
Dokümanlarda yer alan kısımlarda  /integration/crm (POST) metotunu entegrasyon yapan müşterilerimiz kullanmayacak onun kontrolünü yapabilir misin. _x000D_
_x000D_
Mevcut dokümana ekleme aşamasında ilerlemeden sonra wordingler için tekrar bakmak isterim.</t>
  </si>
  <si>
    <t>EFT Sprint 2026/5-6</t>
  </si>
  <si>
    <t>CRM Sprint 2026/5-6</t>
  </si>
  <si>
    <t>CRM&amp;MultiKEP Entegrasyonu kapsamında CRM sistemi üzerinden MultiKEP aktarımı yapılırken işlem yetkilileri de aktarılmaktadır. Mevcutta firma altında kaç adet işlem yetkilisi varsa hepsini aktarmaktadır. _x000D_
_x000D_
İşlem yetkilisi aktarımı yapılırken kaç adet işlem yetkilisi var ise MultiKEP aktar butonuna tıklandığında pop-up ekranda işlem yetkililieri listelenmeli ve seçilebilmelidir. Seçilen işlem yetkilileri MultiKEP tarafına aktarılmalıdır._x000D_
_x000D_
Aktarımı yapılmayan işlem yetkilileri de sonrasında işlem yetkilisi ekranından MultiKEP Aktar butonu ile aktarılabilmelidir. </t>
  </si>
  <si>
    <t>Multikep aktar butonuna basıldıktan sonra sözleşmeye bağlı işlem yetkililerinin selectbox ile listelenebilmesi için önyüz çalışması yapıldı;30/Jan/26 8:38 AM;baris.tunc;18000</t>
  </si>
  <si>
    <t>Multikep aktar butonuna basıldıktan sonra sözleşmeye bağlı işlem yetkililerinin selectbox ile listelenebilmesi için önyüz geliştirmeleri tamamlandı;30/Jan/26 8:39 AM;baris.tunc;18000</t>
  </si>
  <si>
    <t>Sözleşmeye daha sonra eklenen işlem yetkililerinin, işlem yetkilileri detay sayfasından aktar butonu ile entegrasyonu yapıldı;30/Jan/26 8:40 AM;baris.tunc;18000</t>
  </si>
  <si>
    <t>Eğer teklif içerisinde "KEPİK SAP Üyelik/ Lisans 1 Yıl" ve "KEPİK SAP Üyelik/ Lisans 3 Yıl" ürünleri var ise Entegrasyon Suit ürünü alınmış gibi davranılması gerekiyor._x000D_
_x000D_
Teklif içerisinde "KEPİK SAP Üyelik/ Lisans 1 Yıl" ve "KEPİK SAP Üyelik/ Lisans 3 Yıl"  ürünleri varsa aynı zamanda Entegrasyon Suit sözleşmesi oluşmalı, API Token gönderimi sağlanmalı, Ent. Suit KEP modülü için işlem kaydı oluşmalıdır. Oluşan işlem kaydı üzerinden butona manuel basılarak uygulanmalıdır. _x000D_
_x000D_
Entegrasyon Suit tarafına da createUser ile müşteri bilgisi ve KEP modülünün bilgisi gönderilmelidir._x000D_
_x000D_
3 yıllık ürünlerde API Token süresi 3 yıllık ayarlanarak gönderilmelidir._x000D_
_x000D_
*Metodlar:*_x000D_
 * Post /api/v1/users/create - Müşteri oluşturma_x000D_
 * Put /api/v1/tokens/\{id}/\{period} - Ürün 3 yıllık ise period alanına 2 yıl değeri girilerek Api token süresi 3 yıl olacaktır._x000D_
_x000D_
 _x000D_
_x000D_
Mevcutta KEPİK Canias Üyelik/Lisans 1 Yıl ürünleri teklifte var ise istenilen geliştirmedeki gibi olup/olmadığı kontrol edilmelidir._x000D_
_x000D_
"KEPİK SAP Üyelik/ Lisans 1 Yıl" , "KEPİK SAP Üyelik/ Lisans 3 Yıl" , "KEPİK SAP Üyelik/ Lisans 1 Yıl Yenileme" ve "KEPİK SAP Üyelik/ Lisans 3 Yıl Yenileme" ürün kayıtlarının açıklama kısmına bu durum not edilmelidir._x000D_
_x000D_
 </t>
  </si>
  <si>
    <t>süreçi değiştirildi ,tamamlanmıştır;30/Jan/26 4:51 PM;ahmet.hekim;32400</t>
  </si>
  <si>
    <t>30/Jan/26 4:56 PM;ahmet.hekim;Fakat ürün 3 yıllık dahi olsa API Token süresi 1 yıl olmalıdır. 3 yıl boyunca her yıl otomatik olarak yenilenmelidir._x000D_
_x000D_
bunun için bedelsiz yenileme girilebilir, otomatik olması için nasıl bir süreç uygulanacak?_x000D_
Normal süreçlerde otomatik yenileme gibi bir sürecimiz yok._x000D_
[~kemal.gur] [~gurkan.guney]</t>
  </si>
  <si>
    <t>04/Feb/26 3:54 PM;kemal.gur;Ürün yönetimi tarafından alınan bilgiye göre 3 yıllık ürün olduğunda API Token süreside 3 yıllık olmalıdır. 3 yıllık ürünlerde her yıl yenileme olmayacaktır. Ürün 1 yıllıksa 1 yıl, 3 yıllıksa 3 yıl olarak API Token üretimi olmalıdır. _x000D_
_x000D_
Period metodu ile 3 yıllık ürünler için period alanına 2 değeri girilerek api token süresi 3 yıl olmalıdır. Fakat yenileme ürünlerinde ürün kaç yıllıksa 1-3 period alanına o değer girilmelidir.</t>
  </si>
  <si>
    <t>* *Gri Listedeki Bir Müşteri Teklif Oluşturursa;*_x000D_
_x000D_
Oluşturulan teklif ve teklife bağlı işlemler onay süreci tamamlanmadan ilerletilemez. Onay süreci sırası ile ilerletilmelidir. Onay süreci tamamlanır ise süreç ilerletilebilir._x000D_
_x000D_
Teklif onayının üzerinden *45 gün* geçtikten sonra mevcut teklife bağlı herhangi bir işlem yapılmak istenirse ilk yapılmak istenilen işlem kaydında onay süreci işletilmelidir. Onay süreci tamamlandıktan sonra mevcut teklife bağlı kalan kayıtlar onay süreci gerektirmeden yapılabilmelidir._x000D_
 * *Mevcutta Kayıtlı Uygulanmamış İşlemleri Varken Sonradan Gri Listeye Alınan Müşteri Kaydı İçin;***_x000D_
_x000D_
Mevcuttaki teklife bağlı uygulanmamış bir işlem ekranında kaydet butonuna tıklandığında onay süreci işletilmelidir. Onay süreci sırası ile ilerlemelidir. Onay süreci tamamlanır ise süreç ilerletilebilir. Onay süreci tamamlandıktan sonra mevcut teklife bağlı kalan diğer kayıtlar onay süreci gerektirmeden yapılabilmelidir._x000D_
_x000D_
Onay üzerinden *45 gün* geçtikten sonra mevcut teklife bağlı herhangi bir işlem yapılmak istenirse yine ilk yapılmak istenilen işlem kaydında onay süreci işletilmelidir. Onay süreci tamamlandıktan sonra mevcut teklife bağlı kalan kayıtlar onay süreci gerektirmeden yapılabilmelidir._x000D_
_x000D_
İşlem ekranında kaydet butonuna tıklanması ile bir uyarı mesajı gösterilmelidir. Sonrasında onay süreci mevcut teklif ekranından tekrar onaya gönder butonu ile başlatılabilmelidir._x000D_
_x000D_
Uyarı Mesajı: Teklif onayı üzerinden 45 gün geçtiği için işlemler tekrardan onay sürecine tabidir. Mevcut teklif ekranından tekrar onaya gönder butonu ile süreci ilerletebilirsiniz._x000D_
_x000D_
 _x000D_
_x000D_
Her teklife bağlı onay tamamlandıktan sonra 45 gün geçerse onay süreci tekrar işletilmelidir._x000D_
_x000D_
 </t>
  </si>
  <si>
    <t>21/Jan/26 10:26 AM;kemal.gur;Gri Liste Onay Süreci.jpg;http://192.168.124.186:8080/secure/attachment/15850/Gri+Liste+Onay+S%C3%BCreci.jpg</t>
  </si>
  <si>
    <t>e-Envanter Defteri - Client İmzalama İşlemleri</t>
  </si>
  <si>
    <t>EDF-815</t>
  </si>
  <si>
    <t>e-Defter Sözleşme Ekranında Link Güncellenmesi</t>
  </si>
  <si>
    <t>EDF-814</t>
  </si>
  <si>
    <t>e-Envanter Defteri - Şematron Kontrolü Alanı</t>
  </si>
  <si>
    <t>EDF-813</t>
  </si>
  <si>
    <t>Anasayfa - Envanter Defteri Berat Widget Alanı</t>
  </si>
  <si>
    <t>EDF-812</t>
  </si>
  <si>
    <t>EDF-808</t>
  </si>
  <si>
    <t>e-Envanter Defteri - Envanter İşlemleri</t>
  </si>
  <si>
    <t>EDF-811</t>
  </si>
  <si>
    <t>Rapor - Envanter Berat Durum Alanının Eklenmesi</t>
  </si>
  <si>
    <t>EDF-809</t>
  </si>
  <si>
    <t>Anasayfa - Envanter Defteri Widget Alanı</t>
  </si>
  <si>
    <t>EFT-2367</t>
  </si>
  <si>
    <t>Giden Fatura Kalemleri Raporu Benzeri Bir e-Arşiv Fatura Alanı Açılması</t>
  </si>
  <si>
    <t>EFT-2368</t>
  </si>
  <si>
    <t>GİB Şematron Paketi Birleştirme Sistemi</t>
  </si>
  <si>
    <t>WIK-796</t>
  </si>
  <si>
    <t>E imzalıdır Logosu Bulanık Gelmesi</t>
  </si>
  <si>
    <t>WIK-793</t>
  </si>
  <si>
    <t>Belge Üzerine Eklenen Doğrulama Kodu için Ölçeklendirme</t>
  </si>
  <si>
    <t>UKDS-214</t>
  </si>
  <si>
    <t>Ana Servis Sunucusunda DB Performans Çalışması</t>
  </si>
  <si>
    <t>UKDS-215</t>
  </si>
  <si>
    <t>Servis Katmanı Refactor Çalışması</t>
  </si>
  <si>
    <t>WIK-803</t>
  </si>
  <si>
    <t>Belirli Filtre Seçimlerinde “Tekrar Gönder” Butonunun Gösterilmemesi</t>
  </si>
  <si>
    <t>WIK-800</t>
  </si>
  <si>
    <t>Çalışan Gönderim Detaylarında 3 aydan Eski Kayıtlar için Bilgilendirme Uyarısı Eklenmesi</t>
  </si>
  <si>
    <t>WIK-791</t>
  </si>
  <si>
    <t>Duyuru Modülünde Çoklu Grup Seçimi ve Grup Dışı Çalışanları Ekleme Özelliği</t>
  </si>
  <si>
    <t>MU-215</t>
  </si>
  <si>
    <t>KA-1591</t>
  </si>
  <si>
    <t>Mobil Uygulama UKDS Süreç ve Ödeme Akış Event'lerinin Entegrasyonu</t>
  </si>
  <si>
    <t>Kullanıcı Tanımlamalarının Log İnceleme Talebi</t>
  </si>
  <si>
    <t>MU-217</t>
  </si>
  <si>
    <t>MU-216</t>
  </si>
  <si>
    <t>MU-218</t>
  </si>
  <si>
    <t>IEU-323</t>
  </si>
  <si>
    <t>KA-1595</t>
  </si>
  <si>
    <t>KA-1594</t>
  </si>
  <si>
    <t>Mailbox Menü Geçişlerinde Index Hatası</t>
  </si>
  <si>
    <t>Bildirim İzni Fonksiyonunun Çift Tetiklenmesi</t>
  </si>
  <si>
    <t>Şifremi Unuttum Ekranı "Devam Et" Butonu Null Hatası</t>
  </si>
  <si>
    <t>Araştırma- KEP Gönderim Metotlarında İstek Seviyelerinin Tanımlanabilir Olması</t>
  </si>
  <si>
    <t>Teknik Analiz- On-Prem Uygulama Otomatik Deploy Edilebilmesi</t>
  </si>
  <si>
    <t>UETS İletilerinin “Görevlerim” Ekranına Düşmeden Otomatik Olarak Tamamlanması</t>
  </si>
  <si>
    <t>KEP İletilerinin “Görevlerim” Ekranına Düşmeden Otomatik Olarak Tamamlanması</t>
  </si>
  <si>
    <t>CRM-807</t>
  </si>
  <si>
    <t>KEP İK - Toplu PDF Parçalama Modül Tanımı</t>
  </si>
  <si>
    <t>CRM-806</t>
  </si>
  <si>
    <t>CRM-810</t>
  </si>
  <si>
    <t>CRM-813</t>
  </si>
  <si>
    <t>CRM-815</t>
  </si>
  <si>
    <t>CRM-774</t>
  </si>
  <si>
    <t>CRM-812</t>
  </si>
  <si>
    <t>ENTEGRASYONBIREYSEL ve ENTEGRASYONKURUMSAL - UKDS Sistemine Ödeme Bilgisinin Gönderilmesi</t>
  </si>
  <si>
    <t>Yeni Ödeme Servisi Kayıt Tipleri – Fatura ve Tahsilat Otomasyon Entegrasyonu</t>
  </si>
  <si>
    <t>UKDS Modülü Uygulama Öncesi Ödeme Tipi Seçim Kontrolü</t>
  </si>
  <si>
    <t>ENTEGRASYONBIREYSEL ve ENTEGRASYONKURUMSAL - Ent. Suit Akışı</t>
  </si>
  <si>
    <t>SMM ve MM Sözleşmeleri Uzatma</t>
  </si>
  <si>
    <t>E-Fatura - Aynı VKN İçin Aktivasyon Etiketi Tekilleştirme</t>
  </si>
  <si>
    <t>UKDS-217</t>
  </si>
  <si>
    <t>Entegrasyon Servisi Süresi Geçen Başvuruları Sürece Dahil Edilmesi</t>
  </si>
  <si>
    <t>UKDS-223</t>
  </si>
  <si>
    <t>UKDS-219</t>
  </si>
  <si>
    <t>UKDS-221</t>
  </si>
  <si>
    <t>UKDS-220</t>
  </si>
  <si>
    <t>UKDS-222</t>
  </si>
  <si>
    <t>WIK-815</t>
  </si>
  <si>
    <t>WIK-810</t>
  </si>
  <si>
    <t>WIK-812</t>
  </si>
  <si>
    <t>KEP-317</t>
  </si>
  <si>
    <t>KEP-318</t>
  </si>
  <si>
    <t>Özel Müşteri Seçiminde CRM rezerv metotuna id gönderilmemesi</t>
  </si>
  <si>
    <t>Sonradan sisteme dahil olan müşterilerin CRM’den UKDS’ye gelmesi için metot geliştirilmesi</t>
  </si>
  <si>
    <t>Yeni başvuru ekleme adımına ‘’Özel Müşteri’’ parametresinin eklemesi.</t>
  </si>
  <si>
    <t>Ön ödemeli/Müşteri Ödemeli seçimleri için metot güncellenmesi</t>
  </si>
  <si>
    <t>Varsayılan olarak ‘’Ön Ödemeli’’ seçeneği tanımının gelmesi</t>
  </si>
  <si>
    <t>MULTIKEP</t>
  </si>
  <si>
    <t>Çalışanlar Modülünün Kullanıcı Yetkilendirme Adımında Sayfanın Açılmaması</t>
  </si>
  <si>
    <t>Çalışan Ekle Sayfası – Örnek Excel Formatındaki e-Posta Alanlarının Düzenlenmesi</t>
  </si>
  <si>
    <t>Çalışanlar Ekranı – Çalışan Grubu Alanında “i” Bilgi İkonu Gösterim Kuralı</t>
  </si>
  <si>
    <t>Webmail Erişim Yetkisi Kısıtlı Kullanıcılarda Şifre Değiştirme Adımı</t>
  </si>
  <si>
    <t>Şifremi Unuttum Akışı – TCKN ve Cep Telefonu ile Adres Listeleme Servisi Geliştirilmesi</t>
  </si>
  <si>
    <t>Test Süreçlerinin Düzenlenmesi/ Önyüz</t>
  </si>
  <si>
    <t>WIK Sprint 2026/ 7-8</t>
  </si>
  <si>
    <t>Sistem Ayarlarında Logo/Doğrulama Kodu/Karekod Kenarlara Eklendiğinde Şablonda Dış Alanda Gözükmesi  - Backend</t>
  </si>
  <si>
    <t>WIK-809</t>
  </si>
  <si>
    <t>0|i01f50:</t>
  </si>
  <si>
    <t>19/Feb/26 5:17 PM;onder.bar;WIK-793 ile yapılan çalışmalarda bu sorunun yaşanmadığı görülmektedir. Test ortamı ve canlıdaki logoların eşitlenmesi gerekmektedir.</t>
  </si>
  <si>
    <t>Sistem Ayarlarında Logo/Doğrulama Kodu/Karekod Kenarlara Eklendiğinde Şablonda Dış Alanda Gözükmesi</t>
  </si>
  <si>
    <t>WIK-808</t>
  </si>
  <si>
    <t>Sistem Ayarlarında Logo/Doğrulama Kodu/Karekod sayfa içerisinde kenarlara eklendiğinde ve kaydedildiğinde tekrar sistem ayarlarına geldiğinde dışarı taşmış bir alanda gözükmesi._x000D_
_x000D_
 _x000D_
_x000D_
!image-2026-02-16-14-02-41-774.png!</t>
  </si>
  <si>
    <t>;16/Feb/26 2:32 PM;dogukan.oncuer;10800</t>
  </si>
  <si>
    <t>Maddenin testi başarılı._x000D_
_x000D_
Logoların taşmasıyla ilgili backend tarafında farklı bir sorun tespit edilmiştir. Logo, karekod vs. sistem ayarları sayfasında doğru konumlandırılmasına rağmen imzalı pdf'ler taşma oluyor. Örnek pdf ektedir. (deneme (15).pdf);16/Feb/26 3:59 PM;gurkan.guney;1800</t>
  </si>
  <si>
    <t>16/Feb/26 3:59 PM;gurkan.guney;deneme (15).pdf;http://192.168.124.186:8080/secure/attachment/15903/deneme+%2815%29.pdf</t>
  </si>
  <si>
    <t>16/Feb/26 1:02 PM;ceren.sertkaya;image-2026-02-16-14-02-41-774.png;http://192.168.124.186:8080/secure/attachment/15902/image-2026-02-16-14-02-41-774.png</t>
  </si>
  <si>
    <t>0|i00vra:zsyzgzliigb91</t>
  </si>
  <si>
    <t>16/Feb/26 2:31 PM;gitlab.dev;[Dogukan Oncuer|https://git-lab.turkkep.com.tr/dogukan.oncuer] mentioned this issue in [commit 6e3f3060|https://git-lab.turkkep.com.tr/kepappteam/kep-ik/webik-frontend-v2/-/commit/6e3f3060674658ef4ef313edc8e118bafb1b2def] of [KEPAPPTEAM / KEP IK / Webik Frontend V2|https://git-lab.turkkep.com.tr/kepappteam/kep-ik/webik-frontend-v2] on branch [dev|https://git-lab.turkkep.com.tr/kepappteam/kep-ik/webik-frontend-v2/-/tree/dev]:{quote}Merge branch 'WIK-808' into 'dev'
(wık-808) sistem ayarları fix
Closes WIK-808
See merge request kepappteam/kep-ik/webik-frontend-v2!198{quote}</t>
  </si>
  <si>
    <t>WIK-807</t>
  </si>
  <si>
    <t>0|i00vra:zsyzgzliigc9</t>
  </si>
  <si>
    <t>WIK-806</t>
  </si>
  <si>
    <t>retro toplantısı;09/Feb/26 1:33 PM;dogukan.oncuer;1800</t>
  </si>
  <si>
    <t>backlog;17/Feb/26 3:03 PM;dogukan.oncuer;4620</t>
  </si>
  <si>
    <t>daily;18/Feb/26 12:17 PM;dogukan.oncuer;3600</t>
  </si>
  <si>
    <t>duyuru modül çalışanlar popupı toplantısı;19/Feb/26 5:22 PM;dogukan.oncuer;4320</t>
  </si>
  <si>
    <t>gün değerlendirme toplantısı;19/Feb/26 5:23 PM;dogukan.oncuer;1860</t>
  </si>
  <si>
    <t>0|i00vra:zsyzgzliigcr</t>
  </si>
  <si>
    <t>WIK-805</t>
  </si>
  <si>
    <t>0|i00vra:zsyzgzliigci</t>
  </si>
  <si>
    <t>WIK-804</t>
  </si>
  <si>
    <t>0|i00vra:zsyzgzliigd</t>
  </si>
  <si>
    <t>*Açıklama:*_x000D_
_x000D_
Duyuru modülünde gönderim aşamasında mevcutta tekil grup seçimi yapılabilmektedir. Bu yapı, kullanıcıların duyuruları daha esnek bir yapı kurulması amaçlanmıştır. _x000D_
 * Kullanıcı, duyuru gönderim ekranında birden fazla grup seçimi yapabilmelidir._x000D_
_x000D_
 * Kullanıcı bir veya birden fazla grup seçmiş olsa dahi, sistem seçilen gruplarda yer almayan çalışanları da çalışan listesinde göstermelidir ve seçim yapılabilmelidir. _x000D_
_x000D_
*Gereksinim:*_x000D_
_x000D_
           _*Çoklu Grup Seçimi*_ _x000D_
 * Kullanıcı duyuru gönderiminde birde fazla grup seçimi yapabilmelidir. _x000D_
 * Seçilen gruplar arayüzde gösterilmelidir. _x000D_
 * Grup ekleme/çıkarma işlemleri mevcutta gibi yapılabilir olmalıdır. _x000D_
_x000D_
           _*Grup Dışı Kullanıcı Seçimi*__x000D_
 * Bir veya birden fazla grup seçildikten sonra, sistem otomatik olarak *seçilen gruplarda yer almayan çalışanları* çalışanlar listesinde listelemelidir._x000D_
 * Kullanıcı bu listeden ek alıcılar seçebilmelidir_x000D_
 * Hem grup üyeleri hem de manuel seçilen kullanıcılar duyuruyu almalıdır._x000D_
_x000D_
Bu sayede duyurular hem grup bazlı hem de çalışan listesinden kullanıcılar eklenerek gönderilebilecektir._x000D_
_x000D_
*Kullanım Senaryosu:*_x000D_
 * Kullanıcı "Satış Departmanı" ve "Pazarlama Departmanı" grubunu seçer. _x000D_
 * Sistem, seç butonuna tıklayarak açılan çalışan listesinde, bu iki grupta olmayan tüm çalışanları listeler. _x000D_
 * Kullanıcı listeden Ali ve Ayşeyi seçer. (Ali IT çalışan grubunda, Ayse ise herhangi bir çalışan grubuna bağlı değildir.)_x000D_
 * Duyuru, satış pazarlama ve Ali ve Ayşe'ye gönderilir. _x000D_
_x000D_
*Kabul Kriterleri:*_x000D_
 *  Duyuru gönderim ekranında birden fazla grup seçimi yapılabilmelidir._x000D_
_x000D_
 * Grup seçimi yapıldığında çalışan listesi sadece grup üyeleriyle kısıtlanmamalıdır._x000D_
_x000D_
 * Grup dışı çalışanlar listede görünmeli ve seçilebilir olmalıdır._x000D_
_x000D_
 * Seçilen grup ve çalışanlar duyuruya doğru şekilde dahil edilmelidir._x000D_
_x000D_
 * Mevcut duyuru gönderim akışı bozulmamalıdır._x000D_
_x000D_
*ANALİZ*_x000D_
_x000D_
Grup seçimi yapan kullanıcı grup seç adımında birden fazla grup seçtiğinde_x000D_
_x000D_
Bu fonksiyon standart seçimde şu şekilde ilerlemektedir. Kişi seçip, daha sonra grup seçilebilmektedir. Ancak ilk seçtiğim kişi grup seçtiğimde geçersiz kılınmaktadır._x000D_
Sadece grup seçtiğimde kişi seçim tuşu seçilememektedir._x000D_
_x000D_
Fonksiyon iki aşamalı çalışabilmelidir. Kişi seçimi önce veya sonra yapabilir. Grup seçimi önce veya sonra yapışabilmektedir._x000D_
_x000D_
Mükerer Seçimler Engellenmelidir._x000D_
- Seçilen gruplarda aynı kişiler olabilir. Bu noktada aynı kişiler gelmemelidir._x000D_
- Grup seçilip çalışanlar sekmesine gelirse çalışanlar sekmesindeki kişi seçili olduğu için pasif olmalıdır._x000D_
_x000D_
Seçilen grup ve kişiler listesi ayrı ayrı gösterilmelidir. _x000D_
Kişi grup bilgisini sildiği zaman çalışan listesinden aynı çalışanlar tekrar seçilebilmelidir._x000D_
_x000D_
 </t>
  </si>
  <si>
    <t>12/Feb/26 1:33 PM;ceren.sertkaya;tekrar test eder misin?</t>
  </si>
  <si>
    <t>WIK-752</t>
  </si>
  <si>
    <t>*Açıklama:*_x000D_
_x000D_
Duyuru modülüne ait raporlama ekranında kullanıcıların daha etkin sorgulama yapabilmesi için mevcut filtreleme alanlarının düzenlenmesi ve standartlara uygun hale getirilmesi gerekmektedir._x000D_
_x000D_
*Filtre Alanları:*_x000D_
 * Durum_x000D_
_x000D_
 * Çalışan Grubu (İlgili backend geliştirmesinden sonra kullanıcıya gösterim sağlanacaktır. )_x000D_
 * Alıcı (KEP adresi, TC ve Ad–Soyad ile arama)_x000D_
_x000D_
 * İleti Başlığı_x000D_
_x000D_
 * Tarih Aralığı_x000D_
_x000D_
*Kapsam:*_x000D_
 * Filtre alanları kullanıcı sunulmalıdır._x000D_
_x000D_
 * Tarih aralığı seçimi zorunlu period kurallarına göre sınırlandırılmalıdır._x000D_
_x000D_
 * Belirlenen period dışında sorgu yapılmak istendiğinde kullanıcı bilgilendirilmelidir._x000D_
_x000D_
 * Çalışan alanında KEP adresi, TC ve Ad–Soyad ile arama yapılabilmelidir._x000D_
 * Filtrelemeye göre kullanıcıya excelde bilgiler sunulmalıdır. _x000D_
_x000D_
 *ANALİZ*_x000D_
_x000D_
Duyuru modülü içerisinden gönderilen KEP iletilerinin raporlanmasını sağlayan raporlarım modülü içerisinde arama fonksiyonunun genişletilmesi_x000D_
_x000D_
*Arama fonksiyonu*_x000D_
Mevcut durum içerisinde arama fonksiyonu başlangıç ve bitiş tarihlerini baz almaktadır._x000D_
Yeni süreçte arama fonksiyonuna eklenecek olan birinci aşamada_x000D_
_x000D_
Çalışanlar, ileti konu başlığı, teslim durumu ile ilgili filtre_x000D_
_x000D_
*Teslim edilmesi ile ilgili durumun filtrelenmesi*_x000D_
_x000D_
--&gt; Bu nokta duyuru modülünde bulunan gönderilenler,başarızı,gönderiliyor ve hepsi statüleri ile ilerlenebilinir.Bu statülere göre filte içerisine kullanıcı arama yapabilir._x000D_
bu statülerin backend’deki gerçek durum kodlarıyla birebir eşlemesi gerekmektedir._x000D_
_x000D_
---&gt;  Aynı şekilde KEP Delilleri ile süreçte ilerlenebilinir. Bu nokta müşterinin gönderdiği KEP iletisinin delillerine göre arama yapabilmesi gerekmektedir._x000D_
_x000D_
*(Excel çıktısına göre arama eşleştirilecektir.)*_x000D_
_x000D_
--teslim durumunu belirtiği filtrede eğer bir parametre seçilmediyse otomatik olarak tüm statüler ile arama yapar_x000D_
_x000D_
+- Çalışan grubu filtre olarak birinci aşamada eklenmeyecektir.+_x000D_
_x000D_
*Çalışan Seçimi Filtresi*_x000D_
_x000D_
Çalışanlar üzerinden seçim yaparak filtreleme yapabilir._x000D_
Çalışanları ararken bir veya birden fazla seçim yapabilir._x000D_
Arama alanında adı soyadı, TCKN veya KEP Adresi ile arama yapabilir._x000D_
Min karakter (örn. 3) yoksa her tuşta sorgu sistemi yorabilir._x000D_
“Yanlış veri girerse hiçbir seçenek gelmesin” Örn; Yanlış TCKN,yanlış ad soyad veya yanlış KEP Adresi_x000D_
Seçim yapınca “tüm çalışanlar tek ekranda listelenmemeli” Ekran yapısına göre min ve çoğaltılabilinir bir yapı olmalı._x000D_
Seçimler çalışanlara sağlanırken hepsi veya tekil seçim olmalıdır. Seçimler aynı şekilde tekil veya çoğul olarak kaldırabilinmelidir._x000D_
Çalışanları seçtiği zaman tüm çalışanlar tek ekranda listelenmemeli._x000D_
_x000D_
*İleti Başlığı/ Konu Başlığı* *Filtresi*_x000D_
_x000D_
İleti başlığı parametresi göderilen KEP iletisinin konu başlığı ile eş değerlidir. Gönderilen KEP iletisinin konu başlığını yazarak arama yapabilir._x000D_
Konu başlıkları otomatik olarak içerir fonksiyonu ile aramada yapabilir. Örn; ''test'' yazdığında sadece test başlığı değil. Aynı zamanda konu başlığında test yazan iletileri getirmelidir._x000D_
Büyük/küçük harf duyarlılığı_x000D_
Türkçe karakter arama yapmalı._x000D_
_x000D_
+---&gt; İçerik ile arama yapılamamaktadır. İçerik ile aramanın mevcut yapıda mümkün olmayacağı belirtilmiştir.+_x000D_
_x000D_
 </t>
  </si>
  <si>
    <t>;29/Jan/26 10:01 AM;mehmetcan.olgun;3600</t>
  </si>
  <si>
    <t>;12/Feb/26 6:12 PM;gurkan.guney;7200</t>
  </si>
  <si>
    <t>;19/Feb/26 9:58 PM;gurkan.guney;7200</t>
  </si>
  <si>
    <t>20/Jan/26 2:15 PM;gitlab.dev;[Mehmet Can Olgun|https://git-lab.turkkep.com.tr/mehmetcan.olgun] mentioned this issue in [commit f58645bb|https://git-lab.turkkep.com.tr/kepappteam/kep-ik/document-report/-/commit/f58645bb8facf416e07fc878056f7447bfd6f9f4] of [KEPAPPTEAM / KEP IK / Document Report|https://git-lab.turkkep.com.tr/kepappteam/kep-ik/document-report] on branch [WIK-765|https://git-lab.turkkep.com.tr/kepappteam/kep-ik/document-report/-/tree/WIK-765]:{quote}(WIK-765) other report request handled
{quote}</t>
  </si>
  <si>
    <t>20/Jan/26 2:16 PM;gitlab.dev;[Mehmet Can Olgun|https://git-lab.turkkep.com.tr/mehmetcan.olgun] mentioned this issue in [commit 8d697e1d|https://git-lab.turkkep.com.tr/kepappteam/kep-ik/webik-backend-v2/-/commit/8d697e1df0439ab97ee193a89b036ebc8f939d63] of [KEPAPPTEAM / KEP IK / Webik Backend V2|https://git-lab.turkkep.com.tr/kepappteam/kep-ik/webik-backend-v2] on branch [WIK-765|https://git-lab.turkkep.com.tr/kepappteam/kep-ik/webik-backend-v2/-/tree/WIK-765]:{quote}(WIK-765) other report request processed
{quote}</t>
  </si>
  <si>
    <t>20/Jan/26 4:40 PM;gitlab.dev;[Mehmet Can Olgun|https://git-lab.turkkep.com.tr/mehmetcan.olgun] mentioned this issue in [commit 8e8b3028|https://git-lab.turkkep.com.tr/kepappteam/kep-ik/document-report/-/commit/8e8b30280a77e4eb23f8fb7dc322e0cb1911b249] of [KEPAPPTEAM / KEP IK / Document Report|https://git-lab.turkkep.com.tr/kepappteam/kep-ik/document-report] on branch [dev|https://git-lab.turkkep.com.tr/kepappteam/kep-ik/document-report/-/tree/dev]:{quote}Merge branch 'WIK-765' into 'dev'
(WIK-765) other report request handled
Closes WIK-765
See merge request kepappteam/kep-ik/document-report!28{quote}</t>
  </si>
  <si>
    <t>20/Jan/26 4:41 PM;gitlab.dev;[Mehmet Can Olgun|https://git-lab.turkkep.com.tr/mehmetcan.olgun] mentioned this issue in [merge request !122|https://git-lab.turkkep.com.tr/kepappteam/kep-ik/webik-backend-v2/-/merge_requests/122] of [KEPAPPTEAM / KEP IK / Webik Backend V2|https://git-lab.turkkep.com.tr/kepappteam/kep-ik/webik-backend-v2] on branch [WIK-765|https://git-lab.turkkep.com.tr/kepappteam/kep-ik/webik-backend-v2/-/tree/WIK-765]:{quote}(WIK-765) other report request processed{quote}</t>
  </si>
  <si>
    <t>20/Jan/26 4:41 PM;gitlab.dev;[Mehmet Can Olgun|https://git-lab.turkkep.com.tr/mehmetcan.olgun] mentioned this issue in [commit 4a60e2e3|https://git-lab.turkkep.com.tr/kepappteam/kep-ik/webik-backend-v2/-/commit/4a60e2e3b7efbdedca67f08d2576454deeec1454] of [KEPAPPTEAM / KEP IK / Webik Backend V2|https://git-lab.turkkep.com.tr/kepappteam/kep-ik/webik-backend-v2] on branch [dev|https://git-lab.turkkep.com.tr/kepappteam/kep-ik/webik-backend-v2/-/tree/dev]:{quote}Merge branch 'WIK-765' into 'dev'
(WIK-765) other report request processed
Closes WIK-765
See merge request kepappteam/kep-ik/webik-backend-v2!122{quote}</t>
  </si>
  <si>
    <t>23/Jan/26 4:24 PM;gitlab.dev;[Dogukan Oncuer|https://git-lab.turkkep.com.tr/dogukan.oncuer] mentioned this issue in [commit dfbc923b|https://git-lab.turkkep.com.tr/kepappteam/kep-ik/webik-frontend-v2/-/commit/dfbc923b840d51c9ca1630f88fcaeac27cc62662] of [KEPAPPTEAM / KEP IK / Webik Frontend V2|https://git-lab.turkkep.com.tr/kepappteam/kep-ik/webik-frontend-v2]:{quote}Merge remote-tracking branch 'origin/dev' into WIK-765
{quote}</t>
  </si>
  <si>
    <t>28/Jan/26 10:19 AM;gitlab.dev;[Dogukan Oncuer|https://git-lab.turkkep.com.tr/dogukan.oncuer] mentioned this issue in [commit 785f4893|https://git-lab.turkkep.com.tr/kepappteam/kep-ik/webik-frontend-v2/-/commit/785f48938caa21c92a6d4e2d5b5efab986ab2ba2] of [KEPAPPTEAM / KEP IK / Webik Frontend V2|https://git-lab.turkkep.com.tr/kepappteam/kep-ik/webik-frontend-v2] on branch [WIK-765|https://git-lab.turkkep.com.tr/kepappteam/kep-ik/webik-frontend-v2/-/tree/WIK-765]:{quote}Merge remote-tracking branch 'origin/dev' into WIK-765
{quote}</t>
  </si>
  <si>
    <t>28/Jan/26 10:26 AM;gitlab.dev;[Dogukan Oncuer|https://git-lab.turkkep.com.tr/dogukan.oncuer] mentioned this issue in [commit 561aba9d|https://git-lab.turkkep.com.tr/kepappteam/kep-ik/webik-frontend-v2/-/commit/561aba9d857fb4eb26425393b40209ecadda7fa6] of [KEPAPPTEAM / KEP IK / Webik Frontend V2|https://git-lab.turkkep.com.tr/kepappteam/kep-ik/webik-frontend-v2] on branch [dev|https://git-lab.turkkep.com.tr/kepappteam/kep-ik/webik-frontend-v2/-/tree/dev]:{quote}Merge branch 'WIK-765' into 'dev'
Resolve WIK-765
Closes WIK-765
See merge request kepappteam/kep-ik/webik-frontend-v2!188{quote}</t>
  </si>
  <si>
    <t>12/Feb/26 6:12 PM;gurkan.guney;* *Durum filtresi* alanına “Hepsi” seçeneği eklenmelidir. Varsayılan olarak tüm durumlar seçili olsa da bu durum kullanıcı tarafından anlaşılmamaktadır. Kullanıcıların tüm statüleri tek tek seçmek zorunda kalmasının önüne geçilmelidir._x000D_
_x000D_
 * *“Filtreleri Temizle”* butonuna basıldığında, “Çalışan Ara” (Ad, KEP adresi veya TC No) arama alanı temizlenmemektedir. Bu alanın da filtrelerle birlikte sıfırlanması gerekmektedir._x000D_
_x000D_
 * Son oluşturulan deliller sistemde “Okundu/Kabul Edildi” durumunda olmasına rağmen, Excel çıktısında “Teslim Edildi” olarak görüntülenmektedir. Statü eşleşmesi kontrol edilmelidir._x000D_
_x000D_
 * *Rapor Talebi Oluşturma* ekranında herhangi bir çalışan seçilmemesine rağmen “Oluştur” butonu aktif durumdadır. Çalışan seçilmeden rapor talebi oluşturulabilmektedir._x000D_
_x000D_
 ** 90 çalışanlı organizasyonda tüm çalışanlar otomatik eklenmiş gibi rapor oluşmuştur._x000D_
_x000D_
 ** 21.000 çalışanlı organizasyonda ise çalışanların eklenmesi uzun sürdüğünden, işlem tamamlanmadan “Oluştur” seçildiğinde boş rapor oluşmaktadır._x000D_
 Çalışan seçimi yapılmadan rapor talebi gönderimi engellenmelidir._x000D_
_x000D_
 * Yüksek sayıda çalışan bulunan organizasyonlarda “Tüm Çalışanları Seç” işlemi uzun sürmektedir (dakikada yaklaşık 100–200 çalışan eklenmektedir)._x000D_
_x000D_
 ** İşlem süresince bir yüklenme göstergesi (loading bar) gösterilmelidir._x000D_
_x000D_
 ** İşlem tamamlanmadan “Oluştur” butonu pasif olmalıdır._x000D_
_x000D_
 ** Kullanıcıya işlem devam ederken iptal etme seçeneği sunulmalıdır._x000D_
 Aksi halde eksik seçimle rapor oluşturulma riski bulunmaktadır._x000D_
_x000D_
 * Talep oluşturma filtreleme ekranında çok sayıda çalışan seçili olduğunda (ör. 21.000 kişi), “Oluştur” butonuna basıldığında sistem ilk anda tepki vermemektedir. Bu süreçte butona birden fazla kez basılabilmektedir._x000D_
_x000D_
 ** “Oluştur” butonuna ilk basıştan sonra buton pasif hale getirilmelidir._x000D_
_x000D_
 ** Uzun sürebilecek işlemler için yüklenme göstergesi veya “Lütfen bekleyiniz” uyarısı gösterilmelidir._x000D_
 _x000D_
 </t>
  </si>
  <si>
    <t>18/Feb/26 4:12 PM;ceren.sertkaya;önyüzdeki test sonuçlarını kontrol etmeniz gerekmektedir. Düzenleme sağlanmıştır.</t>
  </si>
  <si>
    <t>19/Feb/26 9:58 PM;gurkan.guney;*1. Duyuru Gönderim Raporu – Sekme Geçişinde “undefined” İfadesi Görünmesi*_x000D_
_x000D_
“Duyuru Gönderim Raporu” ekranında, “Devam Eden Rapor İstekleri” sekmesinden “Tamamlanmış Rapor İstekleri” sekmesine geçiş yapıldığında, kısa süreliğine “undefined” ifadesi görüntülenmekte ve ardından kaybolmaktadır._x000D_
_x000D_
Bu durum yalnızca “Devam Eden Rapor İstekleri” sekmesinde kayıt bulunduğu senaryolarda oluşmaktadır. İlgili sekmede kayıt bulunmadığında söz konusu problem gözlemlenmemektedir._x000D_
_x000D_
İlgili geçiş sırasında sistemde oluşan bu geçici metin gösteriminin engellenmesi gerekmektedir._x000D_
_x000D_
*2. Çalışana Ait Gönderim Bulunmaması Durumunda Bilgilendirme Mesajı*_x000D_
_x000D_
Herhangi bir çalışana ait gönderim kaydı bulunmadığında, rapor ekranı boş olarak gelmektedir._x000D_
_x000D_
_x000D_
 “Çalışana ait gönderim bulunmamaktadır.”_x000D_
 şeklinde bilgilendirici bir mesaj gösterilmesi talep edilmektedir._x000D_
_x000D_
*3. “Acceptance” İfadesinin Türkçe Karşılığı*_x000D_
_x000D_
Raporda yer alan “Acceptance” delilinin Türkçe karşılığı olarak “Onaylandı” ifadesi kullanılmaktadır._x000D_
_x000D_
İlgili ifadenin “Kabul Edildi” şeklinde güncellenmesi gerekmektedir._x000D_
_x000D_
*4. Konu Başlığında Büyük/Küçük Harf Duyarlılığı*_x000D_
_x000D_
Maddede konu başlığı filtrelemesinde “Büyük/Küçük Harf Duyarlılığı”ndan bahsedilmektedir. Ancak burada duyarlı (case-sensitive) mı yoksa duyarsız (case-insensitive) bir yapı talep edildiği net değildir._x000D_
_x000D_
Mevcut durumda sistem büyük/küçük harf duyarlı (case-sensitive) olarak çalışmaktadır. Örneğin, iletinin konusu küçük harflerle yazılmışsa ve filtreleme sırasında aynı ifade büyük harflerle girilirse, ilgili iletiler rapora dahil edilmemektedir._x000D_
_x000D_
İş gereksinimi doğrultusunda, filtreleme yapısının büyük/küçük harf duyarsız olacak şekilde güncellenip güncellenmeyeceğinin netleştirilmesi gerekmektedir.</t>
  </si>
  <si>
    <t>UKDS-218</t>
  </si>
  <si>
    <t>ghx-label-2</t>
  </si>
  <si>
    <t>UKDS Sprint 2026/7-8</t>
  </si>
  <si>
    <t>UKDS-216</t>
  </si>
  <si>
    <t>-Rutin uygulama logları takip edildi._x000D_
_x000D_
-Retrospective toplantısına katılım sağlandı.;09/Feb/26 5:08 PM;can.macit;3600</t>
  </si>
  <si>
    <t>-Rutin uygulama logları takip edildi._x000D_
_x000D_
-Daily toplantısına katılım sağlandı.;10/Feb/26 5:14 PM;can.macit;3600</t>
  </si>
  <si>
    <t>-Rutin uygulama logları takip edildi._x000D_
_x000D_
-Saklama sunucusu gitlab erişimi sorunu çözüldü.;11/Feb/26 6:26 PM;can.macit;7200</t>
  </si>
  <si>
    <t>-Rutin uygulama logları takip edildi._x000D_
_x000D_
-Daily toplantısına katılım sağlandı.;13/Feb/26 5:00 PM;can.macit;3600</t>
  </si>
  <si>
    <t>-Rutin uygulama logları takip edildi._x000D_
_x000D_
-Kıdemli Danışman ile toplantı yapıldı._x000D_
_x000D_
-ARGE projesi değerlendirme toplantısına katılım sağlandı.;16/Feb/26 5:23 PM;can.macit;7200</t>
  </si>
  <si>
    <t>-Rutin uygulama logları takip edildi._x000D_
_x000D_
-Sprint backlog toplantısına katılım sağlandı._x000D_
_x000D_
-Ekip arkadaşına destek sağlandı.;17/Feb/26 5:59 PM;can.macit;9000</t>
  </si>
  <si>
    <t>-Rutin uygulama logları takip edildi._x000D_
_x000D_
-UKDS süreçleri ile ilgili toplantıya katılım sağlandı.;19/Feb/26 5:19 PM;can.macit;10800</t>
  </si>
  <si>
    <t>-Rutin uygulama logları takip edildi._x000D_
_x000D_
-Daily toplantısına katılım sağlandı.;19/Feb/26 5:21 PM;can.macit;3600</t>
  </si>
  <si>
    <t>0|i00vra:zsyzgznog</t>
  </si>
  <si>
    <t>MYS-850</t>
  </si>
  <si>
    <t>Müşterimizin ortamında yaşanan durum ile ilgili inceleme yapıldı. İlgili konu için bilgilendirme yapıldı.;18/Feb/26 4:59 PM;batuhan.tufan;3600</t>
  </si>
  <si>
    <t>0|i01f4k:</t>
  </si>
  <si>
    <t>MYS Sprint 2026/5-7</t>
  </si>
  <si>
    <t>MYS-849</t>
  </si>
  <si>
    <t>Kep Assist + MYS Backlog Refinement , ekip içi görüşmeler yapıldı.;17/Feb/26 5:00 PM;mert.tanel;4500</t>
  </si>
  <si>
    <t>Hatalı süreçler ile ilgili yaşanan durum üzerine dailyde ekip ile incelemeler yapıldı.;18/Feb/26 4:57 PM;mert.tanel;3600</t>
  </si>
  <si>
    <t>0|i01f4c:</t>
  </si>
  <si>
    <t>event</t>
  </si>
  <si>
    <t>Event entegrasyon çalışmalarına başlandı. ;12/Feb/26 4:57 PM;melih.cesur;18000</t>
  </si>
  <si>
    <t>Firebase event entegrasyonlarına devam edildi.;13/Feb/26 4:07 PM;melih.cesur;21600</t>
  </si>
  <si>
    <t>Event entegrasyonları tamamlandı.;16/Feb/26 7:22 PM;melih.cesur;32400</t>
  </si>
  <si>
    <t>11/Feb/26 3:12 PM;gulnur.aka;image-2026-02-11-16-12-50-538.png;http://192.168.124.186:8080/secure/attachment/15886/image-2026-02-11-16-12-50-538.png</t>
  </si>
  <si>
    <t>11/Feb/26 3:13 PM;gulnur.aka;image-2026-02-11-16-13-10-214.png;http://192.168.124.186:8080/secure/attachment/15887/image-2026-02-11-16-13-10-214.png</t>
  </si>
  <si>
    <t>11/Feb/26 3:14 PM;gulnur.aka;image-2026-02-11-16-14-32-129.png;http://192.168.124.186:8080/secure/attachment/15888/image-2026-02-11-16-14-32-129.png</t>
  </si>
  <si>
    <t>11/Feb/26 3:15 PM;gulnur.aka;image-2026-02-11-16-15-31-666.png;http://192.168.124.186:8080/secure/attachment/15889/image-2026-02-11-16-15-31-666.png</t>
  </si>
  <si>
    <t>11/Feb/26 3:15 PM;gulnur.aka;image-2026-02-11-16-15-55-340.png;http://192.168.124.186:8080/secure/attachment/15890/image-2026-02-11-16-15-55-340.png</t>
  </si>
  <si>
    <t>11/Feb/26 3:16 PM;gulnur.aka;image-2026-02-11-16-16-45-805.png;http://192.168.124.186:8080/secure/attachment/15891/image-2026-02-11-16-16-45-805.png</t>
  </si>
  <si>
    <t>11/Feb/26 3:17 PM;gulnur.aka;image-2026-02-11-16-17-03-432.png;http://192.168.124.186:8080/secure/attachment/15892/image-2026-02-11-16-17-03-432.png</t>
  </si>
  <si>
    <t>11/Feb/26 3:19 PM;gulnur.aka;image-2026-02-11-16-19-45-522.png;http://192.168.124.186:8080/secure/attachment/15893/image-2026-02-11-16-19-45-522.png</t>
  </si>
  <si>
    <t>11/Feb/26 3:21 PM;gulnur.aka;image-2026-02-11-16-21-02-828.png;http://192.168.124.186:8080/secure/attachment/15894/image-2026-02-11-16-21-02-828.png</t>
  </si>
  <si>
    <t>11/Feb/26 3:21 PM;gulnur.aka;image-2026-02-11-16-21-48-678.png;http://192.168.124.186:8080/secure/attachment/15895/image-2026-02-11-16-21-48-678.png</t>
  </si>
  <si>
    <t>0|hzzzvm:y</t>
  </si>
  <si>
    <t>MU Sprint 2026/5-7</t>
  </si>
  <si>
    <t>MU-214</t>
  </si>
  <si>
    <t>Mobil uygulama sunumu ve hazırlık süreci.;13/Feb/26 4:07 PM;melih.cesur;10800</t>
  </si>
  <si>
    <t>Backlog ref. toplantısına katıldım.;18/Feb/26 4:15 PM;melih.cesur;1800</t>
  </si>
  <si>
    <t>0|i01f3g:</t>
  </si>
  <si>
    <t>Teste başlamadan önce hesabın mevcut durumunu kaydedin._x000D_
 * *İşlem:* {{Turkkep.test@hs03.kep.tr}} hesabının sistem üzerindeki mevcut statüsünü sorgula._x000D_
_x000D_
 * *Not Edilecek:* Başlangıç Statüsü (Örn: Aktif, Pasif, Kilitli)._x000D_
_x000D_
h3. 2. Test Adımları ve Statü Takibi_x000D_
|*Sıra*|*İşlem Adımı*|*Kontrol Noktası*|*Statü Notu (Her adımda yazılacak)*|_x000D_
|*1*| _x000D_
 *IVR Şifre Talebi:* 0850 Türkkep Çağrı Merkezi üzerinden "Şifremi Unuttum" menüsüyle SMS şifresi talep edilir._x000D_
  _x000D_
  |SMS telefona ulaştığında kullanıcının statüsünde bir değişim oldu mu?| |_x000D_
|*2*| | | |_x000D_
|*3*| _x000D_
 *Mobil Uygulama Girişi:* Mobil uygulama açılır, aynı KEP adresi ve SMS şifresi girilerek "Giriş" butonuna basılır._x000D_
  _x000D_
  | _x000D_
 *Kritik Adım:* Uygulama hata veriyor mu yoksa şifre yenileme ekranını açıyor mu?  Bu aşamada statü değişti mi?_x000D_
  _x000D_
  | |_x000D_
|*4*|*Şifre Güncelleme:* Web Mail veya Mobil üzerinden (hangisi izin verirse) yeni kalıcı şifre oluşturulur.|Yeni şifre tanımlandıktan sonra sistemdeki nihai statü nedir?| |_x000D_
h3. 3. Beklenen ve Gerçekleşen Sonuçlar_x000D_
 *  _x000D_
_x000D_
*Beklenen Sonuç:* Mobil uygulamanın Web Mail ile senkronize çalışarak geçici şifreyi kabul etmesi ve kullanıcıyı "Yeni Şifre Oluşturma" ekranına yönlendirmesidir. Her işlem adımında kullanıcı statüsünün tutarlı şekilde (beklenen akışa göre) güncellenmesi gerekir._x000D_
  _x000D_
  _x000D_
 *  *Gerçekleşen Sonuç (Hata):* Mevcut durumda mobil uygulama IVR şifresi ile giriş yapamamakta ve hata döndürmektedir. Kullanıcı şifre yenileme adımına geçemediği için uygulama içinde kalmaktadır._x000D_
  _x000D_
  _x000D_
_x000D_
 </t>
  </si>
  <si>
    <t>0|i01a52:3zz3jjg</t>
  </si>
  <si>
    <t>18/Feb/26 1:41 PM;Remzi.Sefer;CRM tarafında ilgili güncellenme sağlanmıştır.</t>
  </si>
  <si>
    <t>KEPSprint 2026/7-8</t>
  </si>
  <si>
    <t>KA Sprint 2026/5-7</t>
  </si>
  <si>
    <t>KA-1590</t>
  </si>
  <si>
    <t>Windows servis log kayıtları incelendi._x000D_
_x000D_
Ekip içi görüşme yapıldı._x000D_
_x000D_
Kod incelemesi yapıldı._x000D_
_x000D_
Uets ile ilgili işleyiş üzerinde inceleme yapıldı.;09/Feb/26 4:54 PM;batuhan.tufan;23400</t>
  </si>
  <si>
    <t>Windows servis log kayıtları incelendi._x000D_
_x000D_
Ekip içi görüşme yapıldı._x000D_
_x000D_
Kod incelemesi yapıldı._x000D_
_x000D_
PdfOfWord dönüşümünde Etys tarafında alınan hata ile ilgili inceleme yapıldı. Bu doğrultuda bilgilendirme ve yönlendirme yapıldı._x000D_
_x000D_
ma3api 2.4 versiyonu ile Fatura tarafında incelemeler ve denemeler yapıldı.;10/Feb/26 4:59 PM;batuhan.tufan;28800</t>
  </si>
  <si>
    <t>Windows servis log kayıtları incelendi._x000D_
_x000D_
Ekip içi görüşme yapıldı._x000D_
_x000D_
Kod incelemesi yapıldı._x000D_
_x000D_
Müşterimizden gelen log isteği ile ilgili bilgilendirme ve yönlendirme yapıldı.;11/Feb/26 5:10 PM;batuhan.tufan;25200</t>
  </si>
  <si>
    <t>Windows servis log kayıtları incelendi._x000D_
_x000D_
Ekip içi görüşme yapıldı._x000D_
_x000D_
Kod incelemesi yapıldı._x000D_
_x000D_
ma3api 2.4 versiyonu ile Fatura tarafında incelemeler yapıldı._x000D_
_x000D_
e-Dönüşüm Çalışmaları Hak. toplantıya katılım sağlandı.;12/Feb/26 5:03 PM;batuhan.tufan;23400</t>
  </si>
  <si>
    <t>Windows servis log kayıtları incelendi._x000D_
_x000D_
Ekip içi görüşme yapıldı._x000D_
_x000D_
Kod incelemesi yapıldı._x000D_
_x000D_
Süreç işleyişi ile ilgili inceleme yapıldı._x000D_
_x000D_
Fatura tarafında yaşanan CPU problemi ile ilgili inceleme yapıldı.;13/Feb/26 5:05 PM;batuhan.tufan;23400</t>
  </si>
  <si>
    <t>Windows servis log kayıtları incelendi._x000D_
Ekip içi görüşme yapıldı._x000D_
Kod incelemesi yapıldı._x000D_
Etys tarafında hata alan müşterimiz ile ilgili yönlendirme yapıldı. İlgili hata için veritabanı üzerinden organizasyon kontrollerinin yapılması için bilgilendirme yapıldı._x000D_
Fatura tarafında test ortamda UrlShorter ile ilgili inceleme yapıldı. İlgili sistem için config düzenlemesi yapıldı._x000D_
Kıdemli Yazılım Mimarı ile tanışma toplantısı yapıldı.;16/Feb/26 5:09 PM;batuhan.tufan;23400</t>
  </si>
  <si>
    <t>Windows servis log kayıtları incelendi._x000D_
Ekip içi görüşme yapıldı._x000D_
Kod incelemesi yapıldı._x000D_
Ar-Ge Proje Önerisi Değerlendirme Toplantısına katılım sağlandı._x000D_
Kep Assist + MYS Backlog Refinement toplantısına katılım sağlandı.;17/Feb/26 5:07 PM;batuhan.tufan;23400</t>
  </si>
  <si>
    <t>Sorentum Teknoloji Sözleşme Süreci Hk. toplantısına katılım sağlandı._x000D_
Yerinde kurulum müşterimizin aldığı hata ile ilgili yönlendirme yapıldı._x000D_
Ekip içi görüşmeler yapıldı.;18/Feb/26 4:57 PM;batuhan.tufan;9000</t>
  </si>
  <si>
    <t>Windows servis log kayıtları incelendi._x000D_
_x000D_
Ekip içi görüşme yapıldı._x000D_
_x000D_
Kod incelemesi yapıldı.;19/Feb/26 5:12 PM;batuhan.tufan;10800</t>
  </si>
  <si>
    <t>0|i013z2:tzzzzzzzzzzzzz8zzo</t>
  </si>
  <si>
    <t>KA-1589</t>
  </si>
  <si>
    <t>Süreç kuyruğu takibi yapıldı ve genel kontroller sağlandı._x000D_
_x000D_
Kod tarafında incelemeler yapıldı._x000D_
_x000D_
Test tarafında oto yanıt oluşmaması ile ilgili incelemeler yapıldı._x000D_
_x000D_
KA-1587 maddesinin testi hakkında bilgilendirme yapıldı._x000D_
_x000D_
Windows servis log dosyaları incelendi._x000D_
_x000D_
Ekip içi görüşme yapıldı.;09/Feb/26 5:20 PM;recep.simsek;21600</t>
  </si>
  <si>
    <t>Süreç kuyruğu takibi yapıldı ve genel kontroller sağlandı._x000D_
_x000D_
Kod tarafında incelemeler yapıldı._x000D_
_x000D_
Test tarafında PdfOfWord convert edilirken oto yanıt oluşmama hatası ile ilgili incelemeler yapıldı. Ekip içi görüşme yapıldı. Config tarafında düzenleme yapıldı._x000D_
_x000D_
Sunucuların kaynak değerleri ve windows servis log dosyaları incelendi._x000D_
_x000D_
Ekip içi görüşme yapıldı.;10/Feb/26 5:15 PM;recep.simsek;23400</t>
  </si>
  <si>
    <t>Süreç kuyruğu takibi yapıldı ve genel kontroller sağlandı._x000D_
_x000D_
Kod tarafında incelemeler yapıldı._x000D_
_x000D_
Extention tarafında log basmaması üzerine süreç servisi stop start edildi._x000D_
_x000D_
Windows servis log dosyaları incelendi._x000D_
_x000D_
Ekip içi görüşme yapıldı.;11/Feb/26 5:23 PM;recep.simsek;21600</t>
  </si>
  <si>
    <t>Süreç kuyruğu takibi yapıldı ve genel kontroller sağlandı._x000D_
_x000D_
Kod tarafında inceleme ve araştırma yapıldı._x000D_
_x000D_
Windows servis log dosyaları incelendi._x000D_
_x000D_
Ekip içi görüşme yapıldı.;12/Feb/26 5:13 PM;recep.simsek;19800</t>
  </si>
  <si>
    <t>Süreç kuyruğu takibi yapıldı ve genel kontroller sağlandı._x000D_
_x000D_
Kod tarafında inceleme yapıldı._x000D_
_x000D_
Api tarafında yapılan değişiklikler Türkkep Tools projesine entegre edildi,_x000D_
_x000D_
Windows servis log dosyaları incelendi._x000D_
_x000D_
Ekip içi görüşme yapıldı.;13/Feb/26 5:08 PM;recep.simsek;21600</t>
  </si>
  <si>
    <t>Süreç kuyruğu takibi yapıldı ve genel kontroller sağlandı._x000D_
_x000D_
Kod tarafında incelemeler yapıldı._x000D_
_x000D_
Hata alan organizasyon ile ilgili bilgilendirme yapıldı._x000D_
_x000D_
Windows servis log dosyaları incelendi._x000D_
_x000D_
Ekip içi görüşme yapıldı.;16/Feb/26 5:09 PM;recep.simsek;21600</t>
  </si>
  <si>
    <t>Süreç kuyruğu takibi yapıldı ve genel kontroller sağlandı._x000D_
_x000D_
Kod tarafında incelemeler yapıldı._x000D_
_x000D_
Kep Assist + MYS Backlog Refinement toplantısına katılım sağlandı._x000D_
_x000D_
Süreci takılı kalan iletiler ile ilgili bilgilendirme yapıldı._x000D_
_x000D_
Windows servis log dosyaları incelendi._x000D_
_x000D_
Ekip içi görüşme yapıldı.;17/Feb/26 5:52 PM;recep.simsek;21600</t>
  </si>
  <si>
    <t>Süreç kuyruğu takibi yapıldı ve genel kontroller sağlandı._x000D_
_x000D_
Kod tarafında incelemeler yapıldı._x000D_
_x000D_
Yerinde kurulum müşterimizin süreç hatasından dolayı sürekli gelen mail bildirimleri ile ilgili bilgilendirme ve yönlendirme yapıldı._x000D_
_x000D_
Windows servis log dosyaları incelendi._x000D_
_x000D_
Ekip içi görüşme yapıldı.;18/Feb/26 5:02 PM;recep.simsek;23400</t>
  </si>
  <si>
    <t>Süreç kuyruğu takibi yapıldı ve genel kontroller sağlandı._x000D_
_x000D_
Kod tarafında incelemeler yapıldı._x000D_
_x000D_
Windows servis log dosyaları incelendi._x000D_
_x000D_
Ekip içi görüşme yapıldı.;19/Feb/26 5:24 PM;recep.simsek;21600</t>
  </si>
  <si>
    <t>0|i013z2:tzzzzzzzzzzzzz8zzk</t>
  </si>
  <si>
    <t>Test ortamında portal imzalama senaryolarında hata görülmemiştir.;10/Feb/26 12:57 PM;gurkan.guney;7200</t>
  </si>
  <si>
    <t>10/Feb/26 12:57 PM;gurkan.guney;Test ortamında portal imzalama senaryolarında hata görülmemiştir.</t>
  </si>
  <si>
    <t>IEU-327</t>
  </si>
  <si>
    <t>Sigorta Bilgi Gözetim Merkezi firması için eyp logları incelendi.;16/Feb/26 5:30 PM;berrin.akan;1800</t>
  </si>
  <si>
    <t>Mobil backlog toplantısına katılındı._x000D_
_x000D_
Bug maddeleri için ekip ile toplantı yapıldı.;18/Feb/26 5:10 PM;berrin.akan;3600</t>
  </si>
  <si>
    <t>Entegrasyon suit backlog toplantısına katılındı._x000D_
_x000D_
Co-one rapor değerlendirmesi toplantısına katılındı.;18/Feb/26 5:12 PM;berrin.akan;3600</t>
  </si>
  <si>
    <t>0|i01f44:</t>
  </si>
  <si>
    <t>IEU Sprint 2026/6-7</t>
  </si>
  <si>
    <t>IEU-326</t>
  </si>
  <si>
    <t>0|i01f3w:</t>
  </si>
  <si>
    <t>IEU-325</t>
  </si>
  <si>
    <t>0|i01f3o:</t>
  </si>
  <si>
    <t>aysenur.bilgic</t>
  </si>
  <si>
    <t>İmza testlerinde ki swagger ortamı postman e de taşınmıştır._x000D_
_x000D_
hsm/token/controller_x000D_
_x000D_
timestamp/controller_x000D_
_x000D_
sign/controller/v1  başlıklar altında ki testler yapılmış olup diğer senaryolar için devam edilmektedir. _x000D_
_x000D_
 _x000D_
_x000D_
 ;10/Feb/26 5:33 PM;aysenur.bilgic;14400</t>
  </si>
  <si>
    <t>761406618  -----&gt;  761406617 slotta güncelleme olmuştur bu yüzden yapılan testlerde güncelleme olmuştur. _x000D_
_x000D_
test denemelerine devam edilmektedir. _x000D_
_x000D_
hsm/sign/controller ;11/Feb/26 6:00 PM;aysenur.bilgic;19800</t>
  </si>
  <si>
    <t>hsm/sign/controller -v1_x000D_
_x000D_
hsm/sign/controller  adımından devam edilmektedir._x000D_
_x000D_
alınan bulgular not alınmaktadır._x000D_
_x000D_
postmanda test sürelerinde sorunlar vardır yarın tan abi ile incelenecektir._x000D_
_x000D_
[http://192.168.120.191:8090/api/v1/hsm/sign/advanced]  PADES-TRANSFORMED_ENVELOPED testing senaryosunda kaldım_x000D_
_x000D_
 ;12/Feb/26 5:30 PM;aysenur.bilgic;25200</t>
  </si>
  <si>
    <t>[http://192.168.120.191:8090/api/v1/hsm/sign/advanced/base64]_x000D_
_x000D_
denemelerinden devam ediliyor slot:....15 ile  ENVELOPING pades te kalındı._x000D_
_x000D_
postman da yaşanan sorunlar devam ediyor.. Tan abi ile bakılmadı. ptesi tekrar hatırlatılacak._x000D_
_x000D_
gerekli olmayan bulgular not alındı._x000D_
_x000D_
ptesi senaryoları excel e çevirmiş halini halledip senaryolar oradan takip edilecek._x000D_
_x000D_
 ;13/Feb/26 5:25 PM;aysenur.bilgic;25200</t>
  </si>
  <si>
    <t>Testlere devam edildi Ömer abi ile hsm sunucusu yavaşlığı konusunda iletişime geçildi kalan testleri bitirip son bulguların kontrollerini yapıp yarın göndermeyi planlıyorum._x000D_
_x000D_
XADES ADVANCED'ta kaldım.;17/Feb/26 7:46 AM;aysenur.bilgic;27000</t>
  </si>
  <si>
    <t>Toplantı sonrası fazla senaryolar temizlenmiş olup imzager denemeleri yapılıp bulgulara eklenmiştir. İmzager de XADES için çift imzalama sadece zarflanmış zaman damgalı imzalama da olmuyor. Ertesi gün düzenlenen belgeler Remzi beye iletilmiştir.Diğer testlerin kontrolleri sağlanmıştır.;17/Feb/26 12:39 PM;aysenur.bilgic;10800</t>
  </si>
  <si>
    <t>Döküman düzenleme, fazla senaryoların çıkarılması, imzager de istenilen testlerin teyit edilmesi ve bulunan bulguların gözden geçirilmesi tamamlanmıştır. Yarın sabah Remzi beye dosyanın son hali iletilecektir.;18/Feb/26 8:34 AM;aysenur.bilgic;10800</t>
  </si>
  <si>
    <t>18/Feb/26 9:02 AM;aysenur.bilgic;HSM_güncel_bulgular.docx;http://192.168.124.186:8080/secure/attachment/15910/HSM_g%C3%BCncel_bulgular.docx</t>
  </si>
  <si>
    <t>17/Feb/26 12:38 PM;aysenur.bilgic;hsmmerkeziimza.docx;http://192.168.124.186:8080/secure/attachment/15908/hsmmerkeziimza.docx</t>
  </si>
  <si>
    <t>17/Feb/26 12:39 PM;aysenur.bilgic;[^hsmmerkeziimza.docx] test bitti bulgular ekte yer almaktadır _x000D_
_x000D_
Remzi beye de iletildi</t>
  </si>
  <si>
    <t>18/Feb/26 9:02 AM;aysenur.bilgic;[^HSM_güncel_bulgular.docx] ekte güncel bulgular dosyası yer almaktadır. </t>
  </si>
  <si>
    <t>Portal - Gelen Faturalar Ekranında Excele Döviz Kuru Sütununun Eklenmesi</t>
  </si>
  <si>
    <t>EFT-2373</t>
  </si>
  <si>
    <t>Lowest</t>
  </si>
  <si>
    <t>Dövizli kur ile oluşturulan fatura işlemlerinde(dövizli işlem yapılan tüm fatura senaryo ve tipleri dahil), Excel raporu indirildiğinde fatura oluşturma sırasında girilen döviz kurunu Excel çıktısında da görebilmek istiyorum. Böylece raporlar üzerinden doğru kur bilgisiyle kontrol ve karşılaştırma yapabilirim._x000D_
h3. *Kabul Kriterleri*_x000D_
 * Dövizli kur girilerek oluşturulan faturalar için Excel raporuna yeni bir *“Kur”* sütunu eklenmelidir._x000D_
_x000D_
 * Excel’de gösterilen kur değeri, fatura oluşturulurken girilen kur değeri ile birebir aynı olmalıdır._x000D_
_x000D_
 * TL faturalar için bu sütun boş veya “-” olarak gösterilebilir._x000D_
_x000D_
 * Mevcut Excel rapor formatındaki diğer sütunlar ve veriler etkilenmemelidir._x000D_
_x000D_
İşlem [https://eftestprt.turkkep.com.tr/Invoice/IncomingInvoice] Gelen Faturalar sayfası için geliştirme yapılacaktır_x000D_
_x000D_
 </t>
  </si>
  <si>
    <t>Gelen Faturalar Ekranında Excele Döviz Kuru Sütununun Eklenmesi konusunda kod incelemesi yapıldı._x000D_
Destek ekibi ve test ekibi ile görüşülerek gerekli bilgilendirme yapıldı.;12/Feb/26 5:02 PM;cem.kara;7200</t>
  </si>
  <si>
    <t>Gelen Faturalar Ekranında Excele Döviz Kuru Sütununun Eklenmesi konusunda kod incelemesi yapıldı._x000D_
 Destek ekibi ve test ekibi ile görüşülerek gerekli bilgilendirme yapıldı.;12/Feb/26 5:06 PM;emre.yilmaz;7200</t>
  </si>
  <si>
    <t>0|i01c2w:</t>
  </si>
  <si>
    <t>18/Feb/26 3:47 PM;atakan.akyildiz;Bu geliştirmenin teknik altyapı açısından yapılmasının mümkün olmadığı bilgisi alındı. Ancak bu ihtiyacı karşılayan bir ekran mevcutta portalde bulunmaktadır. Raporlar sayfası -&gt; Gelen Fatura Kalemleri Export -&gt; Listeden ilgili döviz kurlu faturalar seçilir. Kalemleri Listele butonu tıklanır. -&gt; Alttaki tabloya bu seçilen faturalar gelir. Burada döviz kuru görüntülenip export alınabilir.</t>
  </si>
  <si>
    <t>Bir işletme sahibi olarak müşterilere kesmiş olduğum e-arşiv faturalarımı geçmiş dönük görüntülemek, incelemek, excel ile raporlamak ve kontrol edebilmek istiyorum. Böylece filtrelediğim tarihler aralığında aylık, haftalık toplam satışlarımı takip edebilirim._x000D_
 * Raporlar -&gt; Giden Fatura Kalemleri Raporunun benzeri bir sayfa e-Arşiv Fatura delil tipi için eklenecek_x000D_
_x000D_
*Kabul Kriterleri:*_x000D_
 # Delil tipi olarak e-Arşiv Fatura eklenecek_x000D_
 # e-Arşiv Fatura için de tabloda tüm veriler doğru olarak gösteriliyor olmalı_x000D_
 # Excel ile indirme, filtreleme, sıralama e-Arşiv Fatura için sorunsuz çalışıyor olmalı_x000D_
 # Raporlar sayfası altında e-Arşiv Fatura Raporu sayfası eklenecek</t>
  </si>
  <si>
    <t>Giden kalem rapor sayfası örnek alınarak e-arşiv için yapılacak çalışma için kod üzerinde incelemeler yapıldı. Farklılıklar belirlendi. Gerekli yapının kurulması için çalışıldı.;05/Feb/26 4:43 PM;mert.tanel;10800</t>
  </si>
  <si>
    <t> E-Arşiv faturalar için yapılacak bu çalışma için kod üzerinde incelemeler yapıldı. Gerekli yapı için inceleme yapıldı.;05/Feb/26 4:44 PM;batuhan.tufan;10800</t>
  </si>
  <si>
    <t>Yeni Controller oluşturuldu. Aksiyon metotları oluşturuldu. Listeleme ekranı için önyüz sayfası oluşturuldu. Gerekli script fonksiyonları oluşturuldu. Yapılan denemelerde bazı çıkan hatalar giderildi.;06/Feb/26 5:07 PM;mert.tanel;21600</t>
  </si>
  <si>
    <t>Script fonskiyonları ile listeleme, excele aktarım metotları aktif hale getirildi. Alınan hataların giderilmesi için çalışma yapıldı. Ekran ve menü tanımları Overframe üzerinden yapıldı. Geliştirme test ortamına aktarıldı._x000D_
_x000D_
https://eftestprt.turkkep.com.tr/EArchive/SentArchiveLineExport;09/Feb/26 2:33 PM;mert.tanel;21600</t>
  </si>
  <si>
    <t>Raporlar menüsünde earşiv faturalar için kalemleri excele aktarma ve faturaları excele aktarma işlemleri kontrol edildi._x000D_
Kalem içerikleri kontrol edildi.;10/Feb/26 5:03 PM;hamza.ceylan;21600</t>
  </si>
  <si>
    <t>0|i01bxr:ji</t>
  </si>
  <si>
    <t>EFT Sprint 2026/7-8</t>
  </si>
  <si>
    <t>batikan.ozturk</t>
  </si>
  <si>
    <t>UKDS Entegrasyonu Kapsamında Mevcut Müşteri Verilerinin CRM Üzerinden Aktarımı</t>
  </si>
  <si>
    <t>CRM-817</t>
  </si>
  <si>
    <t>KEPIK Entegrasyon Sözleşme Tipli ERP Alanı</t>
  </si>
  <si>
    <t>CRM-814</t>
  </si>
  <si>
    <t>CRM Sprint 2026/7-8</t>
  </si>
  <si>
    <t>UKDS Otomasyonu - Bireysel Otomasyon Ek Kurallar</t>
  </si>
  <si>
    <t>CRM-805</t>
  </si>
  <si>
    <t>CRM-803</t>
  </si>
  <si>
    <t>0|i01f37:o</t>
  </si>
  <si>
    <t>CRM-802</t>
  </si>
  <si>
    <t>0|i01f37:c</t>
  </si>
  <si>
    <t>IVR sistemi üzerinden alınan şifre web tarafında çalışırken mobil tarafta çalışmamaktadır. Mobil tarafdan gelen yönlendirmeye göre de passwd alanının web de olduğu gibi güncellenmesi gerekmektedir._x000D_
_x000D_
Rehber DB altındaki kep_bireysel ve kep_kurumsal tablolarında bulunan "passwd" alanı güncellenmelidir.</t>
  </si>
  <si>
    <t>0|i01f37:p</t>
  </si>
  <si>
    <t>18/Feb/26 1:07 PM;ahmet.hekim;[~gurkan.guney]_x000D_
_x000D_
IVR süreci için Cemal Beyden destek alındı, düzenlenmiştir.</t>
  </si>
  <si>
    <t>09/Feb/26 3:03 PM;ahmet.hekim;[~kemal.gur]_x000D_
Entegrasyon Suit -Üyelik/Lisans 1 Yıl_x000D_
Entegrasyon Suit -KEP Modülü Üyelik/Lisans 1 Yıl_x000D_
_x000D_
bu ürünlerin ürün modülünde  period tarihleri  12 ay, kodda +24 ay daha ekleyip sözleşme oluşturduğumuzda bir karışıklığa yol açmaz mı ?_x000D_
sözleşmeye giren operasyondan yetkilisi veya. raporları incleyen biri için. _x000D_
bunun için operasyon bilgilendirildi mi onayı alındı mı ona göre yukarıdaki sürece göre geliştirme başlatalım.</t>
  </si>
  <si>
    <t>09/Feb/26 3:12 PM;kemal.gur;1 yıllıklarda normal 1 yıl oluşacak, 3 yıllıklarda 3 yıllık oluşacak. 1 yılın üzerinden 3 yıllık verilmeyecek. [~ahmet.hekim]</t>
  </si>
  <si>
    <t>09/Feb/26 4:52 PM;ahmet.hekim;bigilendirme sağlandığı için bu şekilde geliştirme yapılmıştır._x000D_
_x000D_
[~gurkan.guney]</t>
  </si>
  <si>
    <t>Kurumsal KEP siparişlerinde ana işlem yetkilisi eklendikten sonra ilgili hesap açılana kadar "ek işlem yetkilisi" kaydı eklenememelidir._x000D_
_x000D_
Sipariş detayında doküman onay tipi e-devlet ise 1 tane işlem yetkilisi olmalıdır. Eğer aynı kayıt için ikinci bir işlem yetkilisi eklenmek istediğinde hesap açılana kadar izin verilmemelidir._x000D_
_x000D_
Sipariş detayı ekranında doküman onay tipi ıslak imza olup, e-devlet olarak güncellenmek istenirse işlem yetkilisi adedi 1 olmalıdır. Birden fazla ise doküman onay tipinin e-devlet olarak güncellenmesi engellenmelidir._x000D_
_x000D_
İşlem yetkilisi kaydı teklif ve sipariş detayı ekranlarındaki alt panelden oluştur butonu ile eklenmektedir.</t>
  </si>
  <si>
    <t>19/Feb/26 2:12 PM;ahmet.hekim;[~kemal.gur]_x000D_
işlem yetkilisi ekleme alanı devcrmde teklif ve sipariş modüllerinin altında, alt panelden olustur diyerek eklenmektedir._x000D_
Canlıda da bu şekilde mi, yoksa baska bir alan veya buttondan eklenebiliniyor mu kontrolünü rica ederim ? </t>
  </si>
  <si>
    <t>19/Feb/26 2:54 PM;kemal.gur;İşlem yetkilisi ekleme canlı da da teklif ve sipariş modüllerinin altındaki panelden eklenmektedir. [~ahmet.hekim]</t>
  </si>
  <si>
    <t>MERSİS sorgu dokümanı CRM üzerinde müşteri kaydı oluştuğunda, müşteri kaydı altına eklenmektedir. Fakat UKDS sisteminden gelen kayıtlar için UKDS tarafında kayıt henüz CRM sistemine gelmeden MERSİS sorgusu yapılıyor._x000D_
_x000D_
CRM sisteminde ise müşteri kaydı henüz oluşmadığı için MERSİS sorgu dokümanı eklenemiyor ve hataya düşüyor._x000D_
_x000D_
 _x000D_
_x000D_
Bunun için kayıt UKDS sisteminden gelirken, kurumsal kayıtların MERSİS sorgusu var mı? var ise MERSİS dokümanı eklenecek._x000D_
_x000D_
Ek olarak sorgulanan VKN'nin CRM sisteminde müşteri kaydı yok ise bu kayıtlar 1 gün sonra tekrar kontrol  edilecek ve CRM sisteminde müşteri kaydı bulunuyor ise doküman müşteri kaydının altına eklenecektir._x000D_
_x000D_
 </t>
  </si>
  <si>
    <t>16/Feb/26 4:35 PM;ahmet.hekim;[~gurkan.guney]_x000D_
_x000D_
 _x000D_
_x000D_
kds üzerinden gelen basvuruların başarılı mersis sorgusu var ise müşteri oluşturulduktan sonra dokumanlar modülüne mersis pdf yüklenip müşteri ile ilişkilendirilmiştir</t>
  </si>
  <si>
    <t>EFT-2381</t>
  </si>
  <si>
    <t>Konnektör YTBISTISNA Faturalarda İstisna Kodu Yazmaması</t>
  </si>
  <si>
    <t>EFT-2380</t>
  </si>
  <si>
    <t>Konnektör İrsaliye Oluşturma Sayfası Kalem Kopyalama Özelliği</t>
  </si>
  <si>
    <t>EFT-2379</t>
  </si>
  <si>
    <t>Konnektör IDIS Fatura Taslaklara Kopyalama</t>
  </si>
  <si>
    <t>EFT-2378</t>
  </si>
  <si>
    <t>Portalda İhraç Kayıtlı Faturada Muafiyet Nedeni Hatası Hk.</t>
  </si>
  <si>
    <t>EFT-2377</t>
  </si>
  <si>
    <t>İrsaliye oluşturma sayfası adres alanları mapping ve kopyalama hatası</t>
  </si>
  <si>
    <t>EFT-2376</t>
  </si>
  <si>
    <t>Tevkifatlı fatura tipinde satır bazlı tevkifat zorunluluğu hatası</t>
  </si>
  <si>
    <t>Gürkan Güney</t>
  </si>
  <si>
    <t>Tamamlandı</t>
  </si>
  <si>
    <t>Gülnur AKA</t>
  </si>
  <si>
    <t>Test Edilecek</t>
  </si>
  <si>
    <t>Uğur Açık</t>
  </si>
  <si>
    <t>Ayşenur Bilgiç</t>
  </si>
  <si>
    <t>Ömer Türkmen</t>
  </si>
  <si>
    <t>Berrin Akan</t>
  </si>
  <si>
    <t>Yapılacaklar</t>
  </si>
  <si>
    <t>Remzi SEFER</t>
  </si>
  <si>
    <t>Batuhan Tufan</t>
  </si>
  <si>
    <t>KA-1596</t>
  </si>
  <si>
    <t>UETS ve KEP Alım Servislerinin Ayrıştırılması</t>
  </si>
  <si>
    <t>KA-1597</t>
  </si>
  <si>
    <t>Recep Şimşek</t>
  </si>
  <si>
    <t>KA-1602</t>
  </si>
  <si>
    <t>İleti Raporu Sayfasında 500 Internal Server Error</t>
  </si>
  <si>
    <t>KA-1603</t>
  </si>
  <si>
    <t>Miat" Alanı Boş Olduğunda Oluşan Log Şişmesi</t>
  </si>
  <si>
    <t>Devam Ediyor / İşlemde</t>
  </si>
  <si>
    <t>IMC-1</t>
  </si>
  <si>
    <t>İmza Client Jar Test Bulguları</t>
  </si>
  <si>
    <t>İmza Client JAR</t>
  </si>
  <si>
    <t>Başvuru ve Ödeme Adımının Parametrik Yönetimi</t>
  </si>
  <si>
    <t>Melih Cesur</t>
  </si>
  <si>
    <t xml:space="preserve"> 2FA uygulama içi araştırma- Geliştirme öncesi madde</t>
  </si>
  <si>
    <t>CRM-809</t>
  </si>
  <si>
    <t>Halkbank Projesi - Statü Tetikleme Ek Geliştirme</t>
  </si>
  <si>
    <t>CRM-821</t>
  </si>
  <si>
    <t>Halkbank Projesi - Productlist Ürün Tanımları</t>
  </si>
  <si>
    <t>CRM-811</t>
  </si>
  <si>
    <t>KEPIK Hesap Açılışında Mükerrerlik ve Sipariş Durumu Kontrolleri</t>
  </si>
  <si>
    <t>CRM-822</t>
  </si>
  <si>
    <t>CRM Sistemine Chat Bot Eklenmesi</t>
  </si>
  <si>
    <t>MU-223</t>
  </si>
  <si>
    <t>ES-306</t>
  </si>
  <si>
    <t>In progress</t>
  </si>
  <si>
    <t>e-Saklama Code Refactoring</t>
  </si>
  <si>
    <t>EDF-824</t>
  </si>
  <si>
    <t>e-Defter Code Refactoring</t>
  </si>
  <si>
    <t>ES-305</t>
  </si>
  <si>
    <t>2FA Fonksiyonun Güncellenmesi</t>
  </si>
  <si>
    <t>EDF-822</t>
  </si>
  <si>
    <t>Defter Ürünü için 2FA Fonksiyonun Güncellenmesi</t>
  </si>
  <si>
    <t>EDF-821</t>
  </si>
  <si>
    <t>Defter Ürünü için 2FA Fonksiyonun Aktifleştirilmesi</t>
  </si>
  <si>
    <t>EFT 4.1</t>
  </si>
  <si>
    <t>EFT-2389</t>
  </si>
  <si>
    <t>Fatura Ürünü için 2FA Fonksiyonun Aktifleştirilmesi</t>
  </si>
  <si>
    <t>Task</t>
  </si>
  <si>
    <t>EFT-2388</t>
  </si>
  <si>
    <t>Araştırma - Fatura Ürünü için 2FA Fonksiyonunun Araştırılması</t>
  </si>
  <si>
    <t>EFT-2390</t>
  </si>
  <si>
    <t>INVOICEHISTORYID Kolon Kapasite İyileştirme Çalışması</t>
  </si>
  <si>
    <t>y</t>
  </si>
  <si>
    <t>Component/s</t>
  </si>
  <si>
    <t>Labels_1</t>
  </si>
  <si>
    <t>Watchers_5</t>
  </si>
  <si>
    <t>Outward issue link (Blocks)</t>
  </si>
  <si>
    <t>Outward issue link (Relates)_19</t>
  </si>
  <si>
    <t>Outward issue link (Relates)_20</t>
  </si>
  <si>
    <t>Outward issue link (Relates)_21</t>
  </si>
  <si>
    <t>Attachment_22</t>
  </si>
  <si>
    <t>Attachment_23</t>
  </si>
  <si>
    <t>Attachment_24</t>
  </si>
  <si>
    <t>Attachment_25</t>
  </si>
  <si>
    <t>Attachment_26</t>
  </si>
  <si>
    <t>Attachment_27</t>
  </si>
  <si>
    <t>Attachment_28</t>
  </si>
  <si>
    <t>Attachment_29</t>
  </si>
  <si>
    <t>Attachment_30</t>
  </si>
  <si>
    <t>Sprint_31</t>
  </si>
  <si>
    <t>Sprint_32</t>
  </si>
  <si>
    <t>Sprint_33</t>
  </si>
  <si>
    <t>Sprint_34</t>
  </si>
  <si>
    <t>Sprint_35</t>
  </si>
  <si>
    <t>Sprint_36</t>
  </si>
  <si>
    <t>Sprint_37</t>
  </si>
  <si>
    <t>Sprint_38</t>
  </si>
  <si>
    <t>Sprint_39</t>
  </si>
  <si>
    <t>Sprint_40</t>
  </si>
  <si>
    <t>Sprint_41</t>
  </si>
  <si>
    <t>Sprint_42</t>
  </si>
  <si>
    <t>Comment_43</t>
  </si>
  <si>
    <t>Comment_44</t>
  </si>
  <si>
    <t>Comment_45</t>
  </si>
  <si>
    <t>Comment_46</t>
  </si>
  <si>
    <t>Comment_47</t>
  </si>
  <si>
    <t>Comment_48</t>
  </si>
  <si>
    <t>Comment_49</t>
  </si>
  <si>
    <t>Comment_50</t>
  </si>
  <si>
    <t>Comment_51</t>
  </si>
  <si>
    <t>Comment_52</t>
  </si>
  <si>
    <t>Comment_53</t>
  </si>
  <si>
    <t>Comment_54</t>
  </si>
  <si>
    <t>Comment_55</t>
  </si>
  <si>
    <t>Comment_56</t>
  </si>
  <si>
    <t>Comment_57</t>
  </si>
  <si>
    <t>Comment_58</t>
  </si>
  <si>
    <t>Comment_59</t>
  </si>
  <si>
    <t>Comment_60</t>
  </si>
  <si>
    <t>Comment_61</t>
  </si>
  <si>
    <t>Comment_62</t>
  </si>
  <si>
    <t>Comment_63</t>
  </si>
  <si>
    <t>CRM Genel Müdürlük Chatbot Analiz Raporu Workflow</t>
  </si>
  <si>
    <t>YZCK-42</t>
  </si>
  <si>
    <t>CRM genel müdürlük için yapılan chatbotun cevaplanmayan soruların iletildiği excelin günlük olarak iletilmesi ve performans analizi workflowu haftalık iletilecek  şekilde geliştirme yapılmalıdır.</t>
  </si>
  <si>
    <t>0|i01ef6:c</t>
  </si>
  <si>
    <t>YZCK Sprint 4</t>
  </si>
  <si>
    <t>Agentic AI ve Copilot Agent Kullanımı / API Entegrasyonu Araştırması</t>
  </si>
  <si>
    <t>YZCK-39</t>
  </si>
  <si>
    <t>*Açıklama:*_x000D_
 Yapay Zeka ekibi, Agentic AI kullanımını ve Copilot üzerinde agent’ların nasıl çalıştırılabileceğini araştıracak. Özellikle aşağıdaki konulara odaklanılacak:_x000D_
 # *Copilot Agent Kullanımı:*_x000D_
_x000D_
 ** Copilot içerisinde agent’ların nasıl oluşturulduğu ve çalıştırıldığı, hangi senaryolarda otomatik yanıt veya aksiyon alabileceği._x000D_
_x000D_
 ** Agent’in “konuşturulması” (yani kullanıcı ile etkileşime geçmesi) için gerekli adımlar ve yapılandırmalar._x000D_
_x000D_
 # *API Key ve Entegrasyon:*_x000D_
_x000D_
 ** Agentic AI veya Copilot agent’ları kendi sistemimizde kullanabilmek için API key alınması ve bununla nasıl entegrasyon yapılabileceği._x000D_
_x000D_
 ** Agent’i harici uygulamalara bağlayarak otomatik mesaj/aksiyon senaryoları geliştirme imkanı._x000D_
_x000D_
 # *Hedef:*_x000D_
_x000D_
 ** Agent’ların uygulamada veya Copilot üzerinde etkin bir şekilde kullanılabilmesi için gerekli adımların belirlenmesi._x000D_
_x000D_
 ** API üzerinden kontrol ve veri alışverişi senaryolarının test edilmesi._x000D_
_x000D_
*Not:* Yapılacak araştırma sonucunda bir demo veya örnek kullanım dokümanı hazırlanabilir.</t>
  </si>
  <si>
    <t>agentic ai araştırmaları arge çalışması öncesi devam ediyor;27/Feb/26 5:15 PM;omer.saritoy;7200</t>
  </si>
  <si>
    <t>Agentic AI ve Copilot agent kullanımı /API entegrasyonu nasıl yapılı üzerindeki çalışmalar hala devam ediliyor .  Python Kodlarına nasıl entegre edilir ve llm nasıl kullanılır hakkında denemeler yapılıyor . ;02/Mar/26 4:44 PM;omer.saritoy;7200</t>
  </si>
  <si>
    <t>Python ve OpenAI API kullanılarak Sales ve HR ekiplerini temsil eden multi-agent bir POC geliştirildi. Agent’lar modüler yapıda tasarlandı ve ardışık çıktı paylaşımı ile entegre çalışacak şekilde kurgulandı. Auto/Sales/HR routing eklendi, Streamlit tabanlı basit bir arayüz oluşturuldu. ;03/Mar/26 4:58 PM;omer.saritoy;25200</t>
  </si>
  <si>
    <t>Python ve OpenAI API kullanılarak Sales ve HR departmanlarını temsil eden bir multi-agent POC geliştirildi. Agent’lar ayrı modüller halinde tasarlandı ve sequential output paylaşımı ile birbirlerinin çıktısını referans alacak şekilde kurgulandı. Routing mekanizması (Auto / Sales / HR) eklendi ve Streamlit ile lightweight bir web arayüzü oluşturuldu. Proje sanal ortam (venv) ile izole edildi.;03/Mar/26 5:13 PM;basak.ayverdi;25200</t>
  </si>
  <si>
    <t>Agentic AI kodu geliştirildi, oluşan hata analiz edilerek çözüldü ve proje GitHub’a pushlandı._x000D_
;04/Mar/26 6:01 PM;basak.ayverdi;18000</t>
  </si>
  <si>
    <t>Agentic AI modülüne ait kod geliştirme çalışmaları gerçekleştirildi. Geliştirme sürecinde ortaya çıkan hata senaryoları detaylı şekilde analiz edilerek kök nedenleri tespit edildi. İlgili hatalar giderilerek sistemin stabil çalışması sağlandı. Yapılan iyileştirmeler ve güncellenen kodlar test edilip doğrulandıktan sonra proje GitHub repository’sine başarılı bir şekilde pushlandı.;05/Mar/26 2:29 PM;omer.saritoy;18000</t>
  </si>
  <si>
    <t>0|i01ef0:i</t>
  </si>
  <si>
    <t>Chatbot Prompt Güncellemesi – e-İmza / Aladdin / e-SMM Sorularında Yanıt Kapsamının Genişletilmesi ve Güvenlik İfadelerinin Revizyonu</t>
  </si>
  <si>
    <t>YZCK-38</t>
  </si>
  <si>
    <t>Chatbot prompt yapısında, kullanıcıların e-İmza, Aladdin (eToken) uygulaması ve e-SMM ile ilgili sorduğu sorulara verilen yanıtların kapsamı ve doğruluğu açısından güncelleme ihtiyacı bulunmaktadır._x000D_
_x000D_
Mevcut durumda bazı sorular TÜRKKEP hizmetleri kapsamında olmasına rağmen sistem tarafından kapsam dışı olarak değerlendirilmektedir veya güvenlik açısından yanlış yönlendirmeye açık ifadeler oluşabilmektedir._x000D_
_x000D_
Aşağıdaki senaryolar için prompt güncellemeleri yapılmalıdır:_x000D_
_x000D_
*Aladdin / eToken Uygulaması*_x000D_
 * “Aladdin uygulaması nasıl açılır?”_x000D_
_x000D_
 * “Aladdin programında Initialize seçeneğine tıklarsam ne olur?”_x000D_
_x000D_
 * Bu tip sorular TÜRKKEP e-İmza hizmet kapsamına dahil edilerek doğru yönlendirme yapılmalıdır._x000D_
_x000D_
*e-SMM Terminolojisi*_x000D_
 * “e-SMM yazılı olması doğru mu?” gibi sorular TÜRKKEP e-dönüşüm hizmetleri kapsamında değerlendirilmelidir._x000D_
_x000D_
 * Gereksiz “sadece TÜRKKEP hizmetleri” uyarısı yerine açıklayıcı cevap verilmelidir._x000D_
_x000D_
*Güvenlik ve Hassas İşlemler (PIN / PUK vb.)*_x000D_
_x000D_
 ** “PUK nasıl ele geçirilir”, “sızmak”, “hacklemek” gibi ifadeler için:_x000D_
_x000D_
 *** Güvenli kullanım bilgilendirmesi yapılmalı_x000D_
_x000D_
 *** Yetkisiz erişim yönlendirmesi engellenmeli_x000D_
_x000D_
 *** Resmi edinme yöntemleri (kurumdan temin, destek kanalı vb.) anlatılmalı_x000D_
_x000D_
*Intent Algılama İyileştirmesi*_x000D_
 * e-İmza araçları, sertifika işlemleri ve token yönetimi TÜRKKEP hizmet kapsamı olarak algılanmalıdır._x000D_
_x000D_
 * Gereksiz kapsam dışı reddetme mesajları azaltılmalıdır.</t>
  </si>
  <si>
    <t>Chatbot system prompt yapısında kapsam ve intent algılama iyileştirmeleri yapılmıştır._x000D_
_x000D_
* e-İmza ekosistemi (SafeNet, Aladdin/eToken, PIN, PUK, Initialize, sertifika ve token yönetimi) açık şekilde hizmet kapsamına dahil edilmiştir. Bu tür sorular artık kapsam dışı olarak değerlendirilmemektedir._x000D_
_x000D_
* e-SMM terminoloji soruları (ör. “e-SMM yazılı olması doğru mu?”) e-dönüşüm hizmet kapsamına alınmış, gereksiz “sadece TÜRKKEP hizmetleri” uyarıları engellenmiştir._x000D_
_x000D_
* PIN/PUK ve güvenlik ifadeleri için yetkisiz erişimi engelleyen, yalnızca resmi ve güvenli yöntemleri referans alan kontrol mekanizması eklenmiştir._x000D_
_x000D_
* Intent algılama mantığı iyileştirilmiş, TÜRKKEP ile ilişkili sorularda reddetme yerine database araması ve açıklama tercih edilecek şekilde güncellenmiştir._x000D_
_x000D_
Task kapsamındaki tüm maddeler karşılanmıştır. teste hazırdır.;24/Feb/26 5:14 PM;basak.ayverdi;25200</t>
  </si>
  <si>
    <t>Güncellenen prompt task description’larına göre ilgili testler gerçekleştirilmiş ve sonuçlar kontrol edilmiştir.;25/Feb/26 5:06 PM;basak.ayverdi;14400</t>
  </si>
  <si>
    <t>Pormpt güncellemesi testleri yapıldı ;25/Feb/26 5:51 PM;omer.saritoy;10800</t>
  </si>
  <si>
    <t>24/Feb/26 3:12 PM;basak.ayverdi;24 şubat öncesi prompt.docx;http://192.168.124.186:8080/secure/attachment/15934/24+%C5%9Fubat+%C3%B6ncesi+prompt.docx</t>
  </si>
  <si>
    <t>24/Feb/26 5:13 PM;basak.ayverdi;24.02 updated prompt.docx;http://192.168.124.186:8080/secure/attachment/15935/24.02+updated+prompt.docx</t>
  </si>
  <si>
    <t>0|i01ef6:9</t>
  </si>
  <si>
    <t>YZCK-35</t>
  </si>
  <si>
    <t>Faz-2 test sonuçları üzerinde detaylı analiz ve kapsamlı inceleme çalışmaları gerçekleştirilmiştir. Bulgular doğrultusunda aktarılması gereken veriler veri tabanına (qdrant DB) işlenmiştir. Ar-Ge teknik danışmanından alınan geri bildirimler çerçevesinde Ar-Ge proje kartı revize edilerek doküman nihai versiyonuna ulaştırılmıştır.;20/Feb/26 4:56 PM;basak.ayverdi;25200</t>
  </si>
  <si>
    <t>Mac Mini üzerinde development ortamı hazırlanarak OpenCrawl kurulumu ve temel konfigürasyonları tamamlandı, OpenAI API key tanımlanarak servis entegrasyonu ve ilk test çağrıları başarıyla gerçekleştirildi. Ayrıca lokal LLM çalışmaları için Ollama kurulup servis ayağa kaldırıldı ve temel model çalıştırma doğrulamaları yapıldı.;23/Feb/26 4:41 PM;basak.ayverdi;25200</t>
  </si>
  <si>
    <t>OpenClaw araştırması kapsamında iki teknik toplantı gerçekleştirildi. Araştırma ve teknik değerlendirme süreci devam etmektedir.;25/Feb/26 5:07 PM;basak.ayverdi;10800</t>
  </si>
  <si>
    <t>Sprint toplantısına katılım sağlandı. Toplantı sonrasında Ürün Yönetimi tarafından paylaşılan doküman detaylı şekilde incelendi ve doküman içerisinde yer alan Agentic AI proje fikirleri teknik açıdan analiz edildi. Projede kullanılması planlanan Google AI Studio, Gemini GEMS ve Google OPAL çözümleri hakkında ön araştırma yapılarak bu teknolojilerin yetkinlikleri, entegrasyon kabiliyetleri ve olası kullanım senaryoları değerlendirildi. Araştırma ve PoC talep edilen proje kapsamında teknik fizibilite analizi gerçekleştirildi, olası sistem mimarisi ve entegrasyon yaklaşımı üzerine teknik strateji çalışması yapıldı ve PoC sürecinde izlenecek yol haritasına ilişkin ön çerçeve oluşturuldu.;26/Feb/26 5:08 PM;basak.ayverdi;25200</t>
  </si>
  <si>
    <t>agentic ai araştırmaları arge çalışması öncesi devam ediyor;27/Feb/26 4:14 PM;basak.ayverdi;10800</t>
  </si>
  <si>
    <t>Agentic AI ve Copilot agent kullanımı /API entegrasyonu nasıl yapılı üzerindeki çalışmalar hala devam ediliyor .  Python Kodlarına nasıl entegre edilir ve llm nasıl kullanılır hakkında denemeler yapılıyor . N8N değerlendirme analizin sonuçlarının iletilecek ilgili mailler değiştirildi ve çoklu mail gönderme işlemi yapıldı . Chat-bot CRM değerlendirme toplantısına katılım gösterildi ._x000D_
;02/Mar/26 5:06 PM;basak.ayverdi;18000</t>
  </si>
  <si>
    <t>koordinasyon toplantısına katılım sağlandı.;04/Mar/26 6:01 PM;basak.ayverdi;7200</t>
  </si>
  <si>
    <t>CERTI Toplantı Follow-Up - TURKKEP ve Chatbot Yaygınlaştırma, Orbina Yapay Zeka Uygulamaları ve POC İhtiyacı toplantılarına katılım sağlandı._x000D_
 ;05/Mar/26 5:31 PM;basak.ayverdi;10800</t>
  </si>
  <si>
    <t>0|i01ef6:r</t>
  </si>
  <si>
    <t>WIK-822</t>
  </si>
  <si>
    <t>*Açıklama:*_x000D_
 İki faktörlü kimlik doğrulama (2FA) özelliğinin akışının güncellenmesi ve mevcut altyapının güvenlik açısından iyileştirilmesi._x000D_
_x000D_
Mevcut uygulamanın aşağıdaki gereksinimlerden karşılandığı ve karşılanmadığı durum tespit edilip ilgili eksikler düzenlenmelidir. _x000D_
_x000D_
*Gereksinimleri:*_x000D_
_x000D_
Sistemlerinizde yer alan parola politikasının, şifre değiştirme aşamasında kullanıcıya ait son 3 parolanın kullanılamayacağı şekilde güncellenmesi_x000D_
 * *Şifre Kuralları (Türkkep Şartlarına Uygun)*_x000D_
 * En az *12 karakter*_x000D_
 En az 1 *büyük harf*, 1 *küçük harf*, 1 *rakam*, 1 *özel karakter*_x000D_
 *Kişisel bilgi* içermemeli (ad, doğum tarihi vs.) _x000D_
 *Sözlük kelimeleri* ve *ardışık diziler* yasaklanmalıdır. (örn. “123456”, “abcdef”)_x000D_
_x000D_
Çok faktörlü kimlik doğrulama (2FA) sistemlerinin kullanıcılar tarafından devre dışı bırakılamayacak şekilde zorunlu hale getirilmesi_x000D_
_x000D_
Kullanıcının her işlem için güvenlik kodu doğrulaması (CAPTCHA) eklenmesi_x000D_
_x000D_
*Art arda yapılan hatalı istek sayısının sınırlandırması*_x000D_
 * 3. hatalı istekten sonra 1 dk boyunca, 4.hatalı istekten sonra 5 dk, 5. hatalı istekten sonra 15 dk boyunca kullanıcı bloklanır. _x000D_
 * İlk başarısız işlemde: "Giriş denemeniz başarısız oldu, lütfen bilginizi kontrol ederek tekrar deneyiniz" mesajı kullanıcılara gösterilir._x000D_
 * 2.başarısız işlemde: "Giriş denemeniz başarısız oldu. Bir sonraki hatalı giriş denemenizde hesabınız 1 dakika süreyle geçici olarak kilitlenecektir." mesajı gösterilir._x000D_
 * 3.başarısız işlemde: "Güvenlik nedeniyle hesabınız geçici olarak kilitlenmiştir. 5 dakika sonra tekrar deneyebilirsiniz." mesajı gösterilir._x000D_
 * 4.başarısız işlemde: "Tekrarlanan hatalı giriş denemeleri nedeniyle hesabınız 15 dakika süreyle geçici olarak erişime kapatılmıştır. Lütfen daha sonra tekrar deneyiniz." mesajı gösterilir._x000D_
_x000D_
*Kabul Kriterleri:*_x000D_
 # 2FA tüm kullanıcılar için zorunlu olup kullanıcı tarafından devre dışı bırakılamaz._x000D_
 # Şifre değiştirme aşamasında kullanıcı son 3 parolasını tekrar kullanamaz._x000D_
 # Yeni şifre; minimum 12 karakter, en az 1 büyük harf, 1 küçük harf, 1 rakam ve 1 özel karakter içerir; kişisel bilgi, sözlük kelimesi ve ardışık diziler kabul edilmez._x000D_
 # Tüm giriş ve kritik işlemlerde CAPTCHA doğrulaması uygulanır._x000D_
 # Başarısız giriş senaryolarında belirtilen uyarı mesajları doğru adımda ve doğru süre bilgisi ile kullanıcıya gösterilir._x000D_
 # Başarısız girişler ve bloklama işlemleri loglanır._x000D_
 # Art arda hatalı giriş denemelerinde kademeli bloklama mekanizması çalışır:_x000D_
_x000D_
 * 3. hatalı denemede 1 dk_x000D_
 * 4. hatalı denemede 5 dk_x000D_
 * 5. hatalı denemede 15 dk erişim engeli uygulanır.</t>
  </si>
  <si>
    <t>EDF-820</t>
  </si>
  <si>
    <t>0|i00vra:zsyzgznqn</t>
  </si>
  <si>
    <t xml:space="preserve">API v2.4 POC'un İncelemesi ve Olası Değişiklik Senaryolarının Değerlendirilmesi </t>
  </si>
  <si>
    <t>WIK-821</t>
  </si>
  <si>
    <t>0|i01fb0:</t>
  </si>
  <si>
    <t>WIK Sprint 2026/ 9-10</t>
  </si>
  <si>
    <t>WIK-820</t>
  </si>
  <si>
    <t>;23/Feb/26 3:53 PM;dogukan.oncuer;3600</t>
  </si>
  <si>
    <t>Test ortamda yapılan kontroller başarılı.;24/Feb/26 9:41 AM;gurkan.guney;600</t>
  </si>
  <si>
    <t>0|i01fas:</t>
  </si>
  <si>
    <t>23/Feb/26 4:56 PM;gitlab.dev;[Dogukan Oncuer|https://git-lab.turkkep.com.tr/dogukan.oncuer] mentioned this issue in [commit 2471e928|https://git-lab.turkkep.com.tr/kepappteam/kep-ik/webik-frontend-v2/-/commit/2471e928f1f2e9074d9166ab299cfec912d19c8e] of [KEPAPPTEAM / KEP IK / Webik Frontend V2|https://git-lab.turkkep.com.tr/kepappteam/kep-ik/webik-frontend-v2] on branch [wik-812|https://git-lab.turkkep.com.tr/kepappteam/kep-ik/webik-frontend-v2/-/tree/wik-812]:{quote}Merge remote-tracking branch 'origin/WIK-820' into wik-812
{quote}</t>
  </si>
  <si>
    <t>23/Feb/26 5:00 PM;dogukan.oncuer;Doğrulama kodu font seçmeye label eklendi ve önizleme alanında doğrulama kodu prod ortamdaki gibi merkeze yazdırıldı</t>
  </si>
  <si>
    <t>24/Feb/26 9:41 AM;gurkan.guney;Test ortamda yapılan kontroller başarılı.</t>
  </si>
  <si>
    <t>WIK-819</t>
  </si>
  <si>
    <t>can ile webik test ortamı sunucuya görsel yükleme log görme toplantısı;23/Feb/26 4:35 PM;dogukan.oncuer;2400</t>
  </si>
  <si>
    <t>backlog;03/Mar/26 6:41 PM;dogukan.oncuer;5820</t>
  </si>
  <si>
    <t>0|i00vra:zsyzgzliigb91zw</t>
  </si>
  <si>
    <t>WIK-818</t>
  </si>
  <si>
    <t>0|i00vra:zsyzgzliigb91zr</t>
  </si>
  <si>
    <t>WIK-817</t>
  </si>
  <si>
    <t>0|i00vra:zsyzgzliigb91zi</t>
  </si>
  <si>
    <t>WIK-816</t>
  </si>
  <si>
    <t>0|i00vra:zsyzgzliigb91z</t>
  </si>
  <si>
    <t>;24/Feb/26 10:33 AM;dogukan.oncuer;2700</t>
  </si>
  <si>
    <t>Test ortamda yapılan kontroller başarılı._x000D_
_x000D_
Mahremiyet olan bir organizasyonda, admin olmayan kullanıcının kendisine atanan gruba ait çalışanları, Çalışanlar modülünde görüntülemesiyle ilgili bir sorun görülmemiştir.;26/Feb/26 11:03 AM;gurkan.guney;1800</t>
  </si>
  <si>
    <t>0|i00vra:zsyzgzliigb90i</t>
  </si>
  <si>
    <t>26/Feb/26 11:03 AM;gurkan.guney;Test ortamda yapılan kontroller başarılı._x000D_
_x000D_
Mahremiyet olan bir organizasyonda, admin olmayan kullanıcının kendisine atanan gruba ait çalışanları, Çalışanlar modülünde görüntülemesiyle ilgili bir sorun görülmemiştir.</t>
  </si>
  <si>
    <t>*Açıklama:*_x000D_
 Çalışanlar ekranında yer alan “Çalışan Grubu” kolonu için bilgi (i) ikonu gösterim kuralı aşağıdaki şekilde düzenlenmelidir:_x000D_
 # Çalışan grubu alanı boş ise, ilgili kolonda “-” (tire) ifadesi gösterilmelidir._x000D_
 # Çalışan grubu bilgisi satıra tam sığıyorsa, ek olarak “i” bilgi ikonu gösterilmemelidir._x000D_
 # Çalışan grubu bilgisi satıra sığmıyorsa, bu durumda “i” bilgi ikonu gösterilmelidir._x000D_
_x000D_
*Beklenen Sonuç:*_x000D_
 * Boş değerlerde “-” gösterilmelidir._x000D_
_x000D_
 * Metin sığıyorsa yalnızca metin görünmelidir._x000D_
_x000D_
 * Metin sığmadığında tooltip/bilgi gösterecek şekilde “i” ikonu görünmelidir.</t>
  </si>
  <si>
    <t>Test ortamda yapılan kontroller başarılı.;24/Feb/26 9:49 AM;gurkan.guney;900</t>
  </si>
  <si>
    <t>0|i00vra:zsyzgzliigb919</t>
  </si>
  <si>
    <t>24/Feb/26 9:49 AM;gurkan.guney;Test ortamda yapılan kontroller başarılı.</t>
  </si>
  <si>
    <t>*Açıklama:*_x000D_
_x000D_
- Çalışan Ekle sayfasında yer alan “Örnek Excel Formatı” içerisindeki e-posta örneklerinde tüm satırlarda e-posta formatı *yok@yokdefault.sep.tr* şeklinde olmalıdır._x000D_
_x000D_
- Tüm satırlarda telefon numarası örneği 5320000000 formatında olmalıdır._x000D_
_x000D_
*Mevcut durum*da örnek dosyada;_x000D_
 * yok2@yokdefault.sep.tr_x000D_
_x000D_
 * yok3@yokdefault.sep.tr_x000D_
_x000D_
gibi farklılaştırılmış ifadeler yer almaktadır._x000D_
_x000D_
*Beklenen Sonuç:*_x000D_
_x000D_
Tüm satırlarda standart örnek e-posta formatı *yok@yokdefault.sep.tr* olacak şekilde güncellenmelidir._x000D_
_x000D_
Tüm telefon numarası alanları 5320000000 formatında standart şekilde yer almalıdır.</t>
  </si>
  <si>
    <t>Test ortamda yapılan kontroller başarılı.;03/Mar/26 6:15 PM;gurkan.guney;300</t>
  </si>
  <si>
    <t>0|i00vra:zsyzgzliigb91f</t>
  </si>
  <si>
    <t>03/Mar/26 6:15 PM;gurkan.guney;Test ortamda yapılan kontroller başarılı.</t>
  </si>
  <si>
    <t>Maddenin testleri başarılı._x000D_
_x000D_
Sistem Ayarları sayfasında e-imzalıdır logosu sayfanın sağ tarafına dayatıldığında imzalı pdf'lerde taşma oluyor. logonun sağ tarafının bir kısmı görnmüyor._x000D_
_x000D_
[~ceren.sertkaya] bu konu için ayrı bir çalışma planlanabilir.;26/Feb/26 3:22 PM;gurkan.guney;1800</t>
  </si>
  <si>
    <t>26/Feb/26 3:22 PM;gurkan.guney;Maddenin testleri başarılı._x000D_
_x000D_
Sistem Ayarları sayfasında e-imzalıdır logosu sayfanın sağ tarafına dayatıldığında imzalı pdf'lerde taşma oluyor. logonun sağ tarafının bir kısmı görnmüyor._x000D_
_x000D_
[~ceren.sertkaya] bu konu için ayrı bir çalışma planlanabilir.</t>
  </si>
  <si>
    <t>çalışanlar modülü hata toplantısı;20/Feb/26 5:19 PM;dogukan.oncuer;2520</t>
  </si>
  <si>
    <t>*sprint planlama*;20/Feb/26 5:19 PM;dogukan.oncuer;7200</t>
  </si>
  <si>
    <t>Duyurunun Birden Fazla Çalışana Bağlanabilmesi</t>
  </si>
  <si>
    <t>*Açıklama:*_x000D_
_x000D_
Bu geliştirmeyle beraber fuyurular, çalışan grupları üzerinden ilişkilendirilmelidir._x000D_
_x000D_
Yeni geliştirilen duyuru gönderim ekranı ile birlikte kullanıcı;_x000D_
 * Bir veya birden fazla çalışan grubunu seçebilmelidir,_x000D_
_x000D_
 * Seçilen gruplara ek olarak, bu gruplarda yer almayan çalışanları da manuel olarak seçebilmelidir._x000D_
_x000D_
*Bu kapsamda;*_x000D_
 * Bir duyurunun tek bir çalışana değil, birden fazla çalışana doğrudan bağlanabilmesi gerekmektedir._x000D_
_x000D_
 * Grup seçimi yapılmadan yalnızca çalışan seçimiyle de duyuru gönderilebilmelidir._x000D_
_x000D_
 * Grup seçimi + manuel çalışan seçimi birlikte kullanılabilmelidir._x000D_
_x000D_
 * Aynı çalışanın hem grup hem manuel seçim yoluyla eklenmesi durumunda mükerrer kayıt oluşmamalıdır._x000D_
_x000D_
 </t>
  </si>
  <si>
    <t>0|i00vra:zsyzgzliigb91yi</t>
  </si>
  <si>
    <t>09/Feb/26 2:55 PM;gulnur.aka;Task içeriği güncellenmiştir. [~ceren.sertkaya] [~mehmetcan.olgun]</t>
  </si>
  <si>
    <t>0|i00vra:zsyzgzliigb91w</t>
  </si>
  <si>
    <t>*Amaç:*_x000D_
_x000D_
TÜBİTAK ücretli sürümü kapsamında sunulan API v2.4 POC’nin mevcut durumunun detaylı olarak analiz edilmesi ve olası bir paket değişikliğinin sistemimiz üzerindeki etkilerinin değerlendirilmesi amaçlanmaktadır._x000D_
_x000D_
Bu kapsamda;_x000D_
 * Olası versiyon değişikliklerinin sistemin üzerindeki etkilerinin belirlenmesi,_x000D_
_x000D_
 * Sistemimiz açısından riskli alanların ve bağımlılıkların tespit edilmesi,_x000D_
_x000D_
 * İlgili API v2.4 POC paketinin teknik açıdan test edilmesi,_x000D_
_x000D_
 * Canlı geçişinde ortaya çıkabilecek potansiyel sorunların önceden öngörülmesi,_x000D_
_x000D_
 * TÜBİTAK kaynaklı olarak daha önce karşılaşılan veya karşılaşılması muhtemel durumların  tespit edilmesi_x000D_
_x000D_
hedeflenmektedir._x000D_
 * Türkkep _x000D_
_x000D_
 _x000D_
_x000D_
JAVA için; +[https://safirdepo.b3lab.org/baglanti-paylasimi/PuZ9v3tf3gFnKqspiITEJbs9W9Tqavkh]+_x000D_
 .NET için; +[https://safirdepo.b3lab.org/baglanti-paylasimi/FJa2kpVHvWiEMBk4tw1n5fLE0RIK8Zqc]+</t>
  </si>
  <si>
    <t>09/Jan/26 12:10 AM;gulnur.aka;TURKKEP.zip;http://192.168.124.186:8080/secure/attachment/15817/TURKKEP.zip</t>
  </si>
  <si>
    <t>0|i00vra:zsyzgzliigb91r</t>
  </si>
  <si>
    <t>09/Jan/26 1:30 PM;gulnur.aka;Çalışma sprint dışında yer alan işlerde uygunluk kaldığında bakılarak ilerlenecektir. Bundan dolayı birden fazla sprintte tamamlanması beklenmektedir.</t>
  </si>
  <si>
    <t>Test ortamda yapılan kontroller başarılı.;24/Feb/26 3:23 PM;gurkan.guney;3600</t>
  </si>
  <si>
    <t>25/Feb/26 3:13 PM;ceren.sertkaya;use case.drawio.png;http://192.168.124.186:8080/secure/attachment/15938/use+case.drawio.png</t>
  </si>
  <si>
    <t>0|i00vra:zsyzgzliigb91c</t>
  </si>
  <si>
    <t>24/Feb/26 10:43 AM;ceren.sertkaya;2. ve 4. madde </t>
  </si>
  <si>
    <t>24/Feb/26 1:13 PM;dogukan.oncuer;[~ceren.sertkaya] [~gurkan.guney] Madde 1 tamamlandı test ortamında güncel</t>
  </si>
  <si>
    <t>24/Feb/26 3:23 PM;gurkan.guney;Test ortamda yapılan kontroller başarılı.</t>
  </si>
  <si>
    <t>Raporlama/ Duyuru Modülüne ait Verilen Filtreleme ve Raporlanması</t>
  </si>
  <si>
    <t>*Açıklama:*_x000D_
_x000D_
Duyuru modülünde gerçekleşen gönderimler için mevcuttaki raporlama ekranında kullanıcıların filtreleme yaparak Excel formatında rapor alabilmesini sağlamak._x000D_
_x000D_
*Beklenen Durum:*_x000D_
 * Kullanıcılar belirlenen alanlara göre filtreleme yapabilmelidir:_x000D_
_x000D_
Durum_x000D_
_x000D_
Çalışan Grubu_x000D_
_x000D_
Alıcı (bu alanda hem kep adresiyle hem adı – soyadı ile arama yapılabilir mi)_x000D_
_x000D_
İleti Başlığı_x000D_
_x000D_
Tarih Aralığı_x000D_
_x000D_
TC Kimlik Numarası_x000D_
_x000D_
Uygulanan filtrelere göre tablo oluşturulup raporlanmalıdır. _x000D_
 * Kullanıcıya belli period içerisinde sorgulama yapabiliyorsa kullanıcıya sistem tarafından bilgi verilmelidir. _x000D_
 * Kullanıcılar mahremiyet fonksiyonuna göre verilere erişebilmelidir. Örneğin duyuru modülü yetkisi verilmeyen bir kullanıcı raporlama ekranlarında duyuru raporu alanına erişim sağlayamamalıdır. _x000D_
_x000D_
 * Oluşturulan rapora ait excelde aşağıdaki alanlar gösterilmelidir:_x000D_
_x000D_
Gönderici Adres_x000D_
_x000D_
Gönderici Adres Yetkili Kodu_x000D_
_x000D_
Alıcı Adres_x000D_
_x000D_
Adı – Soyadı_x000D_
_x000D_
TC Kimlik Numarası_x000D_
_x000D_
İleti Başlığı_x000D_
_x000D_
İleti Durumu_x000D_
_x000D_
Gönderime ait delil bilgileri_x000D_
_x000D_
Çalışan Grubu_x000D_
_x000D_
*Analiz*_x000D_
_x000D_
Duyuru modülü içerisinden gönderilen KEP iletilerinin raporlanmasını sağlayan raporlarım modülü içerisinde arama fonksiyonunun genişletilmesi_x000D_
_x000D_
*Arama fonksiyonu* _x000D_
 Mevcut durum içerisinde arama fonksiyonu başlangıç ve bitiş tarihlerini baz almaktadır. _x000D_
 Yeni süreçte arama fonksiyonuna eklenecek olan birinci aşamada_x000D_
_x000D_
Çalışanlar, ileti konu başlığı, teslim durumu ile ilgili filtre_x000D_
_x000D_
*Teslim edilmesi ile ilgili durumun filtrelenmesi*_x000D_
_x000D_
--&gt; Bu nokta duyuru modülünde bulunan gönderilenler,başarızı,gönderiliyor ve hepsi statüleri ile ilerlenebilinir.Bu statülere göre filte içerisine kullanıcı arama yapabilir._x000D_
 bu statülerin backend’deki gerçek durum kodlarıyla birebir eşlemesi gerekmektedir._x000D_
_x000D_
---&gt;  Aynı şekilde KEP Delilleri ile süreçte ilerlenebilinir. Bu nokta müşterinin gönderdiği KEP iletisinin delillerine göre arama yapabilmesi gerekmektedir._x000D_
_x000D_
*(Excel çıktısına göre arama eşleştirilecektir.)*_x000D_
_x000D_
--teslim durumunu belirtiği filtrede eğer bir parametre seçilmediyse otomatik olarak tüm statüler ile arama yapar_x000D_
_x000D_
+- Çalışan grubu filtre olarak birinci aşamada eklenmeyecektir.+_x000D_
_x000D_
*Çalışan Seçimi Filtresi*_x000D_
_x000D_
Çalışanlar üzerinden seçim yaparak filtreleme yapabilir._x000D_
 Çalışanları ararken bir veya birden fazla seçim yapabilir. _x000D_
 Arama alanında adı soyadı, TCKN veya KEP Adresi ile arama yapabilir. _x000D_
 Min karakter (örn. 3) yoksa her tuşta sorgu sistemi yorabilir._x000D_
 “Yanlış veri girerse hiçbir seçenek gelmesin” Örn; Yanlış TCKN,yanlış ad soyad veya yanlış KEP Adresi_x000D_
 Seçim yapınca “tüm çalışanlar tek ekranda listelenmemeli” Ekran yapısına göre min ve çoğaltılabilinir bir yapı olmalı._x000D_
 Seçimler çalışanlara sağlanırken hepsi veya tekil seçim olmalıdır. Seçimler aynı şekilde tekil veya çoğul olarak kaldırabilinmelidir._x000D_
 Çalışanları seçtiği zaman tüm çalışanlar tek ekranda listelenmemeli._x000D_
_x000D_
*İleti Başlığı/ Konu Başlığı* *Filtresi*_x000D_
_x000D_
İleti başlığı parametresi göderilen KEP iletisinin konu başlığı ile eş değerlidir. Gönderilen KEP iletisinin konu başlığını yazarak arama yapabilir._x000D_
 Konu başlıkları otomatik olarak içerir fonksiyonu ile aramada yapabilir. Örn; ''test'' yazdığında sadece test başlığı değil. Aynı zamanda konu başlığında test yazan iletileri getirmelidir._x000D_
 Büyük/küçük harf duyarlılığı_x000D_
 Türkçe karakter arama yapmalı._x000D_
_x000D_
+---&gt; İçerik ile arama yapılamamaktadır. İçerik ile aramanın mevcut yapıda mümkün olmayacağı belirtilmiştir.+_x000D_
_x000D_
*Excel Çıktısı*_x000D_
_x000D_
Mevcut durumda excel çıktısı içerisinde bulunan_x000D_
_x000D_
Gönderen ve gönderici adresi, ileti başlığı, ileti içeriği, ileti durumu, oluşturma tarihi_x000D_
_x000D_
Yeni durumda excel çıktısı içerisine ek olarak_x000D_
_x000D_
ad soyadı TCKN, Çalışan grubu ilave olarak gelecektir._x000D_
_x000D_
Mevcutta ileti durumu iletinin gönderim sürecini net olarak vermemektedir. Bu sebeple gönderilen KEP iletisinin net bir şekilde delilleri rapor içerisinde listelenmektedir._x000D_
 Her gönderinin mevcut delil sutünları excel eklenebilirnir._x000D_
_x000D_
_x000D_
 ileti durumu alanına o ileti ile ilgili oluşan deliller hücre içerisie yazılabilinir. (Oluşan son delil yazılacaktır.)_x000D_
_x000D_
+Eğer daha önce hiç göndermediği bir çalışanın raporunu istersen excel çıktısında raporda ''çalışana ait gönderi bulunamamıştır'' uyarısı verilmelidir.+</t>
  </si>
  <si>
    <t>24/Feb/26 6:02 PM;ceren.sertkaya;image-2026-02-24-19-02-32-410.png;http://192.168.124.186:8080/secure/attachment/15936/image-2026-02-24-19-02-32-410.png</t>
  </si>
  <si>
    <t>23/Dec/25 11:26 AM;gulnur.aka;screenshot-1.png;http://192.168.124.186:8080/secure/attachment/15800/screenshot-1.png</t>
  </si>
  <si>
    <t>23/Dec/25 11:27 AM;gulnur.aka;screenshot-2.png;http://192.168.124.186:8080/secure/attachment/15801/screenshot-2.png</t>
  </si>
  <si>
    <t>23/Dec/25 11:27 AM;gulnur.aka;screenshot-3.png;http://192.168.124.186:8080/secure/attachment/15802/screenshot-3.png</t>
  </si>
  <si>
    <t>23/Dec/25 11:27 AM;gulnur.aka;screenshot-4.png;http://192.168.124.186:8080/secure/attachment/15803/screenshot-4.png</t>
  </si>
  <si>
    <t>25/Feb/26 3:13 PM;ceren.sertkaya;use case.drawio.png;http://192.168.124.186:8080/secure/attachment/15939/use+case.drawio.png</t>
  </si>
  <si>
    <t>0|i00vra:zsyzgznqz</t>
  </si>
  <si>
    <t>24/Feb/26 4:59 PM;ceren.sertkaya;Resim 4 süreç ile ilgili_x000D_
_x000D_
 _x000D_
_x000D_
Bu akış, sistem tarafından olumsuz değerlendirilen alternatif senaryoyu tanımlar._x000D_
 Çalışan grubu seçildiğinde, sistem ilgili gruba geçmişte atanmış ekli/eksiz *tüm çalışanları*, belirlenen tarih aralığının son gününe kadar olacak şekilde listelemelidir._x000D_
 * Çalışan grubunun eklenen veya çıkarılan tüm çalışanların listelenmesi (Bir çalışan grubun içeriğinin çalışanların grup içerisinden çıkarılması veya hesabın pasif olup grubun içinden çalışanın çıkması) için ek olarak çalışan grubunda ek bir geliştirme ve değişiklik yapılması gerekir. Her veriyi sistem üzerinde kayıt etmemiz gerekeceği için veri yapısının kontrolü sağlanamayacaktır._x000D_
 * Çalışan grubunda kişi listesi olması halinde sadece mevcut güncel ekli olan çalışanlar listelenirse. Bu durum için müşterinin bilgilendirilmesi gerekir. Fonksiyon tam anlamı ile kullanılamaz olur._x000D_
_x000D_
Her bir grup için raporlama sorgusu çalıştırıldığından, alt seviyedeki çalışanların sorgu öncesi backend tarafında filtrelenmesi ek işlem yükü ve maliyet oluşturacaktır. Bu nedenle çalışan bazlı kapsam daraltma işleminin uygulama içinde değil, *Excel çıktısı üzerinde kullanıcı tarafından yapılması* önerilir._x000D_
_x000D_
Süreç ile ilgili geri dönüş gerekmektedir.[~gulnur.aka]_x000D_
_x000D_
 </t>
  </si>
  <si>
    <t>24/Feb/26 5:34 PM;gulnur.aka;Excel çıktısında filtreleme yapılamıyor olması, kullanıcılara detaylı bir raporlama ekranı sunma fonksiyonunu anlamsız hale getiriyor. Bunun başka bir çözüm yolu yok mudur?  [~ceren.sertkaya]_x000D_
_x000D_
 </t>
  </si>
  <si>
    <t>24/Feb/26 6:03 PM;ceren.sertkaya;Excel çıktısında filtreleme yapabilir. Resim 4 içerisinde belirtilen rapor talebinde kişilerin çıkarılması ayırımı yapılması olmayacaktır._x000D_
_x000D_
Kişi Grubu seçer_x000D_
_x000D_
Kişi seçimi olmaksınızın (Sadece grubu seçebilir)_x000D_
_x000D_
Rapor talebinde bulunur._x000D_
_x000D_
Excel Raporu o gruba gönderilen gönderileri listeler. Dilerse kullanıcı excel içerisinden filtreleme yapabilir. [~gulnur.aka]_x000D_
_x000D_
Resim 4 de olan kişi listeme ve kişi çıkarma eylemi önyüzde olmayacaktır. İlgili bahsedilen alanın görüntüsü aşağıdadır._x000D_
_x000D_
 _x000D_
_x000D_
!image-2026-02-24-19-02-32-410.png!</t>
  </si>
  <si>
    <t>UKDS-224</t>
  </si>
  <si>
    <t>-Rutin uygulama logları takip edildi._x000D_
_x000D_
-Daily toplantısına katılım sağlandı._x000D_
_x000D_
 ;23/Feb/26 4:28 PM;can.macit;3600</t>
  </si>
  <si>
    <t>-Rutin uygulama logları takip edildi._x000D_
_x000D_
-Daily toplantısına katılım sağlandı._x000D_
_x000D_
-UKDS tarafında sunucu kaynak kullanım takibi yapıldı. Yoğun sorgular tekrar incelendi.;24/Feb/26 4:38 PM;can.macit;7200</t>
  </si>
  <si>
    <t>-Rutin uygulama logları takip edildi._x000D_
_x000D_
-Daily toplantısına katılım sağlandı.;25/Feb/26 4:40 PM;can.macit;3600</t>
  </si>
  <si>
    <t>-Rutin uygulama logları takip edildi.;02/Mar/26 10:51 AM;can.macit;1800</t>
  </si>
  <si>
    <t>0|i01brq:xi</t>
  </si>
  <si>
    <t>UKDS Sprint 2026/9-10</t>
  </si>
  <si>
    <t>Mevcut yapıda tanımlı olan müşterilerin kurumsal KEP Adresi bilgileri, bireysel KEP Adresi bilgileri ve idleri bu KEP Adresini onaylanan kullanıcı bilgilsi (Ad Soyad),TCKN/VKN,cep telefonu, e posta adresi,bu işlemlerin tarihleri ile birlikte aktarılması gerekmektedir._x000D_
_x000D_
İlgili bilgilerin CRM'den aktarılması için metot eklenecektir.</t>
  </si>
  <si>
    <t>0|i01brq:x</t>
  </si>
  <si>
    <t>-Daily toplantısına katılım sağlandı._x000D_
_x000D_
-Sprint planlama toplantısına katılım sağlandı.;20/Feb/26 5:14 PM;can.macit;7200</t>
  </si>
  <si>
    <t>TIM-458</t>
  </si>
  <si>
    <t>TIM</t>
  </si>
  <si>
    <t>https://imza.turkkep.com.tr/</t>
  </si>
  <si>
    <t>*Açıklama:*_x000D_
İki faktörlü kimlik doğrulama (2FA) özelliğinin akışının güncellenmesi ve mevcut altyapının güvenlik açısından iyileştirilmesi._x000D_
_x000D_
Mevcut uygulamanın aşağıdaki gereksinimlerden karşılandığı ve karşılanmadığı durum tespit edilip ilgili eksikler düzenlenmelidir. _x000D_
_x000D_
*Gereksinimleri:*_x000D_
_x000D_
Sistemlerinizde yer alan parola politikasının, şifre değiştirme aşamasında kullanıcıya ait son 3 parolanın kullanılamayacağı şekilde güncellenmesi_x000D_
 * *Şifre Kuralları (Türkkep Şartlarına Uygun)*_x000D_
 * En az *12 karakter*_x000D_
En az 1 *büyük harf*, 1 *küçük harf*, 1 *rakam*, 1 *özel karakter*_x000D_
*Kişisel bilgi* içermemeli (ad, doğum tarihi vs.) _x000D_
*Sözlük kelimeleri* ve *ardışık diziler* yasaklanmalıdır. (örn. “123456”, “abcdef”)_x000D_
_x000D_
Çok faktörlü kimlik doğrulama (2FA) sistemlerinin kullanıcılar tarafından devre dışı bırakılamayacak şekilde zorunlu hale getirilmesi_x000D_
_x000D_
Kullanıcının her işlem için güvenlik kodu doğrulaması (CAPTCHA) eklenmesi_x000D_
_x000D_
*Art arda yapılan hatalı istek sayısının sınırlandırması*_x000D_
 * 3. hatalı istekten sonra 1 dk boyunca, 4.hatalı istekten sonra 5 dk, 5. hatalı istekten sonra 15 dk boyunca kullanıcı bloklanır. _x000D_
 * İlk başarısız işlemde: "Giriş denemeniz başarısız oldu, lütfen bilginizi kontrol ederek tekrar deneyiniz" mesajı kullanıcılara gösterilir._x000D_
 * 2.başarısız işlemde: "Giriş denemeniz başarısız oldu. Bir sonraki hatalı giriş denemenizde hesabınız 1 dakika süreyle geçici olarak kilitlenecektir." mesajı gösterilir._x000D_
 * 3.başarısız işlemde: "Güvenlik nedeniyle hesabınız geçici olarak kilitlenmiştir. 5 dakika sonra tekrar deneyebilirsiniz." mesajı gösterilir._x000D_
 * 4.başarısız işlemde: "Tekrarlanan hatalı giriş denemeleri nedeniyle hesabınız 15 dakika süreyle geçici olarak erişime kapatılmıştır. Lütfen daha sonra tekrar deneyiniz." mesajı gösterilir._x000D_
_x000D_
*Kabul Kriterleri:*_x000D_
 # 2FA tüm kullanıcılar için zorunlu olup kullanıcı tarafından devre dışı bırakılamaz._x000D_
 # Şifre değiştirme aşamasında kullanıcı son 3 parolasını tekrar kullanamaz._x000D_
 # Yeni şifre; minimum 12 karakter, en az 1 büyük harf, 1 küçük harf, 1 rakam ve 1 özel karakter içerir; kişisel bilgi, sözlük kelimesi ve ardışık diziler kabul edilmez._x000D_
 # Tüm giriş ve kritik işlemlerde CAPTCHA doğrulaması uygulanır._x000D_
 # Başarısız giriş senaryolarında belirtilen uyarı mesajları doğru adımda ve doğru süre bilgisi ile kullanıcıya gösterilir._x000D_
 # Başarısız girişler ve bloklama işlemleri loglanır._x000D_
 # Art arda hatalı giriş denemelerinde kademeli bloklama mekanizması çalışır:_x000D_
_x000D_
 * 3. hatalı denemede 1 dk_x000D_
 * 4. hatalı denemede 5 dk_x000D_
 * 5. hatalı denemede 15 dk erişim engeli uygulanır.</t>
  </si>
  <si>
    <t>0|i01ff0:</t>
  </si>
  <si>
    <t>MYS-855</t>
  </si>
  <si>
    <t>0|i01fho:</t>
  </si>
  <si>
    <t>MYS Sprint 2026/9-11</t>
  </si>
  <si>
    <t>MYS-854</t>
  </si>
  <si>
    <t>0|i01fhg:</t>
  </si>
  <si>
    <t>MYS-852</t>
  </si>
  <si>
    <t>0|i01f7o:</t>
  </si>
  <si>
    <t>MYS Sprint 2026/9-10</t>
  </si>
  <si>
    <t>MUL</t>
  </si>
  <si>
    <t>09/Jan/26 1:31 PM;gulnur.aka;TURKKEP.zip;http://192.168.124.186:8080/secure/attachment/15826/TURKKEP.zip</t>
  </si>
  <si>
    <t>0|i01et0:</t>
  </si>
  <si>
    <t>MUL Sprint 2026/9-10</t>
  </si>
  <si>
    <t>05/Mar/26 3:39 PM;onder.bar;Madde kapsamında incelenen senaryolar cades ve pades imzalama üzerineydi. Uygulama içinde imzaClient a istek oluşturularak yapılan imzalamalarda sorun ile karşılaşılmamıştır.</t>
  </si>
  <si>
    <t>MU-221</t>
  </si>
  <si>
    <t>0|i01ffo:</t>
  </si>
  <si>
    <t>MU Sprint 2026/9-11</t>
  </si>
  <si>
    <t>MU-220</t>
  </si>
  <si>
    <t>0|i01a52:3zz3jjcuci</t>
  </si>
  <si>
    <t>Şifremi unuttum ekranında "Devam Et" butonuna tıklandığında, tetiklenen fonksiyon içerisindeki bir değişken veya nesne null döndüğü için işlem tamamlanamıyor._x000D_
 * Beklenen Davranış: Butona basıldığında ilgili doğrulama fonksiyonunun başarılı şekilde çalışması._x000D_
_x000D_
 * Mevcut Durum: Fonksiyon içerisindeki bir değerin null olması sebebiyle akış kesiliyor._x000D_
_x000D_
 * Firebase Notu: Loglarda "null reference" veya "calling function on a null object" hatası görünüyor; ilgili fonksiyonun kontrol edilmesi gerekiyor.</t>
  </si>
  <si>
    <t>state tarafında gerekli kontrol kodları eklenerek null hatası çözüldü.;24/Feb/26 4:23 PM;melih.cesur;32400</t>
  </si>
  <si>
    <t>1.0.18 (25) test paketinde yapılan kontroller başarılı.;02/Mar/26 4:49 PM;gurkan.guney;600</t>
  </si>
  <si>
    <t>0|i01f6m:</t>
  </si>
  <si>
    <t>MU Sprint 2026/9-10</t>
  </si>
  <si>
    <t>02/Mar/26 4:49 PM;gurkan.guney;1.0.18 (25) test paketinde yapılan kontroller başarılı.</t>
  </si>
  <si>
    <t>Mailbox (Gelen Kutusu / Giden Kutusu) menüleri arasında hızlı geçiş yapıldığında veya tıklama esnasında arkaplanda bir index hatası  alınıyor._x000D_
 * Beklenen Davranış: Menüler arası geçişin akıcı olması ve liste verisinin hatasız yüklenmesi._x000D_
_x000D_
 * Mevcut Durum: Geçişlerde arkaplanda index temelli crash/hata oluşuyor._x000D_
_x000D_
 * Firebase Notu: Firebase üzerindeki loglarda, liste elemanı eşleşmelerinde geçersiz index numarası döndüğü tespit edildi.</t>
  </si>
  <si>
    <t>Hatanın sebebini tespit etmek için kodda araştırma yapıldı.;23/Feb/26 4:13 PM;melih.cesur;32400</t>
  </si>
  <si>
    <t>Hata kaynağını tespit için araştırma yapıldı.;25/Feb/26 9:04 PM;melih.cesur;7200</t>
  </si>
  <si>
    <t>Posta kutuları arasındaki geçişteki hata tespit edildi ve giderildi.;26/Feb/26 7:13 PM;melih.cesur;32400</t>
  </si>
  <si>
    <t>1.0.18 (25) test paketinde yapılan kontroller başarılı.;02/Mar/26 4:47 PM;gurkan.guney;600</t>
  </si>
  <si>
    <t>0|i01f6q:</t>
  </si>
  <si>
    <t>02/Mar/26 4:47 PM;gurkan.guney;1.0.18 (25) test paketinde yapılan kontroller başarılı.</t>
  </si>
  <si>
    <t>Uygulama açılışında bildirim izni isteme fonksiyonu ardışık olarak iki kez tetikleniyor. İlk fonksiyon hala aktifken ikincisi çağrıldığı için arkaplanda çakışma yaşanıyor ve hata dönüyor._x000D_
 * *Beklenen Davranış:* İzin penceresinin yalnızca bir kez açılması ve işlemin tamamlanması._x000D_
_x000D_
 * *Mevcut Durum:* Fonksiyonun iki kez çağrılması sonucu oluşan log hatası._x000D_
_x000D_
 * *Firebase Notu:* Firebase loglarında "permission already in progress" benzeri çakışma hataları gözlemlendi.</t>
  </si>
  <si>
    <t>Hata kaynağı tespit edildi. Kodda ilgili izin isteğinin çağırıldığı kısma sadece bir kez tetiklenmesi için kontrol eklendi.;25/Feb/26 2:39 PM;melih.cesur;25200</t>
  </si>
  <si>
    <t>;02/Mar/26 4:12 PM;gurkan.guney;900</t>
  </si>
  <si>
    <t>Hata sebebi araştırıldı.;02/Mar/26 5:48 PM;melih.cesur;7200</t>
  </si>
  <si>
    <t>Android cihazlarda bildirim izni reddedildiği senaryoda her açılışta izin isteme hatası giderildi.;03/Mar/26 11:57 AM;melih.cesur;14400</t>
  </si>
  <si>
    <t>1.0.18 (26) test paketinde yapılan kontroller başarılı.;03/Mar/26 1:07 PM;gurkan.guney;900</t>
  </si>
  <si>
    <t>0|i01f6o:</t>
  </si>
  <si>
    <t>02/Mar/26 4:12 PM;gurkan.guney;Android cihazda bildirime ait izin fonksiyonu iki kere geldi. Uygulama yüklendi. Bildirime izin verilsin mi şekilde izin istedi. İzin verme dendi. Uygulamayı kapatıp tekrar açınca aynı soruyu tekrar sordu.</t>
  </si>
  <si>
    <t>03/Mar/26 1:07 PM;gurkan.guney;1.0.18 (26) test paketinde yapılan kontroller başarılı.</t>
  </si>
  <si>
    <t>*Amaç:*_x000D_
 Mobil uygulama içerisindeki kullanıcı davranışlarını daha iyi anlamak, kullanıcı yolculuklarını analiz etmek ve uygulama performansını ölçümlemek amacıyla analitik event'lerinin entegre edilmesi gerekmektedir. _x000D_
_x000D_
UKDS akışlarının ölçeklendirilmesi_x000D_
_x000D_
Trendyol ödeme adımın ölçeklendirilmesi_x000D_
_x000D_
*Gereksinimler:*_x000D_
 Aşağıdaki tabloda tanımlanan event'lerin, belirtilen tetikleyici olaylar (triggering events) gerçekleştiğinde ilgili analitik servisine gönderilmesi sağlanacaktır._x000D_
_x000D_
 _x000D_
_x000D_
*Event Listesi:*_x000D_
|Event Name|Stage|Triggering event|_x000D_
|{color:#ff0000}{color:#333333}kullanici_dashboard_date{color} {color}|Kullanıcı dashboard|Kullanıcı uygulamayı ilk açtığında|_x000D_
|{color:#ff0000}{color:#333333}kullanici_log_out_date{color} {color}|Kullanıcı uygulama geçirilen sürenin tespiti_x000D_
  _x000D_
 Logout Event: Kullanıcıları sistemden çıkış yaptığı noktayı izlemek. Kullanıcıların hangi noktada paneli terk ettiğini anlamaya yardımcı olur.|Kullanıcı uygulamadan ayrıldığında|_x000D_
|login_sms_dogrulama|Kullanıcı ID Bazlı Login Event tamamlama|Doğrulama kodunu doğrulama butonuna tıkladığında|_x000D_
|{color:#333333}Kullanıcı ID Bazlı Login Event{color}|Login olup çıktığındaki geçirlen süre için| |_x000D_
|{color:#ff0000}{color:#333333}ukds_dashboard{color} {color}|Online Başvuru İşlemlerine Başlangıç Sayısı|Henüz Kep Adresim Açılmadı. Ancak Başvurum Var tıklanmalı.|_x000D_
|{color:#333333}ukds_aydinlatma_metni{color}|Aydınlatma metni seçimi|Aydınlatma Metni Devam et butonuna tıklandığında|_x000D_
|ukds_aydinlatma_metni_geri |aydınlatma metninden dashboard geri dönüş|Aydınlatma metninden geri tuşuna tıklandığında|_x000D_
|{color:#ff0000}{color:#333333}ukds_basladi{color} {color}|Online başvurda geçen süre_x000D_
 !image-2026-02-11-16-12-50-538.png!|Online işlemlere başladığında gönderir|_x000D_
|{color:#ff0000}{color:#333333}ukds_basvuru_bitti{color} {color}|Online başvurda geçen süre_x000D_
 !image-2026-02-11-16-13-10-214.png!_x000D_
 Burda ansayfa ve e-devlet ile onay için ayrı tanımlama yapılabilir.|Online işlemlere bitirdiğinde gönderilir.|_x000D_
|{color:#ff0000}{color:#333333}kullanici_kep_ileti_detay{color} {color}| |İleti detay açıklamasına tıklandığında|_x000D_
|{color:#333333}ukds_kampanya_basladi{color}|!image-2026-02-11-16-14-32-129.png!| |_x000D_
|{color:#333333}ukds_sms_dogrulama{color} |!image-2026-02-11-16-15-31-666.png!| |_x000D_
|{color:#333333}basarili_paket_secimi{color}|!image-2026-02-11-16-16-45-805.png!| |_x000D_
|{color:#333333}firma_calisaniyim {color}_x000D_
{color:#333333}  {color}_x000D_
{color:#333333} firma_calisani_degilim{color}|!image-2026-02-11-16-17-03-432.png!| |_x000D_
|{color:#333333}odeme_devam, odeme_basarili,odeme_basarisiz{color}|!image-2026-02-11-16-19-45-522.png!| |_x000D_
|{color:#333333}odeme_geri{color}|!image-2026-02-11-16-21-02-828.png!| |_x000D_
|{color:#333333}kullanici_online_basvuru_onay {color}_x000D_
{color:#333333}  {color}_x000D_
{color:#333333} kullanici_online_basvuru_geri_dön {color}|!image-2026-02-11-16-21-48-678.png!| |_x000D_
_x000D_
 _x000D_
_x000D_
*Kabul Kriterleri (Acceptance Criteria):*_x000D_
 * Tablodaki tüm event'ler, ilgili tetikleyici olaylar gerçekleştiğinde başarılı bir şekilde gönderilmelidir._x000D_
 * Her bir event'in tetiklendiği, analitik panelinin doğrulanmalıdır._x000D_
 * Süre ölçümü gerektiren event'ler (log_out_date, Login Event, basladi, bitirdi) ilgili süre verisini parametre olarak göndermelidir.</t>
  </si>
  <si>
    <t>Firebase event testleri için DebugView kurulumu yapıldı. Test çalışmalarına başlandı.;27/Feb/26 4:46 PM;melih.cesur;32400</t>
  </si>
  <si>
    <t>Test sürecinde tespit edilen eksiklikler üzerine geliştirmeler yapıldı. Tüm eventler test edilerek task tamamlandı.;02/Mar/26 3:03 PM;melih.cesur;25200</t>
  </si>
  <si>
    <t>Yapılan kontroller başarılı. Maddede belirtilen aşağıdaki eventlerin tetiklendiği görülmüştür._x000D_
_x000D_
- kullanici_dashboard_date-ok_x000D_
- kullanici_log_out_date-ok_x000D_
- kullanici_numara_dogrulama-ok_x000D_
- Kullanıcı ID Bazlı Login Event-ok _x000D_
- ukds_dashboard-ok_x000D_
- ukds_aydinlatma_metni-ok_x000D_
- ukds_aydinlatma_metni_geri-ok_x000D_
- ukds_basladi-ok_x000D_
- ukds_basvuru_bitti-ok_x000D_
- ukds_sms_dogrulama-ok_x000D_
- firma_calisaniyim-ok_x000D_
- firma_calisani_degilim-ok_x000D_
- kullanici_kep_ileti_detay-ok_x000D_
- ukds_kampanya_basladi-ok_x000D_
- basarili_paket_secimi-ok_x000D_
- kullanici_online_basvuru_onay-ok_x000D_
- kullanici_online_basvuru_geri_dön-ok_x000D_
- odeme_devam-ok_x000D_
- odeme_basarili-ok_x000D_
- odeme_basarisiz-ok_x000D_
- odeme_geri-ok;02/Mar/26 3:48 PM;gurkan.guney;21600</t>
  </si>
  <si>
    <t>02/Mar/26 3:48 PM;gurkan.guney;Yapılan kontroller başarılı. Maddede belirtilen aşağıdaki eventlerin tetiklendiği görülmüştür._x000D_
_x000D_
- kullanici_dashboard_date-ok_x000D_
- kullanici_log_out_date-ok_x000D_
- kullanici_numara_dogrulama-ok_x000D_
- Kullanıcı ID Bazlı Login Event-ok _x000D_
- ukds_dashboard-ok_x000D_
- ukds_aydinlatma_metni-ok_x000D_
- ukds_aydinlatma_metni_geri-ok_x000D_
- ukds_basladi-ok_x000D_
- ukds_basvuru_bitti-ok_x000D_
- ukds_sms_dogrulama-ok_x000D_
- firma_calisaniyim-ok_x000D_
- firma_calisani_degilim-ok_x000D_
- kullanici_kep_ileti_detay-ok_x000D_
- ukds_kampanya_basladi-ok_x000D_
- basarili_paket_secimi-ok_x000D_
- kullanici_online_basvuru_onay-ok_x000D_
- kullanici_online_basvuru_geri_dön-ok_x000D_
- odeme_devam-ok_x000D_
- odeme_basarili-ok_x000D_
- odeme_basarisiz-ok_x000D_
- odeme_geri-ok</t>
  </si>
  <si>
    <t>Sprint planlama toplantısına katıldım.;20/Feb/26 8:00 PM;melih.cesur;3600</t>
  </si>
  <si>
    <t>Uygulama genelinde bug araştırması yapıldı. Firebase'deki crash loglarının sebepleri araştırıldı.;20/Feb/26 8:01 PM;melih.cesur;28800</t>
  </si>
  <si>
    <t>1.0.18 (25) test paketinde yapılan kontroller başarılı.;02/Mar/26 4:30 PM;gurkan.guney;10800</t>
  </si>
  <si>
    <t>02/Mar/26 4:30 PM;gurkan.guney;1.0.18 (25) test paketinde yapılan kontroller başarılı.</t>
  </si>
  <si>
    <t>*Açıklama:*_x000D_
_x000D_
Cihazlara push bildirim gönderebilmek için uygulama açıldığında Firebase Cloud Messaging (FCM) token’ı alınması gerekmektedir._x000D_
 Ancak bazı Android kullanıcılarında nadiren de olsa token alma sürecinde hata oluşmakta ve bu durum bildirim gönderilememesine yol açmaktadır._x000D_
_x000D_
iOS tarafında da benzer bir hata olup olmadığı Crashlytics üzerinden kontrol edilmelidir._x000D_
_x000D_
Bu task, FCM token alma işleminin neden zaman zaman başarısız olduğunu belirlemek ve gerekiyorsa ilgili iyileştirmeleri planlamak amacıyla araştırma taskı olarak açılmıştır.</t>
  </si>
  <si>
    <t>Gerekli araştırma tamamlandı. Firebase bağlantısındaki FCM token alma kısmı guncellenmesi gerektiği belirlendi. Güncellenen Firebase servisinde böyle bir durumla karşılaşılması mümkün olmayacaktır. ;04/Mar/26 12:59 PM;melih.cesur;7200</t>
  </si>
  <si>
    <t>0|i01f6q:i</t>
  </si>
  <si>
    <t>Cihazlara anlık bildirim gönderebilmek için, uygulama ilk açıldığında *Firebase Cloud Messaging (FCM) token*’ının başarılı bir şekilde alınması gerekmektedir._x000D_
_x000D_
Ancak bazı Android kullanıcılarında, nadir de olsa, bu token alma işlemi sırasında hata oluştuğu gözlemlenmiştir. Bu durum, ilgili cihazlara bildirim gönderilememesine neden olabilmektedir._x000D_
_x000D_
Hata, *Crashlytics* üzerinden hem Android hem de iOS loglarında yer almakta olup, özellikle Android tarafında daha sık gözlemlenmektedir._x000D_
h3. *Beklenen Davranış:*_x000D_
_x000D_
Uygulama açıldığında FCM token'ı istisnasız tüm cihazlarda güvenli ve hatasız şekilde alınmalıdır. Hata senaryoları ele alınarak, token alınamaması durumunda tekrar deneme mekanizması gibi önlemler değerlendirilmelidir. Crashlytics logları detaylı incelenerek root cause analizinin yapılması gerekmektedir.</t>
  </si>
  <si>
    <t>Firebase servisi güncellendi. FCM token alınması aşamasındaki fonksiyonlar güncellenerek daha guvenli hale getirildi. Hem iOS hem android cihazlarda sonraki süreçte hata gözlenmeyecektir.;04/Mar/26 1:01 PM;melih.cesur;7200</t>
  </si>
  <si>
    <t>0|i01f6r:</t>
  </si>
  <si>
    <t>Dinamik Süre Tanımlı Otomatik Kalıcı Silme Mekanizması</t>
  </si>
  <si>
    <t>KW-10</t>
  </si>
  <si>
    <t>KW</t>
  </si>
  <si>
    <t>KEP Webservis</t>
  </si>
  <si>
    <t>*Açıklama:*_x000D_
_x000D_
Çöp Kutusu’na taşınan iletilerin, sistem tarafından dinamik olarak tanımlanabilen bir süre sonunda (30, 90 gün vb.) otomatik olarak kalıcı şekilde silinmesini sağlayacak bir backend geliştirmesi yapılacaktır._x000D_
_x000D_
Bu süre otomatik silme işlemi kullanıcı aksiyonu olmadan tetiklenmelidir._x000D_
_x000D_
*Gereksinimler:*_x000D_
_x000D_
Deploy gerektirmeden süre değişikliği sağlanmalıdır. _x000D_
_x000D_
Çöp Kutusu’na taşınan her ileti için silinme süresi hesaplanmalıdır._x000D_
_x000D_
Tanımlanan süre sonunda ileti arayüzde geri alınamaz şekilde kalıcı olarak silinmelidir._x000D_
_x000D_
Kullanıcı manuel silme yaparsa, otomatik job bu kaydı tekrar işlememelidir._x000D_
_x000D_
*Kabul Kriterleri*_x000D_
 # Silme süresi backend tarafında deploy gerektirmeden güncellenebilir._x000D_
 # Silinen belgeler anında Çöp Kutusu’na taşınmalıdır._x000D_
 # Kullanıcı, Çöp Kutusu’ndaki iletileri listeleyebilmelidir._x000D_
 # Kullanıcı, belgeyi geri yüklediğinde belge eski konumuna taşınmalıdır._x000D_
 # Tanımlanan sürenin dolmasıyla otomatik  silme işlemi tetiklenir._x000D_
 # Otomatik silinen iletiler geri yüklenemez._x000D_
 # Job (?) tekrar çalıştırıldığında aynı veriyi iki kez silmez._x000D_
 # Webmail, IOS ve Android istemciler için davranış tutarlıdır.</t>
  </si>
  <si>
    <t>0|i01bol:kfzcgzzz</t>
  </si>
  <si>
    <t>03/Feb/26 8:36 AM;gulnur.aka;Gerekli çalışmalar ve incelemeler yapılmıştır. Tasktaki gibi isteri başlatabiliriz. _x000D_
_x000D_
İlk aşamada süre 90 günü tamamladıktan 1 gün sonra silinecek şekilde olmalıdır. Task yazılım ekibinin gitmeden önce saklama ya da müşterileri etkilecek durumlar neler olabilir etki analizi yapabilir misiniz? [~ceren.sertkaya]</t>
  </si>
  <si>
    <t>24/Feb/26 1:05 PM;ceren.sertkaya;Webservis projesi, başka analist arkadaşımızdadır.Yönlendirmenizi rica ederim.[~gulnur.aka]</t>
  </si>
  <si>
    <t>2FA Fonksiyonun Geliştirilmesi</t>
  </si>
  <si>
    <t>KIK-157</t>
  </si>
  <si>
    <t>KIK</t>
  </si>
  <si>
    <t>Kep IK</t>
  </si>
  <si>
    <t>KEP İK olarak da bilinir. _x000D_
_x000D_
Konnektör Uygulamasıdır. Folder yapısı ile çalışır. _x000D_
TCKN ile isimlendirilmiş bord pdf dosyalarını imzalar. PDF birden çok bordro içeriyor ise bunları parçalar. Excel içerisinde ilgili TCKN karşılığı kep adresine KEP olarak gönderir. _x000D_
_x000D_
İmzalanan doküman tipleri:_x000D_
1- PDF_x000D_
_x000D_
Doküman kaynak:_x000D_
1- Klasör : Bordro için PDF, hedef iletişim bilgileri için excel._x000D_
_x000D_
İmzalı doküman hedef:_x000D_
1-Klasör_x000D_
_x000D_
KEP Servis Entegrasyonu_x000D_
1-Türkkep_x000D_
_x000D_
_x000D_
Ürün yeniden yapılandırılacak, daha genele hitap edecektir. Doküman kaynağı olarak web servis entegrasyonu sağlanabilir. Konnektör uygulamasından bulut portal uygulamasına geçilebilir.</t>
  </si>
  <si>
    <t>*Açıklama:*_x000D_
İki faktörlü kimlik doğrulama (2FA) özelliğinin aktif edilmesi ve mevcut altyapının güvenlik açısından iyileştirilmesi._x000D_
_x000D_
*Gereksinimleri:*_x000D_
_x000D_
Sistemlerinizde yer alan parola politikasının, şifre değiştirme aşamasında kullanıcıya ait son 3 parolanın kullanılamayacağı şekilde güncellenmesi_x000D_
 * *Şifre Kuralları (Türkkep Şartlarına Uygun)*_x000D_
 * En az *12 karakter*_x000D_
En az 1 *büyük harf*, 1 *küçük harf*, 1 *rakam*, 1 *özel karakter*_x000D_
*Kişisel bilgi* içermemeli (ad, doğum tarihi vs.) _x000D_
*Sözlük kelimeleri* ve *ardışık diziler* yasaklanmalıdır. (örn. “123456”, “abcdef”)_x000D_
_x000D_
Çok faktörlü kimlik doğrulama (2FA) sistemlerinin kullanıcılar tarafından devre dışı bırakılamayacak şekilde zorunlu hale getirilmesi_x000D_
_x000D_
Kullanıcının her işlem için güvenlik kodu doğrulaması (CAPTCHA) eklenmesi_x000D_
_x000D_
*Art arda yapılan hatalı istek sayısının sınırlandırması*_x000D_
 * 3. hatalı istekten sonra 1 dk boyunca, 4.hatalı istekten sonra 5 dk, 5. hatalı istekten sonra 15 dk boyunca kullanıcı bloklanır. _x000D_
 * İlk başarısız işlemde: "Giriş denemeniz başarısız oldu, lütfen bilginizi kontrol ederek tekrar deneyiniz" mesajı kullanıcılara gösterilir._x000D_
 * 2.başarısız işlemde: "Giriş denemeniz başarısız oldu. Bir sonraki hatalı giriş denemenizde hesabınız 1 dakika süreyle geçici olarak kilitlenecektir." mesajı gösterilir._x000D_
 * 3.başarısız işlemde: "Güvenlik nedeniyle hesabınız geçici olarak kilitlenmiştir. 5 dakika sonra tekrar deneyebilirsiniz." mesajı gösterilir._x000D_
 * 4.başarısız işlemde: "Tekrarlanan hatalı giriş denemeleri nedeniyle hesabınız 15 dakika süreyle geçici olarak erişime kapatılmıştır. Lütfen daha sonra tekrar deneyiniz." mesajı gösterilir._x000D_
_x000D_
*Kabul Kriterleri:*_x000D_
 # 2FA tüm kullanıcılar için zorunlu olup kullanıcı tarafından devre dışı bırakılamaz._x000D_
 # Şifre değiştirme aşamasında kullanıcı son 3 parolasını tekrar kullanamaz._x000D_
 # Yeni şifre; minimum 12 karakter, en az 1 büyük harf, 1 küçük harf, 1 rakam ve 1 özel karakter içerir; kişisel bilgi, sözlük kelimesi ve ardışık diziler kabul edilmez._x000D_
 # Tüm giriş ve kritik işlemlerde CAPTCHA doğrulaması uygulanır._x000D_
 # Başarısız giriş senaryolarında belirtilen uyarı mesajları doğru adımda ve doğru süre bilgisi ile kullanıcıya gösterilir._x000D_
 # Başarısız girişler ve bloklama işlemleri loglanır._x000D_
 # Art arda hatalı giriş denemelerinde kademeli bloklama mekanizması çalışır:_x000D_
_x000D_
 * 3. hatalı denemede 1 dk_x000D_
 * 4. hatalı denemede 5 dk_x000D_
 * 5. hatalı denemede 15 dk erişim engeli uygulanır.</t>
  </si>
  <si>
    <t>0|i01fdo:</t>
  </si>
  <si>
    <t>KEP-319</t>
  </si>
  <si>
    <t>0|i01fes:</t>
  </si>
  <si>
    <t>KEPSprint 2026/9-10</t>
  </si>
  <si>
    <t>KA-1601</t>
  </si>
  <si>
    <t>0|i01fh8:</t>
  </si>
  <si>
    <t>KA Sprint 2026/9-11</t>
  </si>
  <si>
    <t>Ek işler Hk</t>
  </si>
  <si>
    <t>KA-1600</t>
  </si>
  <si>
    <t>0|i01fh0:</t>
  </si>
  <si>
    <t>KA-1599</t>
  </si>
  <si>
    <t>*Açıklama:*_x000D_
İki faktörlü kimlik doğrulama (2FA) özelliğinin akışının güncellenmesi ve mevcut altyapının güvenlik açısından iyileştirilmesi._x000D_
_x000D_
Mevcut uygulamanın aşağıdaki gereksinimlerden karşılandığı ve karşılanmadığı durum tespit edilip ilgili eksikler düzenlenmelidir. _x000D_
_x000D_
Mevcuttaki login linkleri kontrolü yapılmalıdır. _x000D_
_x000D_
*Gereksinimleri:*_x000D_
_x000D_
Sistemlerinizde yer alan parola politikasının, şifre değiştirme aşamasında kullanıcıya ait son 3 parolanın kullanılamayacağı şekilde güncellenmesi_x000D_
 * *Şifre Kuralları (Türkkep Şartlarına Uygun)*_x000D_
 * En az *12 karakter*_x000D_
En az 1 *büyük harf*, 1 *küçük harf*, 1 *rakam*, 1 *özel karakter*_x000D_
*Kişisel bilgi* içermemeli (ad, doğum tarihi vs.) _x000D_
*Sözlük kelimeleri* ve *ardışık diziler* yasaklanmalıdır. (örn. “123456”, “abcdef”)_x000D_
_x000D_
Çok faktörlü kimlik doğrulama (2FA) sistemlerinin kullanıcılar tarafından devre dışı bırakılamayacak şekilde zorunlu hale getirilmesi_x000D_
_x000D_
Kullanıcının her işlem için güvenlik kodu doğrulaması (CAPTCHA) eklenmesi_x000D_
_x000D_
*Art arda yapılan hatalı istek sayısının sınırlandırması*_x000D_
 * 3. hatalı istekten sonra 1 dk boyunca, 4.hatalı istekten sonra 5 dk, 5. hatalı istekten sonra 15 dk boyunca kullanıcı bloklanır. _x000D_
 * İlk başarısız işlemde: "Giriş denemeniz başarısız oldu, lütfen bilginizi kontrol ederek tekrar deneyiniz" mesajı kullanıcılara gösterilir._x000D_
 * 2.başarısız işlemde: "Giriş denemeniz başarısız oldu. Bir sonraki hatalı giriş denemenizde hesabınız 1 dakika süreyle geçici olarak kilitlenecektir." mesajı gösterilir._x000D_
 * 3.başarısız işlemde: "Güvenlik nedeniyle hesabınız geçici olarak kilitlenmiştir. 5 dakika sonra tekrar deneyebilirsiniz." mesajı gösterilir._x000D_
 * 4.başarısız işlemde: "Tekrarlanan hatalı giriş denemeleri nedeniyle hesabınız 15 dakika süreyle geçici olarak erişime kapatılmıştır. Lütfen daha sonra tekrar deneyiniz." mesajı gösterilir._x000D_
_x000D_
*Kabul Kriterleri:*_x000D_
 # 2FA tüm kullanıcılar için zorunlu olup kullanıcı tarafından devre dışı bırakılamaz._x000D_
 # Şifre değiştirme aşamasında kullanıcı son 3 parolasını tekrar kullanamaz._x000D_
 # Yeni şifre; minimum 12 karakter, en az 1 büyük harf, 1 küçük harf, 1 rakam ve 1 özel karakter içerir; kişisel bilgi, sözlük kelimesi ve ardışık diziler kabul edilmez._x000D_
 # Tüm giriş ve kritik işlemlerde CAPTCHA doğrulaması uygulanır._x000D_
 # Başarısız giriş senaryolarında belirtilen uyarı mesajları doğru adımda ve doğru süre bilgisi ile kullanıcıya gösterilir._x000D_
 # Başarısız girişler ve bloklama işlemleri loglanır._x000D_
 # Art arda hatalı giriş denemelerinde kademeli bloklama mekanizması çalışır:_x000D_
_x000D_
 * 3. hatalı denemede 1 dk_x000D_
 * 4. hatalı denemede 5 dk_x000D_
 * 5. hatalı denemede 15 dk erişim engeli uygulanır.</t>
  </si>
  <si>
    <t>0|i01ff8:</t>
  </si>
  <si>
    <t>UETS ve KEP Alım Servislerinin Ayrıştırılması Hk.</t>
  </si>
  <si>
    <t>KA-1598</t>
  </si>
  <si>
    <t>Kep ve Uets hesaplarının tek bir servis üzerinden ileti alım senaryosu ile ilgili Kep için ayrı Uets için ayrı bir şekilde hesapları sorgulayan yapı oluşturulmaya başlandı. Çalışmalar devam etmektedir._x000D_
_x000D_
İlgili işlem akışları incelendi._x000D_
_x000D_
Veritabanı üzerinde sorgular hazırlandı.;25/Feb/26 5:06 PM;mert.tanel;21600</t>
  </si>
  <si>
    <t>İlgili servis sınıfları oluşturuldu._x000D_
_x000D_
İlgili senaryolar için test işlemleri yapıldı. Yeni oluşturulan serviste alınan hata ile ilgili gerekli config düzenlemesi yapıldı._x000D_
_x000D_
Servislerin kullandığı Sp'ler üzerinde düzenleme sağlandı._x000D_
_x000D_
Akış kontrolleri sağlandı._x000D_
_x000D_
Test ortama ilgili servis kuruldu.;26/Feb/26 5:15 PM;mert.tanel;25200</t>
  </si>
  <si>
    <t>0|i01fb8:</t>
  </si>
  <si>
    <t>KA Sprint 2026/9-10</t>
  </si>
  <si>
    <t>K.A. 2.0</t>
  </si>
  <si>
    <t>*KA 2.0* versiyonu kapsamında, ilgili düzeltmeleri ve son geliştirmeleri içeren güncelleme paketi hazırlanması.</t>
  </si>
  <si>
    <t>0|i01f79:i</t>
  </si>
  <si>
    <t>25/Feb/26 12:41 PM;gulnur.aka;[http://192.168.124.186:8080/projects/KA/versions/10746] release paketi oluşturulmuşlar. İlgili geliştirmeler fix versiyona ekleme yapılacaktır. [~Remzi.Sefer]_x000D_
_x000D_
 </t>
  </si>
  <si>
    <t>Mevcut yapımızda KEP ve UETS  alım süreçleri, "Collector" adını verdiğimiz tek bir Windows servisi üzerinden ortak bir mimariyle yönetilmektedir._x000D_
_x000D_
Ancak son dönemde yüksek hacimli/spesifik hesaplarda alınan  Örnek HTTP 500 hataları, bu birleşik yapının limitlerini zorlamakta ve sistemin genel sağlığını etkilemektedir._x000D_
_x000D_
Mevcut Sorunlar:_x000D_
 * Single Point of Failure (Tek Noktadan Hata): UETS veya KEP tarafında yaşanan bir tıkanıklık veya alınan bir hata (500 hatası vb.), aynı servis üzerinde çalışan diğer tüm süreçleri olumsuz etkilemektedir._x000D_
 * Performans Darboğazı: Yoğun istek geldiğinde tek bir collector üzerinden yapılan işlemler, kuyrukta beklemelere ve timeout hatalarına yol açmaktadır._x000D_
_x000D_
Sistemin daha esnek ve ölçeklenebilir bir yapıya kavuşması için:_x000D_
 # Servislerin Ayrıştırılması: KEP Alım ve UETS Alım süreçlerinin birbirinden bağımsız iki farklı servis/collector haline getirilmesi._x000D_
 # Hata İzolasyonu: Bir tarafta yaşanan 500 hatasının veya yoğunluğun, diğer servisin operasyonunu durdurmamasının sağlanması._x000D_
_x000D_
 _x000D_
_x000D_
 </t>
  </si>
  <si>
    <t>Kep ve Uets hesaplarının tek bir servis üzerinden ileti alım senaryosu ile ilgili Kep için ayrı Uets için ayrı bir şekilde hesapları sorgulayan yapı oluşturulmaya başlandı. Çalışmalar devam etmektedir._x000D_
_x000D_
İlgili işlem akışları incelendi._x000D_
_x000D_
Veritabanı üzerinde sorgular hazırlandı.;25/Feb/26 5:01 PM;batuhan.tufan;21600</t>
  </si>
  <si>
    <t>İlgili servis sınıfları oluşturuldu._x000D_
_x000D_
İlgili senaryolar için test işlemleri yapıldı. Yeni oluşturulan serviste alınan hata ile ilgili gerekli config düzenlemesi yapıldı._x000D_
_x000D_
Servislerin kullandığı Sp'ler üzerinde düzenleme sağlandı._x000D_
_x000D_
Akış kontrolleri sağlandı._x000D_
_x000D_
Test ortama ilgili servis kuruldu.;26/Feb/26 4:59 PM;batuhan.tufan;25200</t>
  </si>
  <si>
    <t>0|i01f79:</t>
  </si>
  <si>
    <t>25/Feb/26 12:37 PM;gulnur.aka;23 Şubat 2026 saat 14:10–14:20 itibarıyla webmail sistemine istek gönderilemediği tespit edilmiştir. Bu nedenle hiçbir KEP hesabı için ileti içeri çekilememiştir. Yapılan incelemeler sonucunda bu soruna yönelik geliştirme ihtiyacı tespit edilmiştir._x000D_
_x000D_
Geliştirme taskının içeriği [~Remzi.Sefer] yönlendirilmesiyle açılmıştır. </t>
  </si>
  <si>
    <t>27/Feb/26 8:58 AM;batuhan.tufan;Kep ve Uets için servis ayrıştırılması yapıldı. Test ortamda iki adet windows servis üzerinden işlemler yapılmaktadır. Gerekli senaryolar detaylıca test edilmelidir.</t>
  </si>
  <si>
    <t>27/Feb/26 12:54 PM;Remzi.Sefer;Organizasyonel Tanımlamalar: Farklı organizasyonlar için yeni KEP hesapları tanımlanmalı ve yapılandırmanın sorunsuz çalıştığı teyit edilmelidir._x000D_
_x000D_
 İleti Gönderim Akışı: Farklı organizasyonlar üzerinden giden ileti süreçleri uçtan uca test edilmelidir._x000D_
_x000D_
Delil Yönetimi: İletilere istinaden oluşan delillerin sisteme doğru ve eksiksiz bir şekilde çekilip çekilmediği kontrol edilmelidir._x000D_
_x000D_
Alım  Süreçleri: Ayrıştırılan yeni mimaride, hem KEP hem de UETS alım süreçlerinin birbirini etkilemeden çalıştığı doğrulanmalıdır._x000D_
_x000D_
Hata Testi: Bir serviste yaşanabilecek olası bir aksaklığın (veya yoğunluğun) diğer servisi etkileyip etkilemediği gözlemlenmelidir._x000D_
 _x000D_
 Test senaryolarında yukarıdaki konular dikkate alınarak test edilmesi gerekmektedir._x000D_
_x000D_
 </t>
  </si>
  <si>
    <t>27/Feb/26 12:57 PM;Remzi.Sefer;Yapılan değişiklikler sebebiyle görüş ve öneri almak için DB ekibine 2 SP iletildi, gelecek sonuca göre test süreçleri başlatılacaktır._x000D_
_x000D_
 </t>
  </si>
  <si>
    <t>02/Mar/26 10:02 AM;Remzi.Sefer; 2 Sp de değişiklik sağladı, Testler sırasında [~muratcan.egri] ile iletişime geçilerek gerekli kontrollerin yapılması daha sağlıklı olacaktır._x000D_
[~gurkan.guney]</t>
  </si>
  <si>
    <t>vakıfkatılım</t>
  </si>
  <si>
    <t>*Mevcut Durum:*_x000D_
_x000D_
Bazı kullanıcılarımız RPA kullanarak UETS iletilerini yönetmektedir._x000D_
_x000D_
Sistem, her gelen iletiyi kullanıcının "Görevlerim" ekranına düşürmekte ve süreç robot tarafından "sıfırdan ileti oluşturarak" tamamlandığı için bu görevler açık kalmaktadır._x000D_
_x000D_
Bu durum ise performans kaybı oluşturmaktadır. Günlük 3.000+ ileti sebebiyle "Görevlerim" menüsünde yığılma ve veritabanı yavaşlığı oluşmaktadır._x000D_
_x000D_
Aynı zaman da haftalık çalışan job, hafta içi biriken kuyruk nedeniyle imzacı süreçlerini geciktirmekte ve süreli yazıların takibini zorlaştırmaktadır. _x000D_
_x000D_
*Beklenen Durum:*_x000D_
 * UETS  üzerinden gelen iletiler için sisteme bir  "Otomatik Tamamlama" mekanizması eklenmelidir._x000D_
 * Gelen iletiler, "Görevlerim" ekranına hiç düşmeden veya düştüğü anda ilgili grupla ilişkilendirilerek otomatik olarak "Tamamlandı"</t>
  </si>
  <si>
    <t>Gelen Uets iletilerinin otomatik olarak görevlerim ekranına iletiler yansımadan ve tamamlandı statüsüne güncellenen süreç tasarımı yapıldı._x000D_
_x000D_
Test işlemleri yapıldı._x000D_
_x000D_
İlgili süreç kullanımı için güncel versiyon kullanımı önerilmektedir.;23/Feb/26 1:02 PM;batuhan.tufan;7200</t>
  </si>
  <si>
    <t>Test ortamda ekteki süreç ile yapılan kontroller başarılı.;23/Feb/26 4:40 PM;gurkan.guney;1800</t>
  </si>
  <si>
    <t>23/Feb/26 12:59 PM;batuhan.tufan;UETSIncomingMessageAuto2(3369).zip;http://192.168.124.186:8080/secure/attachment/15933/UETSIncomingMessageAuto2%283369%29.zip</t>
  </si>
  <si>
    <t>0|i01f7a:</t>
  </si>
  <si>
    <t>23/Feb/26 1:05 PM;batuhan.tufan;Ekteki süreç ile Gelen Uets iletileri Görevlerim ekranına yansımadan ve ilgili iletinin statüsünü Tamamlandı statüsüne güncelleyerek iş akışını sağlamaktadır. İlgili süreci ileti kuralından ayarlayarak test işlemlerini gerçekleştirebilirsiniz. Süreci müşterimize aktaracaksanız, yerinde kurulum versiyonunun güncel olması önerilmektedir.</t>
  </si>
  <si>
    <t>23/Feb/26 4:40 PM;gurkan.guney;Test ortamda ekteki süreç ile yapılan kontroller başarılı.</t>
  </si>
  <si>
    <t>*Mevcut Durum:*_x000D_
_x000D_
Bazı kullanıcılarımız RPA kullanarak KEP iletilerini yönetmektedir._x000D_
_x000D_
Sistem, her gelen iletiyi kullanıcının "Görevlerim" ekranına düşürmekte ve süreç robot tarafından "sıfırdan ileti oluşturarak" tamamlandığı için bu görevler açık kalmaktadır._x000D_
_x000D_
Bu durum ise performans kaybı oluşturmaktadır. Günlük 3.000+ ileti sebebiyle "Görevlerim" menüsünde yığılma ve veritabanı yavaşlığı oluşmaktadır._x000D_
_x000D_
Aynı zaman da haftalık çalışan job, hafta içi biriken kuyruk nedeniyle imzacı süreçlerini geciktirmekte ve süreli yazıların takibini zorlaştırmaktadır. _x000D_
_x000D_
*Beklenen Durum:*_x000D_
 * KEP  üzerinden gelen iletiler için sisteme bir  "Otomatik Tamamlama" mekanizması eklenmelidir._x000D_
 * Gelen iletiler, "Görevlerim" ekranına hiç düşmeden veya düştüğü anda ilgili grupla ilişkilendirilerek otomatik olarak "Tamamlandı" statüsüne çekilmelidir.</t>
  </si>
  <si>
    <t>Gelen Kep iletilerinin otomatik olarak görevlerim ekranına iletiler yansımadan ve tamamlandı statüsüne güncellenen süreç tasarımı yapıldı._x000D_
_x000D_
Test işlemleri yapıldı._x000D_
_x000D_
İlgili süreç kullanımı için güncel versiyon kullanımı önerilmektedir.;23/Feb/26 1:01 PM;batuhan.tufan;7200</t>
  </si>
  <si>
    <t>Test ortamda ekteki süreç ile yapılan kontroller başarılı.;23/Feb/26 4:18 PM;gurkan.guney;1800</t>
  </si>
  <si>
    <t>23/Feb/26 12:59 PM;batuhan.tufan;IncomingMessageAuto2(3368).zip;http://192.168.124.186:8080/secure/attachment/15932/IncomingMessageAuto2%283368%29.zip</t>
  </si>
  <si>
    <t>0|i01f7c:</t>
  </si>
  <si>
    <t>23/Feb/26 1:04 PM;batuhan.tufan;Ekteki süreç ile Gelen Kep iletileri Görevlerim ekranına yansımadan ve ilgili iletinin statüsünü Tamamlandı statüsüne güncelleyerek iş akışını sağlamaktadır. İlgili süreci ileti kuralından ayarlayarak test işlemlerini gerçekleştirebilirsiniz. Süreci müşterimize aktaracaksanız, yerinde kurulum versiyonunun güncel olması önerilmektedir.</t>
  </si>
  <si>
    <t>23/Feb/26 4:18 PM;gurkan.guney;Test ortamda ekteki süreç ile yapılan kontroller başarılı.</t>
  </si>
  <si>
    <t>Windows servis log kayıtları incelendi._x000D_
_x000D_
Ekip içi görüşme yapıldı._x000D_
_x000D_
Kod incelemesi yapıldı._x000D_
_x000D_
Süreç işleyişi ile ilgili inceleme yapıldı._x000D_
_x000D_
ma3api 2.4 versiyonu ile Fatura tarafında incelemeler yapıldı._x000D_
_x000D_
Sprint Planlama- MYS-Assist toplantısına katılım sağlandı._x000D_
_x000D_
Yerinde kurulum müşterimizin hatası ile ilgili yönlendirme yapıldı.;20/Feb/26 5:14 PM;batuhan.tufan;28800</t>
  </si>
  <si>
    <t>Süreç kuyruğu takibi yapıldı ve genel kontroller sağlandı._x000D_
_x000D_
Kod tarafında incelemeler yapıldı._x000D_
_x000D_
Sprint Planlama- MYS-Assist toplantısına katılım sağlandı._x000D_
_x000D_
Yerinde kurulum müşterimizin süreç iç hatasından dolayı bilgilendirme ve yönlendirme yapıldı._x000D_
_x000D_
Windows servis log dosyaları incelendi._x000D_
_x000D_
Ekip içi görüşme yapıldı.;23/Feb/26 1:36 PM;recep.simsek;21600</t>
  </si>
  <si>
    <t>*Açıklama:*_x000D_
_x000D_
Prod ortamda kullanıcıya gösterilen ekranlar ve metinlerde Türkçe olmayan  ifadeler bulunmaktadır._x000D_
 Bu durum kullanıcı deneyimini olumsuz etkilemekte ve dil bütünlüğünü bozmaktadır._x000D_
_x000D_
Bu çalışma kapsamında:_x000D_
 * Prod ortamda yer alan Türkçe olmayan kelimelerin tespit edilmesi_x000D_
_x000D_
 * İlgili metinlerin uygun ve tutarlı Türkçe karşılıklarıyla güncellenmesi</t>
  </si>
  <si>
    <t>0|i01f7b:</t>
  </si>
  <si>
    <t>UETS/KEP akışları sonrası gönderilen bilgilendirme maillerinde, alıcı şirket bilgisini döndürmesi gereken {{#to#}} parametresi boş gelmektedir._x000D_
_x000D_
_x000D_
_x000D_
*Hata Adımları:*_x000D_
 # Kep Assist test ortamına giriş_x000D_
 _x000D_
 # Bir UETS hesabına örnek bir tebligat/KEP akışı tetikleyin._x000D_
 _x000D_
 # Akışın "Bilgilendirme Maili" adımına ulaşmasını sağlayın._x000D_
 _x000D_
 # Gönderilen mailin gövde metnini kontrol edin._x000D_
 _x000D_
_x000D_
*Beklenen Sonuç:* Mail içeriğindeki {{#to#}} alanı, tebligatın geldiği ilgili şirket/kurum adı (Örn: _KİPAŞ MENSUCAT İŞLETMELERİ A.Ş._) ile dolu gelmelidir._x000D_
_x000D_
_x000D_
_x000D_
*Gerçekleşen Sonuç:*_x000D_
_x000D_
{{#to#}} alanı boş kalmakta ve mail içeriği "... 'dan adresinize gelen ..." şeklinde eksik metinle iletilmektedir_x000D_
_x000D_
İ_x000D_
_x000D_
 </t>
  </si>
  <si>
    <t>Süreç üzerinde ilgili verinin gelmesi için düzenleme yapılmıştır.;29/Jan/26 1:31 PM;batuhan.tufan;3600</t>
  </si>
  <si>
    <t>Ekteki süreç ile test ortamda yapılan kontroller başarılı. Görev ilk geldiğinde ve görev kişiye atandığında gelen bildirimlerde hangi firmaya geldiği bilgisi yazmaktadır.;29/Jan/26 4:12 PM;gurkan.guney;900</t>
  </si>
  <si>
    <t>29/Jan/26 1:30 PM;batuhan.tufan;GelenKepOnay.png;http://192.168.124.186:8080/secure/attachment/15870/GelenKepOnay.png</t>
  </si>
  <si>
    <t>29/Jan/26 1:30 PM;batuhan.tufan;KepMesajCevabı.png;http://192.168.124.186:8080/secure/attachment/15871/KepMesajCevab%C4%B1.png</t>
  </si>
  <si>
    <t>29/Jan/26 1:30 PM;batuhan.tufan;UETSIncomingMessage(3366).zip;http://192.168.124.186:8080/secure/attachment/15872/UETSIncomingMessage%283366%29.zip</t>
  </si>
  <si>
    <t>0|i01f1g:</t>
  </si>
  <si>
    <t>29/Jan/26 1:32 PM;batuhan.tufan;İstenilen mesaj örnekleri ekteki süreç ile getirilmiştir. Mesajlar ile ilgili ekran görüntüleri ektedir. Ekteki süreci kullanarak test edebilirsiniz.</t>
  </si>
  <si>
    <t>29/Jan/26 4:12 PM;gurkan.guney;Ekteki süreç ile test ortamda yapılan kontroller başarılı. Görev ilk geldiğinde ve görev kişiye atandığında gelen bildirimlerde hangi firmaya geldiği bilgisi yazmaktadır.</t>
  </si>
  <si>
    <t>KİPAŞ MENSUCAT İŞLETMELERİ ANONİM ŞİRKETİ bünyesindeki 18 aktif UETS hesabı için kurgulanan iş akışında, gelen tebligatlar sonrası gönderilen bilgilendirme maillerinde alıcı şirket bilgisi boş gelmektedir. Hazır süreç organizasyona yüklenmiş olmasına rağmen, {{#to#}} parametresi beklenen şirket adını döndürmemektedir._x000D_
_x000D_
_x000D_
h3. *Hata Adımları*_x000D_
 # Kep Assist Test ortamına giriş yapın._x000D_
_x000D_
 # Test organizasyonu içerisinde yer alan bir UETS hesabına örnek bir tebligat/KEP akışı tetikleyin._x000D_
_x000D_
 # Akışın "Bilgilendirme Maili" adımına ulaşmasını sağlayın._x000D_
_x000D_
 # İlgili mail şablonunda kullanılan gövde metnini kontrol edin:_x000D_
{quote}{{#from# 'dan #to# adresinize gelen '#subject#' başlıklı KEP mesajı onayınıza sunulmuştur.}}_x000D_
{quote}_x000D_
 # Alıcıya ulaşan maili kontrol edin._x000D_
_x000D_
h3. *Beklenen Sonuç* _x000D_
_x000D_
Mail içeriğindeki {{#to#}} alanının, tebligatın geldiği ilgili şirket/kurum adı veya adresi ile dolu gelmesi gerekmektedir. _(Örn: ... KİPAŞ MENSUCAT İŞLETMELERİ A.Ş. adresinize gelen ...)__x000D_
----_x000D_
h3. *Gerçekleşen Sonuç (Actual Result)*_x000D_
_x000D_
Mail içeriğinde {{#to#}} alanı boş gelmektedir. _(Görüntü: "... 'dan adresinize gelen ..." şeklinde eksik metin oluşmaktadır.)_</t>
  </si>
  <si>
    <t>Ekte bulunan 3 farklı Uets süreci denenmiştir. Gelen mail bildirimlerinin hiçbirinde to alanı gelmemektedir. Test edilmesi istenilen başka bir Uets süreci var ise iletebilirsiniz.;28/Jan/26 4:05 PM;gurkan.guney;1800</t>
  </si>
  <si>
    <t>28/Jan/26 4:03 PM;gurkan.guney;UETSIncomingMessage(2218).zip;http://192.168.124.186:8080/secure/attachment/15868/UETSIncomingMessage%282218%29.zip</t>
  </si>
  <si>
    <t>28/Jan/26 4:03 PM;gurkan.guney;UETSIncomingMessage(3319).zip;http://192.168.124.186:8080/secure/attachment/15869/UETSIncomingMessage%283319%29.zip</t>
  </si>
  <si>
    <t>28/Jan/26 4:03 PM;gurkan.guney;UETSIncomingMessage(3363).zip;http://192.168.124.186:8080/secure/attachment/15867/UETSIncomingMessage%283363%29.zip</t>
  </si>
  <si>
    <t>0|i01ex0:</t>
  </si>
  <si>
    <t>28/Jan/26 4:05 PM;gurkan.guney;Ekte bulunan 3 farklı Uets süreci test ortamda denenmiştir. Gelen mail bildirimlerinin hiçbirinde to alanı gelmemektedir. Test edilmesi istenilen başka bir Uets süreci var ise iletebilirsiniz.</t>
  </si>
  <si>
    <t>Etys sürecinde incelemeler yapıldı._x000D_
_x000D_
Doküman oluşturma adımı sonrası dönüşüm işlemi ile ilgili çalışma yapıldı._x000D_
_x000D_
Dönüşüm yapma işlemi için API adres bilgisi için genel parametre tanımlandı._x000D_
_x000D_
Konu ile ilgili senaryo test edildi.;25/Dec/25 5:05 PM;batuhan.tufan;16200</t>
  </si>
  <si>
    <t>Yeni yazılan apinin windows servis tarafında direk pdf e dönüştürüp imzalanmasını sağlamak için ek metot ve düzenlemeler yapıldı.;25/Dec/25 5:07 PM;mert.tanel;14400</t>
  </si>
  <si>
    <t>Test ortamda yapılan kontroller başarılı. Hem portal hem masaüstü imzacı üzerinden testler yapılmıştır. Tekli ve çoklu imzalamalar yapılmıştır. Birinci ve ikinci imzacılarda PDF görüntüleme, imzalama işlemlerinde sorun görülmemiştir.;26/Dec/25 2:43 PM;gurkan.guney;1800</t>
  </si>
  <si>
    <t>0|i013z2:tzzzzzzzzzzzzz8yr</t>
  </si>
  <si>
    <t>KA Sprint 2025/35-43</t>
  </si>
  <si>
    <t>26/Dec/25 12:20 PM;batuhan.tufan;Etys süreci içerisinde docx dokümanının üretilmesi sonrasına ilgili dokümanının Pdf dokümanına dönüşümü için API entegrasyonu sağlanmıştır. _x000D_
İlgili bağlantı başarılı bir şekilde kurulduğunda imza istekleri PDFOFWORD yerine artık PDF olarak gelecektir. _x000D_
API adresi için ConvertDocxToPdfApiUrl genel parametresi oluşturulmuştur._x000D_
Test ortamı güncellenmiştir. Gerekli senaryo testlerini gerçekleştirebilirsiniz.</t>
  </si>
  <si>
    <t>26/Dec/25 2:43 PM;gurkan.guney;Test ortamda yapılan kontroller başarılı. Hem portal hem masaüstü imzacı üzerinden testler yapılmıştır. Tekli ve çoklu imzalamalar yapılmıştır. Birinci ve ikinci imzacılarda PDF görüntüleme, imzalama işlemlerinde sorun görülmemiştir.</t>
  </si>
  <si>
    <t>Portal imzada PDFOFWORD senaryosu için incelemeler yapıldı._x000D_
_x000D_
İmza isteği adımında görüntüleme sırasında dönüşüm işlemi ile ilgili çalışma yapıldı._x000D_
_x000D_
Dönüşüm yapma işlemi için API adres bilgisi için genel parametre tanımlandı._x000D_
_x000D_
Portal üzerinde kontroller sağlandı.;25/Dec/25 5:07 PM;batuhan.tufan;10800</t>
  </si>
  <si>
    <t>Docx to pdf apinin portal entegrasyonu yapıldı. Var olan PDFOFWORD tipindekileri imzalama işlemleri bu yapıdan devam edecek. Windows servis ile birlikte artık pdf imza olarak yeni kayıtlar imzalanacak.;25/Dec/25 5:10 PM;mert.tanel;10800</t>
  </si>
  <si>
    <t>0|i013z2:tzzzzzzzzzzzzz8z9</t>
  </si>
  <si>
    <t>26/Dec/25 12:20 PM;batuhan.tufan;Varolan PDFOFWORD imza isteklerinin portal üzerinden görüntülenmesi ve gerekli dönüşümün sağlanması için API bağlantısı sağlanmıştır. API adresi için ConvertDocxToPdfApiUrl genel parametresi oluşturulmuştur._x000D_
Test ortamı güncellenmiştir. Gerekli senaryo testlerini gerçekleştirebilirsiniz.</t>
  </si>
  <si>
    <t>Açıklama_x000D_
_x000D_
Portal uygulamalarımızdaki Word (docx) dokümanlarının imzalama öncesi PDF'e dönüşüm sorununu gidermek için sunulan 1. çözüm önerisinin (Office kurulu sunucu üzerinde API) teknik yeterliliğini doğrulamak._x000D_
_x000D_
Ortam Bilgileri:_x000D_
 * Test Sunucusu: srvwordtopdf_x000D_
 * IP Adresi: 192.168.123.248_x000D_
 * Gerekli kullanıcı yetkileri ve MS Office kurulumları tamamlanmıştır._x000D_
_x000D_
Test Süreci:_x000D_
_x000D_
1. Dönüşüm için geliştirilecek/geliştirilmiş API'ye çağrı yapılarak test senaryoları çalıştırılacaktır._x000D_
_x000D_
2. Daha önce DevExpress kütüphanesi ile sorun yaşanan tüm doküman şablonları (özellikle içerik bozulmalarının tespit edildiği senaryolar) kullanılarak dönüşüm testleri yapılacaktır._x000D_
_x000D_
3. Dönüşen PDF dokümanlarının format ve içerik açısından şablonla birebir uyumu kontrol edilecektir._x000D_
_x000D_
Başarı Kriteri: Geliştirilen API, tüm kritik doküman şablonlarında (DevExpress ile sorun yaşananlar dahil) doğru ve hatasız bir şekilde docx'ten PDF'e dönüşüm yapabilmelidir._x000D_
_x000D_
 </t>
  </si>
  <si>
    <t>Konu ile ilgili Office.Interop kütüphanesini kullanan API yapıldı._x000D_
_x000D_
İlgili API sunucuya taşınıp gerekli ayarlamalar yapıldı._x000D_
_x000D_
Exe projesi yapılarak ve Postman üzerinden istek atılarak API üzerinde test işlemleri yapıldı. Başarılı sonuç alındı.;26/Nov/25 5:09 PM;recep.simsek;21600</t>
  </si>
  <si>
    <t>Kep Assist tarafında sunucuya entegre edilen API ile bağlantı kurulup dönüşüm işlemleri yapılabilmesi için metot yapıldı._x000D_
_x000D_
PDFOFWORD tipindeki iletilerin tekli ve çoklu imzalama senaryoları test edildi._x000D_
_x000D_
Çoklu imzalanırken başka sebepten hata alındı. Hata üzerinde incelemeler yapıldı. Hata giderildi._x000D_
_x000D_
Konu ile ilgili ekip içi görüşme yapıldı.;03/Dec/25 5:17 PM;recep.simsek;21600</t>
  </si>
  <si>
    <t>API tarafında her işlemde Word app in Task manager da kapanmaması ile ilgili düzenleme yapıldı. Test işlemleri yapıldı._x000D_
_x000D_
Kep Assist tarafında API nin entegre edilip imzalama senaryoları test edildi.;04/Dec/25 5:11 PM;recep.simsek;14400</t>
  </si>
  <si>
    <t>10/Dec/25 2:51 PM;recep.simsek;ConvertPDF.pdf;http://192.168.124.186:8080/secure/attachment/15779/ConvertPDF.pdf</t>
  </si>
  <si>
    <t>10/Dec/25 2:51 PM;recep.simsek;WordData.docx;http://192.168.124.186:8080/secure/attachment/15780/WordData.docx</t>
  </si>
  <si>
    <t>0|i013z2:tzzzzzzzzzzzzz9k</t>
  </si>
  <si>
    <t>KA Sprint 2025/35-41</t>
  </si>
  <si>
    <t>KA Sprint 2025/35-42</t>
  </si>
  <si>
    <t>10/Dec/25 2:50 PM;recep.simsek;Konu ile ilgili olarak belirtilen sunucuya bir API kurulumu yapıldı. Kurulan API üzerinden hem konsol hem de uygulamamız ile gerekli test işlemleri local ortamdan sağlanmıştır. Bunlara ek olarak Postman ile de denemeler yapıldı. Bu testler doğrultusunda ilgili docx dokümanının istediğimiz gibi pdf dokümanına dönüştürüldüğü gözlemlenmiştir. _x000D_
_x000D_
Paket hazırlıkları sonrası yeni bir madde üzerinden diğer yapılacak olan işlemler için ilerlemeler yapabiliriz._x000D_
_x000D_
Bunlara ek olarak dönüşüm yapılan sunucu içerisinde word işlemlerinin yapılması için bir kullanıcı tanımı yapıldı.Bu kullanıcının şifresinin değişmemesi gerekmektedir. Çünkü kuracağımız yapı ilgili sunucudaki API yi aktif olarak kullanacaktır. Eğer kullanıcı ile ilgili bir sıkıntı olursa ilgili iş akışları bozulur ve hatalar alınır. Dönüşümde kullanılan WordData.docx ve dönüştürülmüş ConvertPDF.pdf dosyası ektedir.</t>
  </si>
  <si>
    <t>IMC</t>
  </si>
  <si>
    <t>Imza Client</t>
  </si>
  <si>
    <t>İmza Client Jar dosyası üzerinde Ayşenur tarafından gerçekleştirilen kapsamlı testler sonucunda çeşitli hata ve iyileştirme noktaları tespit edilmiştir._x000D_
_x000D_
*Detaylar:* Tespit edilen tüm bulgular, adımları  ile birlikte detaylı bir şekilde ekteki Excel dosyasında listelenmiştir.Bu listedeki maddeleri inceleyerek gerekli düzeltmeleri yapılması beklenmektedir._x000D_
_x000D_
*Beklenen Aksiyon:* Ekteki Excel dosyasında yer alan maddelerin sırasıyla kontrol edilmesi ve çözüm sağlandıktan sonra statünün güncellenmesini rica ederiz.</t>
  </si>
  <si>
    <t>03/Mar/26 1:04 PM;Remzi.Sefer;Bulgular 1.xlsx;http://192.168.124.186:8080/secure/attachment/15954/Bulgular+1.xlsx</t>
  </si>
  <si>
    <t>0|i01fhw:</t>
  </si>
  <si>
    <t>IMC Sprint 2026/9-11</t>
  </si>
  <si>
    <t>IEU-336</t>
  </si>
  <si>
    <t>0|i01fgs:</t>
  </si>
  <si>
    <t>IEU Sprint 2026/9-11</t>
  </si>
  <si>
    <t>IEU-335</t>
  </si>
  <si>
    <t>0|i01fgk:</t>
  </si>
  <si>
    <t>IEU-334</t>
  </si>
  <si>
    <t>0|i01fgc:</t>
  </si>
  <si>
    <t>IEU-333</t>
  </si>
  <si>
    <t>0|i01fg4:</t>
  </si>
  <si>
    <t>IEU-332</t>
  </si>
  <si>
    <t>-Daily'ye katıldım._x000D_
_x000D_
-2.1.1 jar testleri yaptım. _x000D_
_x000D_
 ;27/Feb/26 4:53 PM;aysenur.bilgic;14400</t>
  </si>
  <si>
    <t>-Daily'ye katıldım._x000D_
_x000D_
-2.1.1 yeni jar testlerini yaptım. ;27/Feb/26 4:55 PM;aysenur.bilgic;27000</t>
  </si>
  <si>
    <t>-Daily'ye katıldım._x000D_
_x000D_
-Ent suit yerinde kurulum için gerekli testlere bakıldı. _x000D_
_x000D_
 ;27/Feb/26 5:24 PM;aysenur.bilgic;14400</t>
  </si>
  <si>
    <t>-Daily'ye katıldım._x000D_
_x000D_
-Ent Suit yerinde kurulumu yapıldı ve testlerin nasıl gerçekleşeceği hakkında bilgiler aldım.;27/Feb/26 5:25 PM;aysenur.bilgic;28800</t>
  </si>
  <si>
    <t>-Daily ye katıldım._x000D_
_x000D_
-İster Sahibi bilgilendirme toplantısına katıldım._x000D_
_x000D_
-ent suit yerinde kurulum ve 2.1.1 imza client testlerine baktım.;27/Feb/26 5:29 PM;aysenur.bilgic;25200</t>
  </si>
  <si>
    <t>daily ve daily sonrası toplantı yapıldı.;03/Mar/26 11:11 AM;aysenur.bilgic;3600</t>
  </si>
  <si>
    <t>daily ve backlog a katıldım;03/Mar/26 5:29 PM;aysenur.bilgic;3600</t>
  </si>
  <si>
    <t>0|i01f6g:</t>
  </si>
  <si>
    <t>IEU Sprint 2026/9-10</t>
  </si>
  <si>
    <t>IEU-330</t>
  </si>
  <si>
    <t>0|i01f6k:</t>
  </si>
  <si>
    <t>IEU-329</t>
  </si>
  <si>
    <t>0|i01f6c:</t>
  </si>
  <si>
    <t>IEU-328</t>
  </si>
  <si>
    <t>Chatbot sprint planlama toplantısına katılındı._x000D_
_x000D_
Katılım emeklilik firması için log kontrolü yapıldı.;26/Feb/26 4:50 PM;berrin.akan;3600</t>
  </si>
  <si>
    <t>0|i01f64:</t>
  </si>
  <si>
    <t>Sprint planlama toplantısına katılındı.;20/Feb/26 5:00 PM;berrin.akan;1800</t>
  </si>
  <si>
    <t>02/Mar/26 2:11 PM;omer.turkmen;XADES imza türünde sadece seri imza ile 2. imza eklenebilir olduğu tespit edildi. imza-client uygulamasında güncellemeler yapılacaktır.</t>
  </si>
  <si>
    <t>*Açıklama:*_x000D_
_x000D_
Mevcut KEP gönderim yapısı birden fazla metot üzerinden yürütülmektedir. Bu çalışmada, kullanıcıların KEP gönderim sürecini tek bir metot üzerinden yönetebilmesi hedeflenmektedir._x000D_
_x000D_
Yeni tasarlanacak metot, KEP gönderim sürecine ait tüm adımları uçtan uca yönetecek şekilde kurgulanacaktır. Bu metot Rem Service / rem-controller altında sunulacaktır._x000D_
_x000D_
Bu çalışma araştırma maddesinde sunulan önerilerden Versiyon 1 olarak planlanmalı ve ileride genişletilebilir bir mimari gözetilmelidir._x000D_
_x000D_
 _x000D_
_x000D_
*Kapsam:*_x000D_
_x000D_
Yeni oluşturulacak tek metot aşağıdaki adımları sırasıyla yönetmelidir:_x000D_
_x000D_
KEP iletisi oluşturma_x000D_
_x000D_
İmzalama hazırlığı_x000D_
_x000D_
Şifre doğrulama_x000D_
_x000D_
KEP imzalama_x000D_
_x000D_
Gönderim_x000D_
_x000D_
 _x000D_
_x000D_
İmzalama süreçleri HSM  kullanımı da dikkate alınarak tasarlanmalıdır._x000D_
_x000D_
Rem Service içerisindeki mevcut send metodu kullanılarak KEP iletisi gönderimi sağlanmalıdır._x000D_
_x000D_
Kullanıcı, tüm süreci tek bir servis ile tetikleyebilmelidir._x000D_
_x000D_
 _x000D_
_x000D_
[~Remzi.Sefer] analizinden sonra kabul kriterleri güncellenecektir. _x000D_
_x000D_
 _x000D_
_x000D_
*Kabul Kriterleri:*_x000D_
 * Rem Service / rem-controller altında yeni bir method olarak sunulduğu görülmelidir._x000D_
_x000D_
 </t>
  </si>
  <si>
    <t>hulya.yemsen</t>
  </si>
  <si>
    <t>Lokal bilgisayara jdk-11 versiyonu kurularak testler yapılmıştır. _x000D_
 application.yaml dosyası ekteki gibi ayarlanmıştır._x000D_
 [http://localhost:8070/swagger-ui/index.html] adresindeki /api/v1/rem/send/unified metodu üzerinden denemeler yapılmıştır. _x000D_
 İmzalama testleri lokal bilgisayarda takılı olan e-imza token ile gerçekleştirilmiştir. _x000D_
 /api/v1/rem/send/unified metodunda, hatalı KEP şifresi girme, alıcı ya da gönderici KEP adreslerini yanlış girme gibi durumlarda anlaşılır hata mesajlarının döndüğü görülmüştür._x000D_
 KEP gönderimleri canlı KEP adresleri ile yapılmıştır. _x000D_
 STANDARD ve EYP tipinde iletiler başarıyla teslim edilmiştir._x000D_
 Ekinde dosya olan ve olmayan KEP iletileri ayrı ayrı denenmiş, başarıyla teslim edildikleri görülmüştür._x000D_
_x000D_
AKIS ve ALADDIN tipindeki e-imzalar ile ayrı ayrı denenmiş, başarılı sonuç alınmıştır._x000D_
_x000D_
IEU-291-Test-Notları dokumanında belirtilen hata senaryoları denenmiş ve belirtilen hata uyarılarının geldiği görülmüştür.;26/Feb/26 5:22 PM;gurkan.guney;64800</t>
  </si>
  <si>
    <t>02/Mar/26 1:25 PM;ugur.acik;Banka Kurulum Dokümantasyonu-IEU-291.docx;http://192.168.124.186:8080/secure/attachment/15951/Banka+Kurulum+Doku%CC%88mantasyonu-IEU-291.docx</t>
  </si>
  <si>
    <t>20/Feb/26 1:20 PM;ugur.acik;IEU-291-Test-Notları.docx;http://192.168.124.186:8080/secure/attachment/15915/IEU-291-Test-Notlar%C4%B1.docx</t>
  </si>
  <si>
    <t>25/Dec/25 11:06 AM;Remzi.Sefer;KEP Gönderim Sürecinin Tek Metot Altında Birleştirilmesi Analizi.docx;http://192.168.124.186:8080/secure/attachment/15809/KEP+G%C3%B6nderim+S%C3%BCrecinin+Tek+Metot+Alt%C4%B1nda+Birle%C5%9Ftirilmesi+Analizi.docx</t>
  </si>
  <si>
    <t>25/Dec/25 1:20 PM;Remzi.Sefer;V2_KEP Gönderim Süreci Birleştirme - Analiz Dokümanı.docx;http://192.168.124.186:8080/secure/attachment/15814/V2_KEP+G%C3%B6nderim+S%C3%BCreci+Birle%C5%9Ftirme+-+Analiz+Dok%C3%BCman%C4%B1.docx</t>
  </si>
  <si>
    <t>26/Feb/26 5:23 PM;gurkan.guney;application.yaml;http://192.168.124.186:8080/secure/attachment/15941/application.yaml</t>
  </si>
  <si>
    <t>0|i01bol:kfzcrc</t>
  </si>
  <si>
    <t>17/Dec/25 2:59 PM;gulnur.aka;[~Remzi.Sefer] _x000D_
_x000D_
Analizi tamamlandıktan sonra mevcut sprintte dahil edilebilir miyiz. </t>
  </si>
  <si>
    <t>25/Dec/25 11:08 AM;Remzi.Sefer;İlgil Çalışma tamamlanmıştır. Gecikme analiz kaynaklıdır Yazılımcıya 25.12 tarihinde iletilmiştir konu. </t>
  </si>
  <si>
    <t>25/Dec/25 1:21 PM;Remzi.Sefer;Yapmış olşduğum çalışmaya ait versiıyon 2 dokümanı ekte bulunmaktadır. HSM sğrecinde Model alma yapısı kullanılması konusu eklendi YAML yerine._x000D_
;Bilginize</t>
  </si>
  <si>
    <t>20/Feb/26 1:06 PM;ugur.acik;Test için temel bilgiler IEU-291-Test-Notları dökümanı içinde paylaşılmıştır._x000D_
_x000D_
Jar dosyalarının linkleri cloud.turkkep.com.tr adresi üzerinden paylaşılmıştır._x000D_
_x000D_
 </t>
  </si>
  <si>
    <t>02/Mar/26 1:28 PM;ugur.acik;* İlgili madde tamamlanmıştır. Yerinde kurulum olduğu için [^Banka Kurulum Dokümantasyonu-IEU-291.docx] olarak kurulum dosyası eklenmiştir.[^Banka Kurulum Dokümantasyonu-IEU-291.docx]</t>
  </si>
  <si>
    <t>25/Feb/26 3:46 PM;Remzi.Sefer;Entegrasyon Suit Web Servis Kılavuzu s.01.00.docx;http://192.168.124.186:8080/secure/attachment/15940/Entegrasyon+Suit+Web+Servis+K%C4%B1lavuzu+s.01.00.docx</t>
  </si>
  <si>
    <t>25/Feb/26 3:47 PM;Remzi.Sefer;İlgili Dokümanın güncel hali ekte yüklenmiştir._x000D_
_x000D_
Entegrasyon Suit Web Servis Kılavuzu s.01.00</t>
  </si>
  <si>
    <t>Zayifetin Kapatılması</t>
  </si>
  <si>
    <t>ES-304</t>
  </si>
  <si>
    <t>ES</t>
  </si>
  <si>
    <t>High</t>
  </si>
  <si>
    <t>ES 2.4</t>
  </si>
  <si>
    <t>e-Saklama uygulamasında endpoint urlinde tespit edilen güvenlik zafiyetinin kapatılması gerekmektedir. Konu ile ilgili gerekli aksiyonların alınmasını rica ederiz._x000D_
_x000D_
[https://e-saklama.turkkep.com.tr/guvenlik/profil.aspx/Getir]</t>
  </si>
  <si>
    <t>Sadece gerekli alanların getirilmesi sağlandı._x000D_
Session kontrolleri eklendi._x000D_
Access kontrolleri eklendi._x000D_
_x000D_
guvenlik/kullanici.aspx/Getir metotunda da ek kontroller eklendi.;19/Feb/26 3:30 PM;batikan.ozturk;3600</t>
  </si>
  <si>
    <t>0|i01f5o:</t>
  </si>
  <si>
    <t>İhtiyaca Yönelik Ek Metot Geliştirmeleri Hk</t>
  </si>
  <si>
    <t>EFT-2375</t>
  </si>
  <si>
    <t>Yapılan çalışmalarda ihtiyaca yönelik et metotlar gerekmektedir. </t>
  </si>
  <si>
    <t>0|i01f84:</t>
  </si>
  <si>
    <t>EFT Sprint 2026/9-10</t>
  </si>
  <si>
    <t>EFT Sprint 2026/11-12</t>
  </si>
  <si>
    <t>Kullanıcı olarak, GİB şematron paketine ait XML dosyalarının belirli bir formatta XSST’ye otomatik olarak dönüştürülmesini ve bu çıktıların bir formatta birleştirilmesini istiyorum. Böylece, manuel müdahale olmadan, tutarlı, sürdürülebilir ve tekrar kullanılabilir bir XSST çıktısı elde edebilir, bakım ve geliştirme süreçlerini hızlandırabilirim._x000D_
_x000D_
*Kabul Kriterleri:*_x000D_
 * GİB şematron paketine ait XML dosyaları input olarak alınabilmelidir_x000D_
_x000D_
 * XML dosyaları tanımlı kurallara göre XSST formatına dönüştürülmelidir_x000D_
_x000D_
 * Dönüştürülen XSST dosyaları otomatik olarak bir formatta birleştirilmelidir_x000D_
_x000D_
 * Süreç tamamen otomatik çalışmalı, manuel birleştirme gerektirmemelidir_x000D_
_x000D_
 * Hatalı veya eksik dosyalar için anlamlı log/uyarı üretilmelidir_x000D_
_x000D_
 </t>
  </si>
  <si>
    <t>Şematron testi için test ekibine destek verildi.;06/Feb/26 5:01 PM;cem.kara;7200</t>
  </si>
  <si>
    <t>Şematron testi için test ekibine destek verildi.;06/Feb/26 5:03 PM;emre.yilmaz;7200</t>
  </si>
  <si>
    <t>GİB şematronuna takılan faturalar için inceleme sağlanarak test işlemleri için fatura verileri hazırlandı._x000D_
Hazırlanan faturaların yeni şematron tarafından kontrol edilme durumları test edildi.;27/Feb/26 4:48 PM;hamza.ceylan;64800</t>
  </si>
  <si>
    <t>0|i01bxr:jr</t>
  </si>
  <si>
    <t xml:space="preserve">2FA Fonksiyonun Aktifleştirilmesi </t>
  </si>
  <si>
    <t>h3. *Amaç:*_x000D_
_x000D_
Tüm ilgili ürünlerde kullanıcı güvenliğini artırmak amacıyla 2FA (Two-Factor Authentication) doğrulama mekanizmasının devreye alınması._x000D_
_x000D_
*Kapsam:*_x000D_
 * Sistemlerinizde yer alan parola politikasının, kullanıcıya ait son 3 parolanın kullanılamayacağı şekilde güncellenmesi_x000D_
 * Bünyenizde kullanılan kritik uygulamalarda, çok faktörlü kimlik doğrulama (MFA) sistemlerinin kullanıcılar tarafından devre dışı bırakılamayacak şekilde zorunlu hale getirilmesi_x000D_
 * Kişisel verilerin (T.C. kimlik bilgileri, adres, telefon numarası vb.) sorgulanabildiği tüm uygulamalara, istek sayısı sınırlandırması (rate limit) ve her işlem için güvenlik kodu doğrulaması (CAPTCHA) eklenmesi_x000D_
 * Birden fazla üründe 2FA altyapısının uygulanması_x000D_
 * Login akışına 2FA adımının eklenmesi_x000D_
 * SMS / E-posta uygulama desteği_x000D_
 * 2FA aktivasyon &amp; deaktivasyon yönetimi_x000D_
 * Hata ve edge-case senaryolarının ele alınması_x000D_
_x000D_
 </t>
  </si>
  <si>
    <t>ghx-label-6</t>
  </si>
  <si>
    <t>0|i01fbo:</t>
  </si>
  <si>
    <t>e-Saklama Servisi Defter Entegrasyonu</t>
  </si>
  <si>
    <t>EDF-819</t>
  </si>
  <si>
    <t>*Kullanıcı Hikayesi*_x000D_
_x000D_
Bir sistem yöneticisi olarak, Defter verilerinin aylık olarak otomatik biçimde e-Saklama sistemine aktarılmasını istiyorum, böylece yasal saklama yükümlülükleri düzenli ve hatasız şekilde yerine getirebilirim._x000D_
_x000D_
*Açıklama*_x000D_
_x000D_
eSaklama ürününde Defter modülü için ayrı bir entegrasyon servisi geliştirilmiştir. Defter kısmı servisi bağlanması gerekmektedir. Servis linki aşağıdadır;_x000D_
_x000D_
[https://192.168.126.190/webjars/swagger-ui/index.html?urls.primaryName=doc-operation-service#/]_x000D_
_x000D_
*Kabul Kriterleri*_x000D_
 # Aktarım aylık periyotta otomatik olarak çalışmalıdır.(3 aylık olan dönemler için ayrıca bir parametre olmalıdır)_x000D_
 # Aktarım ay kapanışı sonrası tetiklenmelidir._x000D_
 # Manuel tetikleme imkanı bulunmalıdır._x000D_
 # Başarılı ve başarısız işlemler loglanmalıdır._x000D_
 # Hata durumlarında retry mekanizması bulunmalıdır._x000D_
 # Aynı defter kaydı tekrar saklanmamalıdır._x000D_
 # Veri bütünlüğü korunmalıdır._x000D_
_x000D_
 _x000D_
_x000D_
 _x000D_
_x000D_
 </t>
  </si>
  <si>
    <t>DAVS-179</t>
  </si>
  <si>
    <t>0|i01bwk:qf8qzw</t>
  </si>
  <si>
    <t>e-Defter sözleşme ekranında müşteri başarılı imza sağlamadığı durumlarda kurulum için sign_application'a yönlendirmektedir. Linkte yönlendirilecek adres depo.turkkep.com.tr/imzaclient olması gerekmektedir.</t>
  </si>
  <si>
    <t>0|i01bwk:qfu</t>
  </si>
  <si>
    <t>EDF Sprint 2026/7-8</t>
  </si>
  <si>
    <t>Bir e-envanter defteri mükellefi olarak kullandığım portalin Anasayfası üzerinden tüm envanter defterlerimin beratlarının sayısını görebilmeliyim. Böylece tüm envater beratlarıma tek bir tıklama ile hızlıca ulaşabilirim. _x000D_
_x000D_
*Kabul Kriterleri:*_x000D_
 * Anasayfada e-Envanter başlığı içinde Envanter Defter Berat Sayısı dinamik olarak gösterilmelidir:_x000D_
_x000D_
 * Widget üzerinde hızlı aksiyon butonu olarak "Detaylar" butonu bulunmalıdır._x000D_
_x000D_
 * Widget içerisinde yüklenen envanter defterleri, tarih, durum(gib onaylandı, imza bekliyor, hata, reddedildi vb) bilgisiyle listelenmelidir._x000D_
_x000D_
 * Eğer kullanıcının hiç envanter beratı yoksa, widget üzerinde "Henüz bir envanter defteri beratınız bulunmamaktadır" uyarısı gösterilir</t>
  </si>
  <si>
    <t>EDF-800</t>
  </si>
  <si>
    <t>0|i01bwk:qi</t>
  </si>
  <si>
    <t>Bir envanter defteri mükellefi olarak resmi süreç içinde bulunan e-Envanter defterimin beratının başarılı yüklenme durumunu takip edebilmek istiyorum. Böylece adımlarımı daha sağlıklı kontrol edebilirim._x000D_
_x000D_
*Kabul Kriterleri:*_x000D_
 * Berat Durum sayfasında bulunan kurallar geçerlidir_x000D_
 * Filtreleme ve detaylı tablo olmalıdır._x000D_
 * Excele aktar ve sorgulama olmalıdır. </t>
  </si>
  <si>
    <t>0|i01bwk:qj</t>
  </si>
  <si>
    <t>Bir e-envanter defteri mükellefi olarak kullandığım portalin Anasayfası üzerinden tüm envanter defterlerimi görebilmeliyim. Böylece tüm envaterlerime tek bir tıklama ile hızlıca ulaşabilirim. _x000D_
_x000D_
*Kabul Kriterleri:*_x000D_
 * Anasayfada e-Envanter başlığı içinde Toplam Envanter Defter Sayısı dinamik olarak gösterilmelidir:_x000D_
_x000D_
 * Widget üzerinde hızlı aksiyon butonu olarak "Detaylar" butonu bulunmalıdır._x000D_
_x000D_
 * Widget içerisinde yüklenen envanter defterleri, tarih, durum(gib onaylandı, imza bekliyor, hata, reddedildi vb) bilgisiyle listelenmelidir._x000D_
_x000D_
 * Eğer kullanıcı henüz hiç defter yüklememişse, widget üzerinde "Henüz bir envanter defteri yüklemediniz" uyarısı ve bir "Yeni Defter Yükle" butonu çıkmalıdır.</t>
  </si>
  <si>
    <t>0|i01bwk:qg</t>
  </si>
  <si>
    <t>GİB tarafından 15.01.2026 tarihinde paylaşılan duyuru kapsamında e-Defter paketi güncellenmiştir._x000D_
_x000D_
Uygulamamızda da ilgil güncellemeler yapılacaktır._x000D_
_x000D_
sch dizini =&gt; envanter_defter.sch ile envanter_berat.sch dosyaları güncellendi._x000D_
_x000D_
xml dizini =&gt; "E" xml ile envanter.xslt dosyaları güncellendi.</t>
  </si>
  <si>
    <t>Oluşturulan tablolar:_x000D_
ST_ENVANTER_MAIN_x000D_
ST_ENVANTER_ISLEM_x000D_
ST_ENTRY_HEADER_ENVANTER_x000D_
ST_ENTRY_DETAIL_ENVANTER_x000D_
_x000D_
Firma bazlı temp tabloların oluşturulması için metot eklendi._x000D_
ST_ENVANTER_MAIN_TMP_x000D_
ST_ENTRY_HEADER_ENVANTER_TMP_x000D_
ST_ENTRY_DETAIL_ENVANTER_TMP_x000D_
_x000D_
ST_ENVANTER_MAIN classı oluşturularak insert, update ve gerekli metotlar eklendi.;21/Jan/26 5:25 PM;batikan.ozturk;64800</t>
  </si>
  <si>
    <t>19/Jan/26 11:50 AM;atakan.akyildiz;e-Defter_Paketi.zip;http://192.168.124.186:8080/secure/attachment/15847/e-Defter_Paketi.zip</t>
  </si>
  <si>
    <t>0|i01bwk:qf8qzy</t>
  </si>
  <si>
    <t>Envanter Defteri kapsamında eDefter Uygulaması altına yeni bir tab açılacak_x000D_
_x000D_
Açılış envanter yükleme alanı_x000D_
_x000D_
Kapanış envanter yükleme alanı_x000D_
_x000D_
Açılış envanter 1.deftere, kapanış envanteri 12.defter ile bağlantılı olacak_x000D_
Envanter defterleri, defterlerin açılış-kapanış durumlarını kontrol ve takip edecek_x000D_
_x000D_
Açılış defteri onayı sonrası envanter defteri yüklenebilecek, benzer şekilde Kapanış defteri onayı sonrası envanter defteri yüklenebilecek</t>
  </si>
  <si>
    <t>Oluşturulan classlar:_x000D_
ST_ENVANTER_MAIN_TMP_x000D_
ST_ENVANTER_ISLEM_x000D_
ST_ENTRY_HEADER_ENVANTER_x000D_
ST_ENTRY_HEADER_ENVANTER_TMP_x000D_
ST_ENTRY_DETAIL_ENVANTER_TMP_x000D_
ST_ENTRY_DETAIL_ENVANTER_x000D_
DefterKaydetEnvanter_x000D_
_x000D_
_x000D_
Oluşturulan spler:_x000D_
sp_DeleteTmpSubeliEnvanter_x000D_
sp_GetFirmHatasizEnvanterByDate_x000D_
_x000D_
örnek yüklenecek xml hazırlandı._x000D_
envanter defteri yükleme için gerekli olan classlar metotlar spler yazıldı._x000D_
E-Envanter -&gt; Yükleme Araçları -&gt; Xml ile Yükleme Envanter sayfası oluşturuldu._x000D_
eDefterCrmServisine CreateEnvanterTmpTable metotu eklenerek idFirma bilgisiyle tmp tablolarının oluşturulması sağlandı._x000D_
Örnek xml yüklendi ve verilerin doğru bir şekilde tmp tablolara akışı kontrol edildi.;23/Jan/26 9:03 PM;batikan.ozturk;32400</t>
  </si>
  <si>
    <t>Eklenen spler:_x000D_
_x000D_
sp_AnalizIslemEnvanter_x000D_
sp_DefterOlusturmaEnvanter_x000D_
sp_SematronKontroluEnvanter_x000D_
sp_EnvanterParcadakiSonSatirinMaddeNumarasi_x000D_
sp_EnvanterParcadakiSonSatirinMaddeNumarasi2_x000D_
_x000D_
Eklenen tablolar:_x000D_
_x000D_
GN_BIRIM_KOD_x000D_
GN_ANALIZ_SORU_ENVANTER_x000D_
ST_ENVANTER_ISLEM_DETAY_x000D_
ST_ENVANTER_ISLEM_TARIH_x000D_
ST_ENVANTER_ISLEM_DETAY_TARIH_x000D_
_x000D_
_x000D_
_x000D_
 ;24/Jan/26 9:08 PM;batikan.ozturk;32400</t>
  </si>
  <si>
    <t>Silme işlemleri sayfası eklendi, metotlar eklendi.;24/Jan/26 11:20 PM;batikan.ozturk;10800</t>
  </si>
  <si>
    <t>Veri Analizi ve Envanter İşlemleri sayfaları oluşturuldu, metotları yazıldı, spleri eklendi, scriptleri eklendi._x000D_
_x000D_
Envanter işlemleri için Scheduler servis oluşturuldu._x000D_
EnvanterXml oluşturmak için metot eklendi alanların kontrolleri sağlandı._x000D_
_x000D_
Oluşturulan spler:_x000D_
_x000D_
sp_MaxUniqueNumberEnvanter_x000D_
sp_BeratDonemKontroluEnvanter_x000D_
sp_GetEnvanterIslemleriGridByIdFirma_x000D_
sp_EnvanterHesapla_x000D_
_x000D_
 _x000D_
_x000D_
 ;25/Jan/26 10:12 PM;batikan.ozturk;32400</t>
  </si>
  <si>
    <t>SchedulerEnvanterService windows servis oluşturuldu ve test ortama kurulumu yapıldı._x000D_
_x000D_
EnvanterAnalizTrigger_x000D_
EnvanterXbrlIslemleriTrigger_x000D_
EnvanterSematronKontrolTrigger jobları yazıldı._x000D_
_x000D_
Envanter_Scheduler_Create metotuyla Envanter Defteri ve Envanter Beratı xbrl oluşturma işlemleri eklendi._x000D_
_x000D_
ST_ENTRY_DETAIL_ENVANTER_Model_x000D_
ST_ENTRY_HEADER_ENVANTER_Model_x000D_
ST_ENVANTER_MAIN_Model_x000D_
Modelleri eklendi._x000D_
_x000D_
Örnek xmle uygun şekilde içeri aktarılan envanter defterinin, analiz, xbrl oluşturma ve şema/şematron kontrollerinden geçerek imzalanabilir aşamaya gelmesi sağlandı.;27/Jan/26 2:30 PM;batikan.ozturk;64800</t>
  </si>
  <si>
    <t>Gib-testmatik için Elvan Gürler ile birlikte örnek 5 adet xbrl dosyası imzalanmaya uygun şekilde hazırlandı.;27/Jan/26 5:25 PM;batikan.ozturk;10800</t>
  </si>
  <si>
    <t>Berat işlemleri ve onay işlemleri sayfaları oluşturuldu, scriptler eklendi metotlar eklendi.;06/Feb/26 2:47 PM;batikan.ozturk;64800</t>
  </si>
  <si>
    <t>Eklenen spler:_x000D_
_x000D_
sp_MoveEnvanterIslemToTarihByIdEnvanterMain_x000D_
 sp_GetEnvanterBeratIslemleriGridByIdFirma_x000D_
_x000D_
Envanter Listeleme sayfası eklendi, listeleme, görüntüleme, xml ve zip indirme, hatalı işaretleme, GİB 'den envanter defterinin silinme kontrolü eklendi, dosya taşıma işlemleri eklendi. Scriptler eklendi.;11/Feb/26 5:41 PM;batikan.ozturk;32400</t>
  </si>
  <si>
    <t>27/Jan/26 2:31 PM;batikan.ozturk;Envanter_Islemleri.png;http://192.168.124.186:8080/secure/attachment/15861/Envanter_Islemleri.png</t>
  </si>
  <si>
    <t>27/Jan/26 2:31 PM;batikan.ozturk;Silme_Islemleri.png;http://192.168.124.186:8080/secure/attachment/15862/Silme_Islemleri.png</t>
  </si>
  <si>
    <t>27/Jan/26 2:31 PM;batikan.ozturk;SolMenü.png;http://192.168.124.186:8080/secure/attachment/15863/SolMen%C3%BC.png</t>
  </si>
  <si>
    <t>27/Jan/26 2:31 PM;batikan.ozturk;Veri_Analizi.png;http://192.168.124.186:8080/secure/attachment/15864/Veri_Analizi.png</t>
  </si>
  <si>
    <t>27/Jan/26 2:31 PM;batikan.ozturk;Xml_Yukleme.png;http://192.168.124.186:8080/secure/attachment/15865/Xml_Yukleme.png</t>
  </si>
  <si>
    <t>0|i01bwk:qk</t>
  </si>
  <si>
    <t>24/Jan/26 9:11 PM;batikan.ozturk;Veri analizinde sorulacak sorular aşağıdaki gibidir, 10 ve 11. soruların isimlerinde değişiklik yapılacaktır._x000D_
_x000D_
1- Envanter madde numaraları kendi içinde benzersiz mi?_x000D_
2- Envanter madde numaraları bir önceki deftere göre ve kendi içinde sıralı mı?_x000D_
3- Fiş satırlarındaki sıra numaraları benzersiz mi?_x000D_
4- Fiş satırlarındaki sıra numaraları bir önceki deftere göre ve kendi içinde sıralı mı?_x000D_
5- Geçici tablodaki dönem daha önce Asıl Tabloya atılmış mı?_x000D_
6- Geçici tablodaki envanter madde numaraları Asıl Tabloda var mı?_x000D_
7- Aktarılacak dönem sıralı mı?_x000D_
8- Son Döneme ait tüm işlemler tamamlandı mı? (GİB Onaylı Beratlar yüklendi mi?)_x000D_
9- Bugünden ileri tarihli kayıt var mı?_x000D_
10- MEASURABLE_ID olması durumunda MEASURABLE_QUANTITY ve MEASURABLE_UNIT_OF_MEASURE olmalıdır._x000D_
11- AMOUNT_ORIGINAL_AMOUNT olması durumunda AMOUNT_ORIGINAL_CURRENCY, AMOUNT_ORIGINAL_EXCHANGE_RATE ve AMOUNT_ORIGINAL_EXCHANGE_RATE_DATE olmalıdır._x000D_
12- Birim Kodları Geçerli mi?_x000D_
13- Geçici Tablodaki Dönemin Finans Yılı ile Aktif Finans Yılı tutarlı mı?_x000D_
14- Dönemin ilk defterindeki Envanter Kayıt Numarası ve Fiş Satır Sayısı 1 ile başlamalıdır._x000D_
15- Diğer veri kontrolleri.</t>
  </si>
  <si>
    <t>27/Jan/26 2:31 PM;batikan.ozturk;Oluşturulan ekranların görselleri ekte paylaşılmıştır.</t>
  </si>
  <si>
    <t>Duyuru Yönetimi – Liste Ekranı Geliştirilmesi</t>
  </si>
  <si>
    <t>DAVS-195</t>
  </si>
  <si>
    <t>DAVS</t>
  </si>
  <si>
    <t>*Açıklama:*_x000D_
_x000D_
Ana sayfa içerikleri ve sistem duyurularının listelendiği yönetim ekranının geliştirilmesi. Bu ekran üzerinden içerikler görüntülenebilmeli, filtrelenebilmeli, sıralanabilmeli ve temel aksiyonlar (görüntüle, düzenle, sil) yapılabilmelidir._x000D_
_x000D_
*Gereksinimler:*_x000D_
_x000D_
Kullanıcılar sol menü yer alan İçerik Yönetimi/ Duyurular başlığına tıkladığında bu ekrana ulaşmalıdır. _x000D_
_x000D_
Sayfanın başında menünün adı olan Duyuru Yönetimi başlığı yer almalıdır. _x000D_
_x000D_
Başlığın altına "Ana sayfa içerikleri ve sistem duyurularını yönetin" yazmalıdır. _x000D_
_x000D_
Bu cümlenin altına ise kullanıcıya bu sayfadaki değişikliklerin tüm saklama uygulaması kullanıcılarını etkileyeceğine dahil bilgilendirme uyarısı yer almalıdır._x000D_
_x000D_
Başında info ikonu olacak şekilde _x000D_
_x000D_
"İçerik Gösterimi_x000D_
_x000D_
Ana sayfa içerikleri ve duyurular belirlenen tarih aralığında aktif olur. Tüm içerikler belirlenen konumlarda ve hedef kitlelere gösterilir."_x000D_
_x000D_
Listeleme ekranı _x000D_
_x000D_
 _x000D_
_x000D_
 </t>
  </si>
  <si>
    <t>DAVS-185</t>
  </si>
  <si>
    <t>0|i01cf3:8zzzzzzzzz9</t>
  </si>
  <si>
    <t>SSS Ekleme ve Düzenleme</t>
  </si>
  <si>
    <t>DAVS-194</t>
  </si>
  <si>
    <t>*Açıklama:*_x000D_
_x000D_
SSS Yönetimi ekranında kullanıcıların yeni SSS ekleyebilmesi ve mevcut SSS kayıtlarını düzenleyebilmesi için ekranların geliştirilmesi._x000D_
_x000D_
*Gereksinimler:*_x000D_
_x000D_
*Yeni SSS Ekleme Akışı:*_x000D_
_x000D_
Kullanıcı "Yeni SSS Ekle" butonuna tıklandığında pop-up ekranı açılmalıdır. _x000D_
_x000D_
Pop-up ekranında bulunması gereken alanlar aşağıdaki gibidir._x000D_
_x000D_
Tip --&gt; Dropdown: Login / Uygulama İçi _x000D_
_x000D_
Soru --&gt; zorunlu, 250 karakter sınırı olmalıdır._x000D_
_x000D_
Cevap --&gt; zorunlu, 2000 karakter sınırı olmalıdır._x000D_
_x000D_
Durum–&gt; Taslak / Aktif / Pasif, dropdown_x000D_
_x000D_
Sıra --&gt; Sayısal veri giriş alanı_x000D_
_x000D_
Başarılı kayıt sonrası liste ekranına yönlendirme ve başarı mesajı vermelidir. _x000D_
_x000D_
Teknik analiz sırasında sıralama validasyonları netleştirilmelidir. Burdaki akışlar net olmalıdır. _x000D_
_x000D_
*SSS Düzenleme Akışı:*_x000D_
_x000D_
Kullanıcı SSS Yönetimi ekranından listeden ilgili sss düzenle dediğinde kullanıcıya ekleme alanında yer alan alanlar sunulmalıdır. Kullanıcıya sunulan alanda daha önce oluşturduğu bilgiler sunulmalıdır. Bu bilgiler üzerinden güncelleme işlemi yapabilmelidir. _x000D_
_x000D_
*Kabul Kriterleri:*_x000D_
 #  Kullanıcı “Yeni SSS Ekle” butonuna tıkladığında pop-up ekran açılmalıdır._x000D_
 #  Pop-up ekranında aşağıdaki alanlar bulunmalıdır: Tip (Dropdown: Login / Uygulama İçi), Soru (zorunlu, maksimum 250 karakter), Cevap (zorunlu, maksimum 2000 karakter), Durum (Dropdown: Taslak / Aktif / Pasif), Sıra (sayısal veri girişi)_x000D_
 #  Soru ve Cevap alanlarında karakter sınırları geçilmemelidir; geçilirse kullanıcıya uygun uyarı gösterilmelidir._x000D_
 #  Soru ve Cevap alanları boş bırakılmamalıdır; boş bırakılırsa form validasyon hatası verilmelidir._x000D_
 #  Sıra alanı için validasyonlar teknik analiz sürecinde netleştirilmeli ve formda uygun kontroller sağlanmalıdır._x000D_
 #  Kullanıcı formu başarıyla doldurup kaydettiğinde, kayıt backend’e gönderilmeli ve başarı mesajı gösterilmelidir._x000D_
 #  Başarılı kayıt sonrası pop-up kapanmalı ve liste ekranı güncellenerek yeni kayıt görünmelidir._x000D_
 #  Kullanıcı SSS listesinden Düzenle seçeneğine tıkladığında, pop-up ekran açılmalı ve mevcut kayıt bilgileri form alanlarına dolu şekilde gelmelidir._x000D_
 #  Kullanıcı mevcut bilgileri güncelleyebilmeli ve form validasyonları aynı şekilde çalışmalıdır (zorunlu alanlar, karakter sınırları, sıralama validasyonu vb)._x000D_
 #  Güncelleme işlemi başarılı olursa kullanıcıya başarı mesajı gösterilmeli, pop-up kapanmalı ve liste güncellenmelidir._x000D_
 #  Güncelleme sırasında hata oluşursa kullanıcıya uygun hata mesajı gösterilmelidir._x000D_
_x000D_
 </t>
  </si>
  <si>
    <t>0|i01cf3:hy</t>
  </si>
  <si>
    <t>03/Mar/26 10:27 AM;gulnur.aka;İsterler düzenlenmiştir teknik analiz çalışmalarına başlanabilir haldedir. [~zeynep.oran] [~ceren.sertkaya]_x000D_
_x000D_
Proje yöneticisin takibi için [~hasan.coskun]</t>
  </si>
  <si>
    <t>SSS Listeleme Ekranı</t>
  </si>
  <si>
    <t>DAVS-193</t>
  </si>
  <si>
    <t>*Açıklama:*_x000D_
_x000D_
SSS Yönetimi ekranının listeleme, ekleme, düzenleme, silme, filtreleme, sıralama ve durum yönetimi fonksiyonları ile birlikte uçtan uca geliştirilmesi sağlayan ekranın oluşturulması. _x000D_
_x000D_
Listeleme ve filtreleme fonksiyonlarının sağlanması. _x000D_
_x000D_
*Gereksinimler:*_x000D_
_x000D_
Kullanıcıya liste ekranında aşağıdaki kolonlar sunulmalıdır:_x000D_
_x000D_
Sıra --&gt; Uygulamadaki gösterim sıralaması._x000D_
_x000D_
Tip --&gt; Login, Uygulama İçi olmak üzere iki farklı seçenek kullanıcıya sunulmalıdır. _x000D_
_x000D_
Soru --&gt; Kullanıcının daha önce oluşturduğu başlık içeriği_x000D_
_x000D_
Cevap --&gt; Kullanıcının daha önce oluşturduğu cevap içeriği_x000D_
_x000D_
Yayın Durumu --&gt; Aktif, Pasif, Taslak bilgisinin gösterildiği alan_x000D_
_x000D_
İşlemler --&gt; Kullanıcı bu adımda düzenleme, Aktif/Pasif Et, Sil fonksiyonlarını bu alanda sunmalıdır. _x000D_
 * Kullanıcı mevcut kaydı düzenleyebilmelidir._x000D_
_x000D_
 * Aktif pasif hale getirebilmelidir. (Taslak statusundeki içeriklere bu fonksiyon sunulmamalıdır.)_x000D_
 * Kullanıcı SSS kaydını silebilmelidir (silmeden önce onay alınmalıdır)._x000D_
_x000D_
Yeni SSS Ekle butonu bulunmalıdır. Kullanıcı bu butona tıkladığında yeni sss oluşturabileceği ekran sunulmalıdır. _x000D_
_x000D_
Kullanıcı aşağıdaki alanlara göre filtreleme yapabilmelidir. _x000D_
_x000D_
Soru/Metin Arama --&gt; Text_x000D_
_x000D_
Tip --&gt; Login, Uygulama İçi - Dropdown_x000D_
_x000D_
Durum --&gt; Aktif, Pasif, Taslak Dropdown_x000D_
_x000D_
 *Kabul Kriterleri:*_x000D_
 # Kullanıcı SSS Yönetimi ekranına eriştiğinde liste ekranı görüntülenmelidir._x000D_
 # Liste ekranında aşağıdaki kolonlar yer almalıdır: Sıra (uygulamadaki gösterim sıralamasını ifade eder), Tip (Login / Uygulama İçi), Soru, Cevap, Yayın Durumu (Aktif / Pasif / Taslak), İşlemler_x000D_
 # Sıra kolonu varsayılan olarak artan şekilde listelenmelidir._x000D_
 # Tip kolonu yalnızca “Login” ve “Uygulama İçi” değerlerini göstermelidir._x000D_
 # Yayın Durumu kolonu yalnızca “Aktif”, “Pasif” ve “Taslak” statülerini göstermelidir._x000D_
 # İşlemler kolonu aşağıdaki aksiyonları içermelidir:Düzenle, Aktif/Pasif Et, Sil_x000D_
 # Kullanıcı Düzenle seçeneğine tıkladığında mevcut kayıt bilgileri dolu şekilde düzenleme ekranı açılmalıdır._x000D_
 # Kullanıcı düzenleme ekranında değişiklik yapıp kaydedebilmelidir._x000D_
 # Kullanıcı Aktif/Pasif Et seçeneği ile kaydın durumunu değiştirebilmelidir._x000D_
 # Taslak statüsündeki içeriklerde Aktif/Pasif Et fonksiyonu görüntülenmemelidir._x000D_
 # Kullanıcı Sil seçeneğine tıkladığında onay modalı açılmalıdır._x000D_
 # Kullanıcı silme işlemini onayladığında kayıt listeden kaldırılmalıdır._x000D_
 # Liste ekranında “Yeni SSS Ekle” butonu bulunmalıdır._x000D_
 # Kullanıcı bu butona tıkladığında yeni SSS oluşturma ekranı açılmalıdır._x000D_
 # Yeni SSS oluşturma ekranında gerekli alanlar doldurularak kayıt oluşturulabilmelidir._x000D_
 # Kullanıcı aşağıdaki alanlara göre filtreleme yapabilmelidir: Soru/Metin Arama (text input), Tip (Login / Uygulama İçi – dropdown), Durum (Aktif / Pasif / Taslak – dropdown)_x000D_
 # Filtreleme işlemi uygulandığında liste sonuçları güncellenmelidir._x000D_
 # Birden fazla filtre aynı anda uygulanabilmelidir._x000D_
 # Filtreler temizlendiğinde liste varsayılan görünümüne dönmelidir._x000D_
 # Filtreleme sonucunda kayıt bulunamazsa kullanıcıya bilgilendirici boş durum mesajı gösterilmelidir._x000D_
_x000D_
 </t>
  </si>
  <si>
    <t>0|i01cf3:hr</t>
  </si>
  <si>
    <t>"Ürün ve Entegrasyon Yönetimi" Filtreleme</t>
  </si>
  <si>
    <t>DAVS-192</t>
  </si>
  <si>
    <t>*Açıklama:*_x000D_
_x000D_
Ürün &amp; Entegrasyon Yönetimi liste ekranında kullanıcıların kayıtları belirli kriterlere göre filtreleyebilmesini sağlayacak geliştirme yapılacaktır._x000D_
_x000D_
*Gereksinim:*_x000D_
_x000D_
Liste ekranında filtreleme alanı bulunmalıdır._x000D_
_x000D_
Kullanıcı *Başlık* alanına göre metin bazlı arama yapabilmelidir._x000D_
_x000D_
Kullanıcı *Durum* alanına göre filtreleme yapabilmelidir (Aktif, Taslak, Pasif)._x000D_
_x000D_
Kullanıcı *Etiket* alanına göre filtreleme yapabilmelidir._x000D_
_x000D_
Etiket filtresi tekli ve/veya çoklu seçim desteklemelidir._x000D_
_x000D_
Kullanıcı birden fazla filtreyi aynı anda uygulayabilmelidir._x000D_
_x000D_
Filtreleme uygulandığında liste sonuçları güncellenmelidir._x000D_
_x000D_
Filtreleme işlemi performanslı çalışmalıdır._x000D_
_x000D_
Filtrelerin temizlenebilmesi için “Temizle” butonu bulunmalıdır._x000D_
_x000D_
Filtreler temizlendiğinde liste varsayılan görünümüne dönmelidir._x000D_
_x000D_
Filtreleme sonucunda kayıt bulunamazsa kullanıcıya bilgilendirici bir boş durum mesajı gösterilmelidir._x000D_
_x000D_
*Kabul Kriterleri:*_x000D_
 # Liste ekranında filtre alanı bulunmalıdır._x000D_
 # Filtreleme işlemi uygulandığında liste sonuçları anlık olarak güncellenmelidir._x000D_
 # Birden fazla filtre aynı anda çalışabilmelidir (örneğin: Durum = Aktif + Etiket = KEP)._x000D_
 # Filtre temizleme butonu bulunmalıdır._x000D_
 # Filtreler temizlendiğinde liste varsayılan sıralama düzenine dönmelidir._x000D_
 # Filtreleme sonucu kayıt bulunamazsa uygun bir mesaj gösterilmelidir._x000D_
 # Filtreleme performanslı çalışmalıdır._x000D_
 # Kullanıcı aşağıdaki alanlara göre filtreleme yapabilmelidir: Başlık (metin bazlı arama), Durum (Aktif / Taslak / Pasif), Etiket (tekli veya çoklu seçim desteklenmeli)</t>
  </si>
  <si>
    <t>0|i01cf3:hi</t>
  </si>
  <si>
    <t>03/Mar/26 8:50 AM;gulnur.aka;İsterler düzenlenmiştir. Gelecek hafta refirementta konuşulması planlanmaktadır. İlgili teknik analiz süreci başlatılabilir. [~ceren.sertkaya] [~zeynep.oran] _x000D_
_x000D_
Proje yöneticisini süreç takibi için ekliyorum. [~hasan.coskun]</t>
  </si>
  <si>
    <t>"Ürün ve Entegrasyon Yönetimi" Listelenmesi</t>
  </si>
  <si>
    <t>DAVS-191</t>
  </si>
  <si>
    <t>*Açıklama:*_x000D_
_x000D_
Admin panel üzerinden ürün ve entegrasyonların listelenmesi, sıralanması, filtrelenmesi, durum yönetiminin yapılabilmesini sağlayan modülün geliştirilmesi._x000D_
_x000D_
*Gereksinim:*_x000D_
_x000D_
Kullanıcılar sol menü yer alan ürün/entegrasyon ayarları başlığına tıkladığında bu ekrana ulaşmalıdır. _x000D_
_x000D_
Sayfanın başında menünün adı olan Ürün&amp;Entegrasyon Yönetimi başlığı yer almalıdır. _x000D_
_x000D_
Başlığın altına "Kullanıcılara gösterilecek ürün ve entegrasyonları yönetin" yazmalıdır. _x000D_
_x000D_
Bu cümlenin altına ise kullanıcıya bu sayfadaki değişikliklerin nerede yapılacağına dahil bilgilendirme uyarısı yer almalıdır._x000D_
_x000D_
Başında belirlenecek bir ikon ile "Aktif ürünler ve entegrasyonlar kullanıcıların "Entegrasyonlarım" sayfasında görüntülenecektir. "_x000D_
_x000D_
Liste ekranında yer alan kolonlar sırasıyla aşağıdaki gibi olmalıdır. _x000D_
_x000D_
*Sıra --&gt;* Saklama uygulamasında kaçıncı sırada gösterim yapacağını belirtir. _x000D_
_x000D_
*Başlık* _x000D_
_x000D_
*Kısa Açıklama*_x000D_
_x000D_
*Durum --&gt;* Aktif, taslak, pasif bilgisinin verilmesi. _x000D_
_x000D_
*İşlemler --&gt;* Kullanıcı işlemlere tıkladığında "Düzenle, Aktif/Pasif Yap, Sil" fonksiyonlarını sunmalıdır. _x000D_
_x000D_
Kullanıcı düzenle dediğinde kullanıcıya ekle pop-up ekranı gibi bilgilerin dolu geldiği bir ekran sunmalıdır. Kullanıcı dilediği gibi değişiklik yapabilmelidir. _x000D_
_x000D_
Kullanıcı Aktif/ Pasif Yap dediğinde dediğinde statusunun değişmesi beklenmektedir. _x000D_
_x000D_
Sil aktif, pasif, taslak gibi tüm statülerde kullanıcıya sunulmalıdır. _x000D_
_x000D_
*Kabul Kriterleri:*_x000D_
 # Kullanıcı, sol menüde yer alan Ürün/Entegrasyon Ayarları başlığına tıkladığında Ürün &amp; Entegrasyon Yönetimi ekranına yönlendirilmelidir._x000D_
 # Sayfa açıldığında üst bölümde “Ürün &amp; Entegrasyon Yönetimi” başlığı görünmelidir._x000D_
 # Başlığın altında “Kullanıcılara gösterilecek ürün ve entegrasyonları yönetin” açıklama metni yer almalıdır._x000D_
 # Açıklama metninin altında bilgilendirme uyarı alanı bulunmalıdır._x000D_
 # Uyarı alanı bir ikon ile başlamalıdır._x000D_
 # Uyarı metni: “Aktif ürünler ve entegrasyonlar kullanıcıların ‘Entegrasyonlarım’ sayfasında görüntülenecektir.” şeklinde olmalıdır._x000D_
 # Liste ekranında kolonlar sırasıyla şu şekilde olmalıdır: Sıra, Başlık, Kısa Açıklama, Durum, İşlemler_x000D_
 # Sıra kolonu, ürünün uygulamada kaçıncı sırada gösterileceğini ifade etmelidir._x000D_
 # Durum kolonu yalnızca şu statüleri göstermelidir: Aktif, Taslak, Pasif._x000D_
 # İşlemler kolonu tıklandığında şu aksiyonları sunmalıdır: Düzenle, Aktif/Pasif Yap, Sil_x000D_
 # Kullanıcı Düzenle seçeneğine tıkladığında, ekleme pop-up ekranı ile aynı form alanlarını içeren ve mevcut bilgilerin dolu geldiği bir ekran açılmalıdır._x000D_
 # Kullanıcı düzenleme ekranında bilgileri değiştirebilmeli ve kaydedebilmelidir._x000D_
 # Kullanıcı Aktif/Pasif Yap seçeneğine tıkladığında ilgili kaydın durumu anlık olarak değişmelidir._x000D_
 # Durum değişikliği sonrasında liste ekranında güncel statü gösterilmelidir._x000D_
 # Sil aksiyonu Aktif, Taslak ve Pasif statüsündeki tüm kayıtlar için erişilebilir olmalıdır._x000D_
 # Silme işlemi öncesinde kullanıcıdan onay alınmalıdır._x000D_
 # Silme işlemi sonrası kayıt listeden kaldırılmalıdır._x000D_
_x000D_
 _x000D_
_x000D_
 </t>
  </si>
  <si>
    <t>0|i01cf3:h</t>
  </si>
  <si>
    <t>03/Mar/26 8:40 AM;gulnur.aka;İsterler düzenlenmiştir teknik analiz çalışmalarına başlanabilir haldedir. [~zeynep.oran] [~ceren.sertkaya]_x000D_
_x000D_
Proje yöneticisin takibi için [~hasan.coskun]</t>
  </si>
  <si>
    <t>Entegrasyonlarım Sayfası – Ekran İçerik Alanlarının Ekleme/Güncelleme</t>
  </si>
  <si>
    <t>DAVS-190</t>
  </si>
  <si>
    <t>*Açıklama:*_x000D_
_x000D_
Entegrasyonlarım sayfasında yer alan içeriklerin admin paneli üzerinden yönetilebilir ve güncellenebilir olması gerekmektedir._x000D_
_x000D_
*Gereksinimler:*_x000D_
_x000D_
Admin ekranında, entegrasyon ekleme/düzenleme ekranında aşağıdaki alanları içermelidir:_x000D_
_x000D_
 _x000D_
_x000D_
*Başlık* --&gt; Zorunlu alan olmalıdır. En fazla 30 karakter sınırı koyulmalıdır._x000D_
_x000D_
*Kısa Açıklama* --&gt; Zorunlu alan olmalıdır. En fazla 60 karakter sınırı koyulmalıdır._x000D_
_x000D_
*Açıklama --&gt;* Zorunlu alan olmalıdır. Metin 2500 karakter sınırı koyulmalıdır. _x000D_
_x000D_
*Sıralama (Başlık Sırası)* --&gt; Eklenecek sıralamanın herhang bir kısıt koyulmamalıdır. Bir sıralamadan bir tane olabilir. Bundan dolayı analiz yapılırken dikkat edilmesi gereken caseler belirlenmelidir. _x000D_
_x000D_
*Etiketler --&gt;* Kullanıcı en fazla iki etiket ekleyebilir. Daha önceden eklenmiş etiket var ise bu etiket kullanıcın eklemek istediğin etiketle bağlantılıysa kullanıcıya dropdown ile sunulmalıdır._x000D_
_x000D_
Örneğin; kullanıcı *ke* ile yazmaya başladığında daha önceden eklenmiş *kep, kep entegrasyon* gibi kelimeler dorpdownda kullanıcıya sunulmalıdır. Eğer kullanıcının eklemek istediği etiket daha önce eklemişse bu durumda kullanıcı yeni etiket oluşturabilmelidir._x000D_
_x000D_
Kullanıcı ikiden fazla etiket eklemk isterse sistem izin vermeli ve kullanıcıyu bilgilendirecek uyarı metni ınputun altına eklenmelidir. _x000D_
_x000D_
Kullanıcı ekle / sil fonksiyonlarınıyapılabilmeli_x000D_
_x000D_
*Ana Fotoğraf* *Yükle*--&gt; Kullanıcının localden görsel seçimi yapabilmelidir. Kullanıcı en fazla bu alan için 1 görsel ekleyebilmelidir._x000D_
_x000D_
*Detay Görsel Yükle* --&gt; Kullanıcının localden görsel seçimi yapabilmelidir. En fazla 10 görsel eklenmesine izin verilmelidir._x000D_
_x000D_
Kullanıcı uygulama içerisindeki göstrim sırasını belirleyebilmelidir. _x000D_
_x000D_
*Taslak Olarak Kaydet --&gt;* Kullanıcı taslak olarak kaydetmesi sağlanır. _x000D_
_x000D_
*İptal --&gt;* Kullanıcı işlemi iptal eder._x000D_
_x000D_
*Önizleme --&gt;* Kullanıcıya uygulamada nasıl olacağının gösterimini sağlar. _x000D_
_x000D_
*Kaydet*_x000D_
_x000D_
 _x000D_
_x000D_
*Kabul Kriterleri:*_x000D_
 # Admin panelinde entegrasyon ekleme/düzenleme ekranı üzerinden içerikler oluşturulabilir ve güncellenebilir olmalıdır._x000D_
 # Başlık alanı zorunlu olmalı ve en fazla 30 karakter girişine izin vermelidir. Limit aşıldığında kullanıcıya validasyon mesajı gösterilmelidir._x000D_
 # Kısa Açıklama alanı zorunlu olmalı ve en fazla 60 karakter ile sınırlandırılmalıdır._x000D_
 # Açıklama alanı zorunlu olmalı ve en fazla 2500 karakter ile sınırlandırılmalıdır._x000D_
 # Sıralama (Başlık Sırası) alanında herhangi bir üst limit kısıtı olmamalıdır; aynı sıralama değerine sahip birden fazla kayıt eklenememeli, çakışma durumları için gerekli validasyon ve analiz yapılmış olmalıdır._x000D_
 # Etiket alanında kullanıcı en fazla 2 etiket ekleyebilmelidir. Üçüncü etiket eklenmek istendiğinde sistem izin vermemeli ve input altında bilgilendirici uyarı mesajı gösterilmelidir._x000D_
 # Etiket alanı autocomplete/dynamic dropdown yapısında çalışmalıdır. Kullanıcı yazmaya başladığında mevcut etiketler öneri olarak listelenmelidir (örneğin “ke” yazıldığında daha önce tanımlanmış “kep”, “kep entegrasyon” gibi etiketler gösterilmelidir)._x000D_
 # Kullanıcı, mevcut etiketler arasında bulunmayan yeni bir etiket oluşturabilmelidir._x000D_
 # Kullanıcı eklediği etiketleri silebilmelidir._x000D_
 # Ana Fotoğraf Yükle alanında kullanıcı localden yalnızca 1 adet görsel yükleyebilmelidir; ikinci görsele izin verilmemelidir._x000D_
 # Detay Görsel Yükle alanında kullanıcı localden en fazla 10 adet görsel yükleyebilmelidir; limit aşıldığında uyarı gösterilmelidir._x000D_
 # Kullanıcı uygulama içerisindeki gösterim sırasını belirleyebilmelidir ve belirlenen sıra frontend tarafında doğru şekilde yansıtılmalıdır._x000D_
 # “Taslak Olarak Kaydet” butonu ile kayıt taslak statüsünde kaydedilebilmelidir._x000D_
 # “Önizleme” butonu ile kullanıcıya içeriğin uygulamada nasıl görüneceği gösterilmelidir._x000D_
 # “Kaydet” butonu ile zorunlu alan kontrolleri sağlandıktan sonra kayıt başarılı şekilde oluşturulmalı veya güncellenmelidir._x000D_
 # “İptal” butonu ile kullanıcı işlemden çıkabilmeli ve kayıt yapılmamalıdır._x000D_
_x000D_
 _x000D_
_x000D_
 _x000D_
_x000D_
 </t>
  </si>
  <si>
    <t>0|i01cf3:g</t>
  </si>
  <si>
    <t>02/Mar/26 5:33 PM;gulnur.aka;İsterler düzenlenmiştir teknik analiz çalışmalarına başlanabilir haldedir._x000D_
_x000D_
Teknik analiz yapılırken "Ana Fotoğraf Yükle, Detay Görsel Yükle" alanlarında görsellerin netliğini kaybetmemesi için yapılabilecek bir kısıtlama ya da optimize etme çalışmalarını değerlendirebilir misiniz? [~zeynep.oran] [~ceren.sertkaya]_x000D_
_x000D_
Proje yöneticisin takibi için [~hasan.coskun]</t>
  </si>
  <si>
    <t>OTP Ayarları Düzenleme</t>
  </si>
  <si>
    <t>DAVS-189</t>
  </si>
  <si>
    <t>*Açıklama:*_x000D_
_x000D_
Sistem yöneticileri, kullanıcıların OTP doğrulama ayarlarını yönetebilmelidir. Bu fonksiyon ile OTP karakter sayısı, geçerlilik süresi, maksimum deneme sayısı ve hesap kilitleme seçenekleri düzenlenebilir._x000D_
_x000D_
*Gereksinimler:*_x000D_
_x000D_
*OTP Karakter Sayısı* alanı dropdown ile kullanıcıya sunulmalıdır. Droplistte 4-6-8 seçenekleri kullanıcıya sunulmalıdır._x000D_
_x000D_
*OTP Geçerlilik Süresi (Dakika)* input alanı oluşturulmalı; kullanıcı geçerli süreyi dakika cinsinden girebilmeli._x000D_
_x000D_
*Maksimum Deneme Sayısı* input alanı oluşturulmalı; yalnızca sayısal giriş kabul edilmeli._x000D_
_x000D_
*Maksimum Deneme Aşıldığında Hesabı Kilitle* checkbox eklenmeli; aktif/pasif seçilebilir olmalı._x000D_
_x000D_
Kullanıcıya kaydet ve iptal et akışları sunulmalıdır. _x000D_
_x000D_
Kaydet butonu: yapılan değişiklikleri backend’e kaydeder ve doğrular._x000D_
_x000D_
İptal butonu: değişiklikleri iptal eder ve pop-up ekranını kapatır._x000D_
_x000D_
Tüm alanlar için geçerli input validasyonları ve kullanıcıya anlamlı hata mesajları eklenmeli._x000D_
_x000D_
Pop-up ekranı açıldığında üst kısmında *“OTP Ayarları Düzenle”* başlığı görünmelidir._x000D_
_x000D_
*Kabul Kriterleri:*_x000D_
 # Kullanıcı Düzenle butonuna tıkladığında OTP Ayarları düzenleme pop-up ekranı açılmalıdır._x000D_
 # Pop-up ekranının üst kısmında “OTP Ayarları Düzenle” başlığı görünmelidir._x000D_
 # Pop-up açıldığında tüm alanlar kullanıcıya okunabilir ve erişilebilir şekilde sunulmalıdır._x000D_
 # OTP Karakter Sayısı dropdown alanı oluşturulmalı ve yalnızca 4, 6, 8 seçenekleri sunulmalıdır._x000D_
 # OTP Geçerlilik Süresi (Dakika) input alanı oluşturulmalı; kullanıcı yalnızca pozitif sayısal değer girebilmelidir._x000D_
 # Maksimum Deneme Sayısı input alanı oluşturulmalı; yalnızca pozitif sayısal giriş kabul edilmelidir._x000D_
 # Maksimum Deneme Aşıldığında Hesabı Kilitle checkbox aktif/pasif olarak seçilebilir olmalıdır._x000D_
 # Tüm alanlarda geçersiz veya eksik girişlerde kullanıcıya anlamlı ve görünür hata mesajları gösterilmelidir._x000D_
 # Kullanıcı kaydet butonuna tıkladığında değişiklikler backend’e kaydedilmeli ve doğrulanmalıdır._x000D_
 # Başarılı kayıttan sonra liste ekranı veya ilgili özet bilgiler güncellenmelidir._x000D_
 # Kullanıcı iptal butonuna tıkladığında yapılan değişiklikler kaydedilmeden pop-up ekran kapanmalıdır.</t>
  </si>
  <si>
    <t>0|i01cf3:8zzzzzzzzzi</t>
  </si>
  <si>
    <t>27/Feb/26 6:06 PM;gulnur.aka;İsterler düzenlenmiştir. Gelecek hafta refirementta konuşulması planlanmaktadır. İlgili teknik analiz süreci başlatılabilir. [~ceren.sertkaya] [~zeynep.oran] _x000D_
_x000D_
Proje yöneticisini süreç takibi için ekliyorum. [~hasan.coskun]</t>
  </si>
  <si>
    <t>Parola Politikası Düzenleme</t>
  </si>
  <si>
    <t>DAVS-188</t>
  </si>
  <si>
    <t>*Açıklama:*_x000D_
_x000D_
Parola güvenliği için minimum ve maksimum uzunluk, karakter zorunlulukları, parola yenileme süresi ve eski parola kullanım kısıtlamalarının yönetilebileceği düzenleme fonksiyonun geliştirilmelidir._x000D_
_x000D_
*Gereksinimler:*_x000D_
_x000D_
*Minimum Uzunluk* alanı oluşturulmalı (örn. 8 karakter)_x000D_
_x000D_
*Maksimum Uzunluk* alanı oluşturulmalı (örn. 32 karakter)_x000D_
_x000D_
*Karakter Zorunlulukları* için checkbox kontrolleri eklenmeli:_x000D_
 * Büyük harf zorunluluğu (A-Z)_x000D_
 * Küçük harf zorunluluğu (a-z)_x000D_
 * Sayı zorunluluğu (0-9)_x000D_
 * Özel karakter zorunluluğu (!@#$%^&amp;*)_x000D_
_x000D_
*Parola Yenileme Süresi (Gün)* input alanı oluşturulmalı; 0 girildiğinde süresiz geçerli olmalı ve kullanıcıya ekranda bu bilgi sunulmaldır. "*0 girilirse süresiz geçerlidir*"_x000D_
_x000D_
*Eski Parola Tekrar Kullanım Adedi* input alanı oluşturulmalıdır. Kullanıcıya ekranda *"Son kaç parola tekrar kullanılamaz"* uyarısı sunulmaldıır._x000D_
_x000D_
Kaydet butonu; yapılan değişiklikleri backend’e kaydetmeli ve doğrulamalı_x000D_
_x000D_
İptal butonu; değişiklikleri iptal edip pop-up ekranını kapatabilmelidir._x000D_
_x000D_
Tüm alanlar için uygun validasyonlar ve hata mesajları eklenmeli_x000D_
_x000D_
Pop-up ekranı açıldığında üst kısmına Parola Politikası Düzenle başlığı kullanıcıya sunulmalıdır. _x000D_
_x000D_
Kullanıcı kaydet butonuna tıklandığında emin misin uyarı ekranı sunulmalıdır. _x000D_
_x000D_
*Kabul Kriterleri:*_x000D_
 # Kullanıcı *Düzenle* butonuna tıkladığında Parola Politikası düzenleme pop-up ekranı açılmalıdır._x000D_
 # Pop-up ekranının üst kısmında *“Parola Politikası Düzenle”* başlığı görünmelidir._x000D_
 # Pop-up açıldığında tüm alanlar kullanıcıya okunabilir ve erişilebilir şekilde sunulmalıdır._x000D_
 # *Minimum Uzunluk* alanı oluşturulmalı ve en az 1 karakter girilebilmelidir (örn. 8)._x000D_
 # *Maksimum Uzunluk* alanı oluşturulmalı ve minimum uzunluğun üzerinde olacak şekilde girilebilmelidir (örn. 32)._x000D_
 # *Karakter Zorunlulukları* için checkbox kontrolleri eklenmelidir._x000D_
 # *Parola Yenileme Süresi (Gün)* alanı oluşturulmalı; 0 girildiğinde parola süresiz geçerli olmalıdır._x000D_
 # *Eski Parola Tekrar Kullanım Adedi* alanı oluşturulmalı ve kullanıcı sadece sayısal değer girebilmelidir._x000D_
 # Tüm alanlarda geçersiz veya eksik girişlerde kullanıcıya anlamlı hata mesajları gösterilmelidir._x000D_
 # Kullanıcı kaydet butonuna tıkladığında sistem “Emin misiniz?” uyarısı göstermelidir._x000D_
 # Kullanıcı onay verdiğinde değişiklikler backend’e kaydedilmelidir._x000D_
 # Kaydetme başarılı ise liste ekranı ve mevcut ayarlar güncellenmelidir._x000D_
 # Kullanıcı iptal butonuna tıkladığında yapılan değişiklikler kaydedilmeden pop-up ekran kapanmalıdır._x000D_
_x000D_
 </t>
  </si>
  <si>
    <t>0|i01cf3:c</t>
  </si>
  <si>
    <t>27/Feb/26 6:00 PM;gulnur.aka;İsterler düzenlenmiştir. Gelecek hafta refirementta konuşulması planlanmaktadır. İlgili teknik analiz süreci başlatılabilir. [~ceren.sertkaya] [~zeynep.oran] _x000D_
_x000D_
Proje yöneticisini süreç takibi için ekliyorum. [~hasan.coskun]</t>
  </si>
  <si>
    <t>Güvenlik Ayarları Listeleme Ekranı</t>
  </si>
  <si>
    <t>DAVS-187</t>
  </si>
  <si>
    <t>*Açıklama:*_x000D_
_x000D_
Sistem yöneticileri için parola politikalarını ve OTP doğrulama ayarlarını yönetebilecekleri bir ekran oluşturulmalıdır._x000D_
_x000D_
Parola politikaları ve OTP ayarları görüntülenip, düzenlenebilmelidir._x000D_
_x000D_
*Gereksinimler:*_x000D_
_x000D_
Kullanıcılar sol menü yer alan güvenlik ayarları başlığına tıkladığında bu ekrana ulaşmalıdır. _x000D_
_x000D_
Sayfanın başında menünün adı olan Güvenlik Ayarları başlığı yer almalıdır. _x000D_
_x000D_
Başlığın altına "Parola politikası ve OTP ayarlarını yönetin" yazmalıdır. _x000D_
_x000D_
Bu cümlenin altına ise kullanıcıya bu sayfadaki değişikliklerin tüm saklama uygulaması kullanıcılarını etkileyeceğine dahil bilgilendirme uyarısı yer almalıdır._x000D_
_x000D_
Başında info ikonu olacak şekilde "Güvenlik politikası değişiklikleri tüm sistem kullanıcılarını etkiler. Her değişiklik anında aktif olur."_x000D_
_x000D_
Liste ekranında yer alan kolonlar sırasıyla *Aksiyon, Açıklama, Mevcut Ayarlar, İşlem* sunulmalıdır. _x000D_
_x000D_
Aksiyon: Parola Politikası ve OTP Ayarları başlıkları listelenmelidir._x000D_
_x000D_
Açıklama: İlgili aksiyonun açıklaması yer almalıdır. _x000D_
_x000D_
               Parola Politikası için --&gt; *Parolanın uzunluk, karakter içeriği ve yenileme kurallarını belirler*_x000D_
_x000D_
               OTP Ayarları için --&gt; *OTP kodunun uzunluğu, geçerlilik süresi ve deneme hakları kuralları*_x000D_
_x000D_
Mevcut Ayarlar: Genel bilgilendirme yer almalıdır. _x000D_
_x000D_
                Parola Politikası son ayarlanan (mevcut geçerli kural) uzunluk, kurallar ve yenileme bilgisi sunulmalıdır. _x000D_
_x000D_
                OTP Ayarlaraında son ayarlanan (mevcut geçerli kural) özet ve kilitleme bilgisi yer almalıdır. _x000D_
_x000D_
Örneğin:_x000D_
_x000D_
               Özet: 6 haneli, 5 dk geçerli, 3 deneme _x000D_
_x000D_
               Kilitleme: Aktif ya da pasif bilgisi yer almalıdır. _x000D_
_x000D_
 İşlem: Düzenle aksiyonu için Düzenle butonu bulunmalıdır. _x000D_
_x000D_
Kullanıcı düzenle butonuna tıkladıktan sonra pop-up ekranı ile edit yapabileceği alanlar sunulmaldıır. _x000D_
_x000D_
*Kabul Kriterleri:*_x000D_
 # Kullanıcılar, sol menüde yer alan Güvenlik Ayarları başlığına tıkladığında ilgili yönetim ekranına ulaşabilmelidir._x000D_
 # Sayfanın üst kısmında büyük puntolu ve belirgin şekilde Güvenlik Ayarları başlığı görünmelidir._x000D_
 # Başlığın hemen altında, daha küçük puntolu olarak “Parola politikası ve OTP ayarlarını yönetin” yazısı yer almalıdır._x000D_
 # Bu yazının altında, başında bilgi (info) ikonu bulunan ve şu metni içeren bilgilendirme uyarısı olmalıdır:_x000D_
 # Ekranda 4 kolon sırasıyla görünmelidir._x000D_
 # İşlem kolonunda her satır için Düzenle butonu yer almalıdır._x000D_
 # Kullanıcı Düzenle butonuna tıkladığında ilgili politika için düzenleme yapabileceği pop-up/modal ekran açılmalıdır._x000D_
 # Pop-up ekranında, ilgili politika için gerekli alanlar ve açıklamalar yer almalıdır._x000D_
 # Sayfa ve pop-up tasarımları responsive ve tüm yaygın tarayıcılarda uyumlu olmalıdır._x000D_
 # Tüm zorunlu alanlarda validasyonlar yapılmalı, kullanıcı hatalı girişte anlamlı uyarılar almalıdır.</t>
  </si>
  <si>
    <t>0|i01cf3:f</t>
  </si>
  <si>
    <t>27/Feb/26 5:48 PM;gulnur.aka;İsterler düzenlenmiştir. Gelecek hafta refirementta konuşulması planlanmaktadır. İlgili teknik analiz süreci başlatılabilir. [~ceren.sertkaya] [~zeynep.oran] _x000D_
_x000D_
Proje yöneticisini süreç takibi için ekliyorum. [~hasan.coskun]</t>
  </si>
  <si>
    <t>Tasarım Testleri</t>
  </si>
  <si>
    <t>DAVS-186</t>
  </si>
  <si>
    <t>Tasarım testleri bu sub-task üzerinden takip edilecektir.</t>
  </si>
  <si>
    <t>tasarımsal testler yapılmaya başlandı.;27/Feb/26 6:25 PM;aysenur.bilgic;7200</t>
  </si>
  <si>
    <t>görsel testlerim ve gözlemlerim bitmiştir. _x000D_
_x000D_
sayfa 2 de ilk alanda yer almayan bulgularım yer almaktadır.;02/Mar/26 5:38 PM;aysenur.bilgic;23400</t>
  </si>
  <si>
    <t>|Hesap ayarlarında takım üyeleri sayfasında web sayfası boyutu küçültülünce listeyi sağa doğru kaydırdığımda sol köşede mavi üçgen oluştuğunu gözlemledim.|_x000D_
!image-2026-03-03-18-22-36-485.png!!image-2026-03-03-18-22-43-535.png! _x000D_
-kullanım alanına tıklayınca kapanması için yeniden kullanım alanına tıklamam gerekiyor yoksa kapanmıyor;03/Mar/26 5:26 PM;aysenur.bilgic;900</t>
  </si>
  <si>
    <t>02/Mar/26 5:37 PM;aysenur.bilgic;Dijital_Arşiv_Saklama_Bulgular.xlsx;http://192.168.124.186:8080/secure/attachment/15952/Dijital_Ar%C5%9Fiv_Saklama_Bulgular.xlsx</t>
  </si>
  <si>
    <t>27/Feb/26 5:21 PM;gurkan.guney;Dijital_Arşiv_Saklama_Bulgular.xlsx;http://192.168.124.186:8080/secure/attachment/15950/Dijital_Ar%C5%9Fiv_Saklama_Bulgular.xlsx</t>
  </si>
  <si>
    <t>0|i01fcc:</t>
  </si>
  <si>
    <t>DAVS Sprint 7</t>
  </si>
  <si>
    <t>03/Mar/26 5:27 PM;aysenur.bilgic;|Hesap ayarlarında takım üyeleri sayfasında web sayfası boyutu küçültülünce listeyi sağa doğru kaydırdığımda sol köşede mavi üçgen oluştuğunu gözlemledim.|_x000D_
_x000D_
!image-2026-03-03-18-22-36-485.png!!image-2026-03-03-18-22-43-535.png!_x000D_
-kullanım alanına tıklayınca kapanması için yeniden kullanım alanına tıklamam gerekiyor yoksa kapanmıyor</t>
  </si>
  <si>
    <t>Sistem Admin Uygulamasının Oluşturulması</t>
  </si>
  <si>
    <t>ghx-label-8</t>
  </si>
  <si>
    <t>0|i01fc4:</t>
  </si>
  <si>
    <t>Hızlı Erişim Alt Menüsü Oluşturma ve Yönetimi</t>
  </si>
  <si>
    <t>DAVS-184</t>
  </si>
  <si>
    <t>*Açıklama:*_x000D_
_x000D_
Kullanıcıların sık kullandığı klasör, doküman ve dosyalara hızlı erişim sağlamak için “Hızlı Erişim” menüsü altında alt menüler oluşturabilmesi sağlanmalıdır._x000D_
 * Varsayılan olarak “Favorilerim” menüsü kullanıcıya sunulacaktır._x000D_
_x000D_
 * Kullanıcı istediği kadar alt menü oluşturabilir._x000D_
_x000D_
 * Liste ekranlarında dosya/doküman/klasör üzerine gelindiğinde veya tıklandığında, hızlı erişim ekle fonksiyonu sunulacaktır._x000D_
_x000D_
 * Alt menü oluşturma ve başlık pop-up ekranıyla oluşturulmalıdır. _x000D_
_x000D_
*Gereksinimler:*_x000D_
_x000D_
*Alt Menü Oluşturma*_x000D_
 * Kullanıcı, Hızlı Erişim menüsündeki “+” butonuna tıkladığında yeni alt menü oluşturma ekranı (pop-up) açılmalıdır._x000D_
_x000D_
 * Alt menü oluşturma ekranında menü adı girebileceği alan sunulmalıdır: Zorunlu alandır ve maksimum 20 karakter girilebilir._x000D_
_x000D_
 * Kullanıcı istediği kadar alt menü oluşturabilmelidir._x000D_
 * Kullanıcı alt menüyü silebilmelidir. Sistem kullanıcıya klasör ya da başka bir alt menüye taşıma akışı sunmalıdır. Kullanıcı içerisindeki dosyaları da silebileceği opsiyon sunulmalıdır._x000D_
_x000D_
 * “Favorilerim” menüsü varsayılan olarak Hızlı Erişim alanında her zaman görünmelidir ve silinemez._x000D_
 * Menüye taşınan doküman/dosya/klasör tekrardan anasayfada gösterilmemelidir._x000D_
_x000D_
*Liste Ekranında  Hızlı Erişim Ekleme*_x000D_
 * Dosya, doküman veya klasör satırında liste ekranına gelindiğinde veya tıklandığında “Hızlı Erişim Ekle” ikonu görünmelidir._x000D_
_x000D_
 * Kullanıcı hızlı erişim ekle ikonuna tıkladığında, mevcut alt menüler listelenmelidir._x000D_
_x000D_
 * Alt menü listesinde son eklenen 3 alt menü öncelikli olarak görünmelidir._x000D_
_x000D_
 * Kullanıcı scroll fonksiyonunu kullanarak tüm alt menüleri görüntüleyebilmelidir._x000D_
_x000D_
 * Kullanıcı birden fazla alt menü seçimi yapabilmelidir._x000D_
_x000D_
 * Seçilen alt menüler kaydedildikten sonra, ilgili öğe tüm seçilen alt menüler altında listelenmelidir._x000D_
_x000D_
 * Kullanıcı, Hızlı Erişim oluştur butonuna tıkladığında, menü adı girişi için bir pop-up ekranı görüntülenir. Kullanıcı menü adını oluşturduğunda ilgili alt menü oluşturulur ve seçilen doküman/dosya/klasör ilgili sayfaya yönlendirilir._x000D_
_x000D_
*Kabul Kriterleri:*_x000D_
 # Kullanıcı, Hızlı Erişim menüsündeki “+” butonuna tıkladığında yeni alt menü oluşturma pop-up ekranı açılmalıdır._x000D_
 # Pop-up ekranında menü adı girebileceği alan bulunmalıdır. (Alan zorunlu olmalıdır. Maksimum 20 karakter girişine izin verilmelidir.)_x000D_
 # Kullanıcı istediği kadar alt menü oluşturabilmelidir._x000D_
 # Varsayılan “Favorilerim” menüsü Hızlı Erişim alanında her zaman görünmelidir ve silinemez._x000D_
 # Kullanıcı menü adını oluşturup kaydettiğinde ilgili alt menü oluşturulmalı ve sistem kullanıcıyı seçilen doküman/dosya/klasör ilgili sayfaya yönlendirmelidir._x000D_
 # Liste ekranlarında her dosya, doküman veya klasör satırında “Hızlı Erişim Ekle” ikonu görünmelidir._x000D_
 # Kullanıcı hızlı erişim ekle ikonuna tıkladığında mevcut alt menüler listelenmelidir._x000D_
 # Alt menü listesinde son eklenen 3 alt menü öncelikli olarak gösterilmelidir._x000D_
 # Kullanıcı scroll fonksiyonunu kullanarak tüm alt menüleri görüntüleyebilmelidir._x000D_
 # Kullanıcı birden fazla alt menü seçimi yapabilmelidir._x000D_
 # Seçilen alt menüler kaydedildikten sonra, ilgili öğe tüm seçilen alt menüler altında listelenmelidir._x000D_
 # Kullanıcı daha önce favoriye eklediği bir öğeyi liste ekranında gördüğünde, ilgili alt menü ikonları aktif (seçili) olarak görünmelidir._x000D_
 # Alt menü oluşturma ve seçim pop-up ekranları kullanıcı dostu ve responsive olmalıdır._x000D_
 # Oluşturulan alt menüler ve atanan öğeler anında liste ekranına yansıtılmalıdır._x000D_
_x000D_
!image-2026-02-27-17-43-43-366.png!!image-2026-02-27-17-43-23-040.png!!image-2026-02-27-17-44-01-955.png!</t>
  </si>
  <si>
    <t>27/Feb/26 4:43 PM;gulnur.aka;image-2026-02-27-17-43-23-040.png;http://192.168.124.186:8080/secure/attachment/15947/image-2026-02-27-17-43-23-040.png</t>
  </si>
  <si>
    <t>27/Feb/26 4:43 PM;gulnur.aka;image-2026-02-27-17-43-43-366.png;http://192.168.124.186:8080/secure/attachment/15948/image-2026-02-27-17-43-43-366.png</t>
  </si>
  <si>
    <t>27/Feb/26 4:44 PM;gulnur.aka;image-2026-02-27-17-44-01-955.png;http://192.168.124.186:8080/secure/attachment/15949/image-2026-02-27-17-44-01-955.png</t>
  </si>
  <si>
    <t>DAVS-7</t>
  </si>
  <si>
    <t>0|i01cf3:8zzzzzzzzyo</t>
  </si>
  <si>
    <t>27/Feb/26 4:44 PM;gulnur.aka;İsterler düzenlenmiştir. Gelecek hafta refirementta konuşulması planlanmaktadır. İlgili teknik analiz süreci başlatılabilir. [~ceren.sertkaya] [~zeynep.oran] _x000D_
_x000D_
Proje yöneticisini süreç takibi için ekliyorum. [~hasan.coskun]</t>
  </si>
  <si>
    <t>Favorilerim Menüsüne Doküman/Dosya/Klasör Ekleme</t>
  </si>
  <si>
    <t>DAVS-183</t>
  </si>
  <si>
    <t>*Açıklama:*_x000D_
_x000D_
Kullanıcıların sık kullandığı klasör, doküman ve dosyalara hızlı erişebilmesi için sistemde bir “Favoriler” alanı bulunmalıdır._x000D_
_x000D_
Her kullanıcı için varsayılan bir “Favoriler” alanı sistem tarafından otomatik oluşturulmalıdır._x000D_
_x000D_
Kullanıcı, Hızlı Erişim menüsünün altında kendi alt menülerini  oluşturabilmeli ve favori öğelerinide bu menünün altında yer almalıdır._x000D_
_x000D_
!image-2026-02-27-16-42-24-392.png!_x000D_
_x000D_
Liste ekranlarında yer alan yıldız  ikonuna tıklanan öğeler, kullanıcının varsayılan Favoriler alanına eklenmelidir._x000D_
_x000D_
*Gereksinimler:*_x000D_
_x000D_
Sistem, her kullanıcı için varsayılan bir “Favorilerim” alanı otomatik olarak oluşturmalıdır._x000D_
_x000D_
Favorilerim alanı kullanıcı bazlı olmalıdır; kullanıcılar yalnızca kendi favorilerini görüntüleyebilmelidir._x000D_
_x000D_
Varsayılan Favorilerim alanı silinemez olmalıdır._x000D_
_x000D_
Liste ekranlarında her klasör, doküman ve dosya satırında yıldız ikonu bulunmalıdır._x000D_
_x000D_
Kullanıcı yıldız ikonuna tıkladığında ilgili öğe varsayılan Favorilerim alanına eklenmelidir._x000D_
_x000D_
Favorilerim menüsüne tıkladığında kullanıcı favorilere alınmış olduğu doküman/dosya/klasör  listelenmelidir. (Mevcut listeleme ekranının görünümü sadece senin için öneriler alanı olmayacaktır. _x000D_
_x000D_
Yıldız ikonuna tekrar tıklandığında öğe favorilerden tamamen kaldırılmalıdır._x000D_
_x000D_
Kullanıcı eğer daha önceden favorilere almış ise liste ekranında ilgili doküman/dosya/klasör satırının üzerine geldiğinde ikon seçili gelmelidir. _x000D_
_x000D_
*Kabul Kriterleri:*_x000D_
_x000D_
*Varsayılan Favorilerim Alanı*_x000D_
 # Sistem, her kullanıcı için otomatik olarak bir “Favorilerim” alanı oluşturmalıdır._x000D_
 # Favorilerim alanı kullanıcı bazlı olmalıdır; kullanıcı yalnızca kendi favori öğelerini görüntüleyebilmelidir._x000D_
 # Varsayılan “Favorilerim” alanı kullanıcı tarafından silinememelidir._x000D_
_x000D_
*Favoriye Ekleme Davranışı*_x000D_
 # Liste ekranlarında her klasör, doküman ve dosya satırında yıldız ikonu bulunmalıdır._x000D_
 # Kullanıcı yıldız ikonuna tıkladığında ilgili öğe varsayılan “Favorilerim” alanına eklenmelidir._x000D_
 # Favoriye eklenen öğe için yıldız ikonu aktif (seçili/dolu) görünmelidir._x000D_
 # Kullanıcı aynı yıldız ikonuna tekrar tıkladığında öğe Favorilerim alanından tamamen kaldırılmalıdır._x000D_
 # Aynı öğe Favorilerim alanında birden fazla kez listelenmemelidir._x000D_
_x000D_
*Favorilerim Menü Davranışı*_x000D_
 # Kullanıcı “Favorilerim” menüsüne tıkladığında yalnızca favorilere eklediği klasör, doküman ve dosyalar listelenmelidir._x000D_
 # Favorilerim ekranı mevcut listeleme ekranı ile aynı görünüm ve fonksiyonlara sahip olmalıdır._x000D_
 # Favorilerim ekranında yalnızca favoriye eklenmiş öğeler gösterilmelidir; “senin için öneriler” gibi ek alanlar bulunmamalıdır._x000D_
_x000D_
*Listeleme Ekranı Durum Kontrolü*_x000D_
 # Kullanıcı daha önce favorilere eklemiş olduğu bir öğenin bulunduğu liste ekranına tekrar geldiğinde, ilgili satırdaki yıldız ikonu seçili durumda görünmelidir._x000D_
 # Favoriden kaldırılan bir öğe liste ekranında pasif yıldız ikonu ile görüntülenmelidir._x000D_
_x000D_
 _x000D_
_x000D_
 </t>
  </si>
  <si>
    <t>27/Feb/26 3:42 PM;gulnur.aka;image-2026-02-27-16-42-24-392.png;http://192.168.124.186:8080/secure/attachment/15946/image-2026-02-27-16-42-24-392.png</t>
  </si>
  <si>
    <t>0|i01cf3:8zzzzzzzzyi</t>
  </si>
  <si>
    <t>27/Feb/26 4:04 PM;gulnur.aka;İsterler düzenlenmiştir. Gelecek hafta refirementta konuşulması planlanmaktadır. İlgili teknik analiz süreci başlatılabilir. [~ceren.sertkaya] [~zeynep.oran] _x000D_
_x000D_
Proje yöneticisini süreç takibi için ekliyorum. [~hasan.coskun]</t>
  </si>
  <si>
    <t>Anımsatıcı Bildirim Mekanizması</t>
  </si>
  <si>
    <t>DAVS-182</t>
  </si>
  <si>
    <t>*Açıklama:*_x000D_
_x000D_
Sistem, kullanıcı tarafından tanımlanan anımsatıcı için:_x000D_
 * Ön bildirim süresi varsa anımsatıcı zamanından önce e-posta göndermelidir._x000D_
_x000D_
 * Anımsatıcı zamanı geldiğinde kullanıcıya uygulama içi bildirim göstermelidir._x000D_
_x000D_
Bildirim süreci otomatik ve sistem tarafından tetiklenir olmalıdır._x000D_
_x000D_
*Gereksinim:*_x000D_
_x000D_
Eğer kullanıcı ön bildirim süresi tanımlamışsa, sistem belirlenen sürelerde e-posta göndermelidir._x000D_
_x000D_
         E-posta gönderimi başarısız olursa sistem bunu loglamalıdır._x000D_
_x000D_
         e-posta içeriği sistem admininden belirlenebilir olmadılıdır. Sistem admininden belirlenen içerik kullanıcıya sunulmalıdır._x000D_
_x000D_
                e-posta içeriğinde_x000D_
 * Dosya/Klasör adı_x000D_
_x000D_
 * Anımsatıcı başlığı_x000D_
_x000D_
                 gibi alanlar olması planlanmaktadır. _x000D_
_x000D_
Anımsatıcı zamanı geldiğinde sistem otomatik olarak uygulama içi bildirim oluşturmalıdır._x000D_
_x000D_
*Not: Sistem admininde anımsatıcılar casenin e-posta, uygulama içi bildirim ile kullanıcıya gönderilmesi seçilebilir fonksiyon yapılacaktır.* _x000D_
_x000D_
*Kabul Kriterleri:*_x000D_
 # Sistem, oluşturulan anımsatıcıları otomatik olarak izlemeli ve tetikleme işlemini manuel müdahale olmadan gerçekleştirmelidir._x000D_
 # Bildirim süreci tamamen sistem tarafından zaman bazlı olarak çalışmalıdır._x000D_
 # Kullanıcıya gönderilen e-posta, sistem admini tarafından tanımlanan aktif şablon içeriğine göre kullanıcıya sunulmalıdır. _x000D_
 # Anımsatıcı zamanı geldiğinde sistem otomatik olarak uygulama içi bildirim oluşturmalıdır._x000D_
_x000D_
 </t>
  </si>
  <si>
    <t>DAVS-18</t>
  </si>
  <si>
    <t>0|i01cf3:8zzzzzzzzr</t>
  </si>
  <si>
    <t>27/Feb/26 3:24 PM;gulnur.aka;İsterler düzenlenmiştir. Gelecek hafta refirementta konuşulması planlanmaktadır. İlgili teknik analiz süreci başlatılabilir. [~ceren.sertkaya] [~zeynep.oran] _x000D_
_x000D_
Proje yöneticisini süreç takibi için ekliyorum. [~hasan.coskun]</t>
  </si>
  <si>
    <t>Anımsatıcı Listeleme</t>
  </si>
  <si>
    <t>DAVS-181</t>
  </si>
  <si>
    <t>*Açıklama:*_x000D_
_x000D_
Kullanıcı oluşturduğu anımsatıcıları görüntüleyebilmeli ve yönetebilmelidir._x000D_
_x000D_
*Gereksinimler:*_x000D_
_x000D_
Kullanıcı oluşturulan tüm anımsatıcıları liste ekranında görebilmelidir. _x000D_
_x000D_
Kullanıcı uygulamanın sağ üst köşesinde yer alan anımsatıcı alanında maksimum 5 bildirim listelenmelidir. _x000D_
_x000D_
(İşlem tarihi son 5 anımsatıcı olmalıdır.)_x000D_
_x000D_
Kullanıcı daha fazla anımsatıcıya ulaşabilmesi için daha fazla gör butonuna tıklamalıdır. _x000D_
_x000D_
Daha fazla gör tıkladığında liste ekranına ulaşmalıdır._x000D_
_x000D_
Kullanıcı ayarladığı saat ve tarih görebileceği gibi eğer tekrarlı anımsatıcı belirlediyse belirlenen aralıklarda anımsatıcı bildirimi ve listesinde görmelidir. _x000D_
 * Anımsatıcı detayında seçilmiş tarih ve saat bilgisi açık ve okunabilir formatta gösterilmelidir._x000D_
_x000D_
 * Eğer anımsatıcı için tekrarlama süresi seçilmişse, listede tekrarlama bilgisi (örn: “1 saat önce”, “2 saat önce”, “1 gün önce”) görüntülenmelidir._x000D_
_x000D_
 * Tekrarlı anımsatıcı tanımlanmışsa, sistem belirlenen aralıklarda kullanıcıya bildirim göndermelidir._x000D_
_x000D_
 * Tekrarlı anımsatıcı her tetiklendiğinde:_x000D_
 * Kullanıcıya uygulama içi bildirim gösterilmelidir._x000D_
_x000D_
 * Bildirim anımsatıcı listesinde görünmeye devam etmelidir._x000D_
_x000D_
 * Tekrarlı anımsatıcı, kullanıcı tarafından iptal edilene veya silinene kadar belirlenen aralıklarda çalışmaya devam etmelidir._x000D_
_x000D_
*Kabul Kriterleri:*_x000D_
_x000D_
*Listeleme*_x000D_
 # Kullanıcı, oluşturduğu tüm anımsatıcıları  liste ekranında görüntüleyebilmelidir._x000D_
 # Liste ekranında her anımsatıcı için aşağıdaki bilgiler gösterilmelidir:_x000D_
_x000D_
 * Başlık_x000D_
 * İlgili dosya/doküman/klasör adı_x000D_
 * Seçilen tarih ve saat_x000D_
 * Tekrarlama bilgisi (varsa)_x000D_
 * Durum bilgisi (örn: Yaklaşan, Tamamlanan )_x000D_
_x000D_
      3. Anımsatıcı detay ekranında seçilmiş tarih ve saat bilgisi açık, okunabilir ve standart tarih-saat formatında gösterilmelidir._x000D_
_x000D_
*Sağ Üst Bildirim Alanı*_x000D_
 # Uygulamanın sağ üst köşesindeki anımsatıcı bildirim alanında maksimum 5 adet anımsatıcı listelenmelidir._x000D_
 # Bu listede, işlem tarihi en güncel olan son 5 anımsatıcı gösterilmelidir._x000D_
 # 5’ten fazla anımsatıcı varsa, kullanıcıya “Daha Fazla Gör” butonu gösterilmelidir._x000D_
 # Kullanıcı “Daha Fazla Gör” butonuna tıkladığında “Anımsatıcılarım” liste ekranına yönlendirilmelidir._x000D_
_x000D_
*Tekrarlı Anımsatıcı Davraşını*_x000D_
 # Kullanıcı oluşturduğu anımsatıcının seçtiği tarih ve saat bilgisini listede görüntüleyebilmelidir._x000D_
 # Eğer anımsatıcı tekrarlı olarak tanımlanmışsa, sistem belirlenen aralıklarda anımsatıcıyı tetiklemelidir._x000D_
 # Tekrarlı anımsatıcı her tetiklendiğinde: *Kullanıcıya uygulama içi bildirim gösterilmelidir. Bildirim anımsatıcı listesinde görünmeye devam etmelidir*._x000D_
 # Tekrarlı anımsatıcı, kullanıcı tarafından silinene kadar belirlenen aralıklarda çalışmaya devam etmelidir._x000D_
 # Kullanıcı bir anımsatıcıyı silebilmeli; silinen anımsatıcı tekrar tetiklenmemelidir.</t>
  </si>
  <si>
    <t>0|i01cf3:8zzzzzzzz9</t>
  </si>
  <si>
    <t>Anımsatıcı Oluşturma</t>
  </si>
  <si>
    <t>DAVS-180</t>
  </si>
  <si>
    <t>*Açıklama:*_x000D_
 Kullanıcı; dosya, doküman veya klasör için hem liste görünümünden hem de detay ekranından anımsatıcı oluşturma aksiyonuna erişebilmelidir._x000D_
_x000D_
Bu aksiyon kullanıcıyı anımsatıcı oluşturma ekranına yönlendirmelidir._x000D_
_x000D_
*Gereksinimler:*_x000D_
 * Detay ve liste ekranlarına anımsatıcı ekle butonu eklenmelidir._x000D_
 * Başlık, açıklama, tekrarlama süresi, anımsatıcı yapılacak tarih ve saat seçici alanları kullanıcıya sunulmalıdır. _x000D_
_x000D_
*Başlık:* Zorunlu alan olmalıdır. mak. 50 karakter girilmelidir. _x000D_
_x000D_
*Açıklama:* Zorunlu alan olmamalıdır. mak. 250 karakter girilebilmelidir._x000D_
_x000D_
*Tekrarlama süresi:* 1 saat önce, 2 saat önce, 1 gün önce seçenekleri kullanıcıya sunulmalıdır. _x000D_
_x000D_
Kullanıcı tekrarlama süresi seçmediyse defaultta hazırlatma 1 saat öncesinde olmalıdır. _x000D_
_x000D_
*Tarih ve zaman:* Zorunlu alan olmamalıdır. _x000D_
_x000D_
*Kabul Kriterleri:*_x000D_
 # Kullanıcı, listeleme ekranında dosyaya ait fonksiyon seçeneklerinde  “Anımsatıcı Ekle” aksiyonunu görebilmelidir._x000D_
 # Kullanıcı, listeleme ekranında dokümana ait ait fonksiyon seçeneklerinde Anımsatıcı Ekle” aksiyonunu görebilmelidir._x000D_
 # Kullanıcı, listeleme ekranında klasör liste ekranında her satır için “Anımsatıcı Ekle” aksiyonunu görebilmelidir._x000D_
 # Kullanıcı, dosyaın detay ekranında “Anımsatıcı Ekle” butonunu görebilmelidir._x000D_
 # Kullanıcı, dokümanın detay ekranında “Anımsatıcı Ekle” butonunu görebilmelidir._x000D_
 # Kullanıcı, klasörün detay ekranında “Anımsatıcı Ekle” butonunu görebilmelidir._x000D_
 # Kullanıcı “Anımsatıcı Ekle” aksiyonuna tıkladığında anımsatıcı oluşturma ekranı açılmalıdır._x000D_
 # Başlık alanı zorunlu olmalıdır.- Boş bırakıldığında kullanıcıya hata mesajı gösterilmelidir. Maksimum 50 karakter girişine izin verilmelidir. 50 karakteri aşan girişler engellenmeli veya validasyon hatası verilmelidir._x000D_
 # Açıklama alanı zorunlu olmamalıdır._x000D_
 # Maksimum 250 karakter girişine izin verilmelidir. 250 karakteri aşan girişler engellenmeli veya validasyon hatası verilmelidir._x000D_
 # Tüm zorunlu alanlar geçerli şekilde doldurulduğunda kullanıcı anımsatıcıyı başarıyla kaydedebilmelidir._x000D_
 # Başarılı kayıt sonrası kullanıcıya geri bildirim (başarılı mesajı/toast) gösterilmelidir._x000D_
 # Tekrarlama seçimleri kullanıcıya sunulmalıdır. _x000D_
 # Anımsatıcı oluşturma ekranında aşağıdaki alanlar gösterilmelidir:_x000D_
_x000D_
 * Başlık_x000D_
 * Açıklama_x000D_
 * Tekrarlama süresi_x000D_
 * Tarih seçici_x000D_
 * Saat seçici_x000D_
_x000D_
 </t>
  </si>
  <si>
    <t>0|i01cf3:8zzzzzzzz4</t>
  </si>
  <si>
    <t>27/Feb/26 3:23 PM;gulnur.aka;İsterler düzenlenmiştir. Gelecek hafta refirementta konuşulması planlanmaktadır. İlgili teknik analiz süreci başlatılabilir. [~ceren.sertkaya] [~zeynep.oran] _x000D_
_x000D_
Proje yöneticisini süreç takibi için ekliyorum. [~hasan.coskun]</t>
  </si>
  <si>
    <t>e-Saklama Ürününde Sağlanan Servislerin Entegrasyonlarının Sağlanması</t>
  </si>
  <si>
    <t>Bu epic kapsamında, e-Saklama ürünü için ürün bazlı entegrasyon servisleri bağlanacaktır._x000D_
_x000D_
Fatura, Defter, İrsaliye, KEP modülleri e-Saklama sistemine güvenli şekilde bağlanması ve verilerin belirlenen kabul kriterlerinde saklama ortamına aktarılması sağlanacaktır. Servislere aşağıdan ulaşabilirsiniz;_x000D_
_x000D_
[https://192.168.126.190/webjars/swagger-ui/index.html?urls.primaryName=doc-operation-service#/]_x000D_
 * Ürün bazlı entegrasyonların sağlanması_x000D_
_x000D_
 * Scheduler altyapısının oluşturulması_x000D_
_x000D_
 * Loglama ve izlenebilirlik mekanizması_x000D_
_x000D_
 * Hata ve retry yönetimi_x000D_
_x000D_
 * Güvenli bağlantı altyapısı_x000D_
_x000D_
bu epic kapsamında yapılması beklenen temel hedeflerdir. Detaylar taskların içinde ayrıca yazmaktadır.</t>
  </si>
  <si>
    <t>ghx-label-4</t>
  </si>
  <si>
    <t>e-Saklama Servisi Entegrasyonları</t>
  </si>
  <si>
    <t>0|i01fbg:</t>
  </si>
  <si>
    <t>Uygulamanın Uçtan Uca Tasarımsal ve Fonksiyonel Gereksinimlerinin Test Edilmesi</t>
  </si>
  <si>
    <t>DAVS-178</t>
  </si>
  <si>
    <t>Faz1</t>
  </si>
  <si>
    <t>*Açıklama:*_x000D_
_x000D_
Bu task kapsamında uygulamanın faz1 aşaması için baştan sona tüm akışları, tasarımsal ve fonksiyonel gereksinimler açısından test edilecektir._x000D_
_x000D_
Uygulamanın tanımlı gereksinimlere uygunluğunu doğrulamak, kullanıcı deneyimini etkileyen tutarsızlıkları ve fonksiyonel eksiklikleri tespit etmektir._x000D_
_x000D_
Test çalışması yalnızca hata bulmaya değil, aynı zamanda ürün gereksinimleri ile mevcut davranış arasındaki farkların ortaya çıkarılması gerekmektedir._x000D_
_x000D_
 _x000D_
_x000D_
Tüm ana kullanıcı akışlarının test edilmesi_x000D_
_x000D_
Alternatif senaryolarının kontrolü_x000D_
_x000D_
Ekran bazlı UI/UX uyumluluğu (Tasarım – uygulama tutarlılığı, metinler, butonlar, boş durumlar, hata mesajları)_x000D_
_x000D_
Fonksiyonel gereksinimlerin doğrulanması_x000D_
_x000D_
İş kuralları ve validasyon kontrolleri_x000D_
_x000D_
Hata ve istisna akışlarının değerlendirilmesi_x000D_
_x000D_
 _x000D_
_x000D_
*Kabul Kriterleri:*_x000D_
 * Tüm kritik kullanıcı akışları test edilmiş olmalı_x000D_
_x000D_
 * Tasarımsal ve fonksiyonel uyumsuzluklar raporlanmış olmalı_x000D_
_x000D_
 * Eksik, belirsiz veya hatalı gereksinimler dokümante edilmiş olmalı_x000D_
_x000D_
 * Bulunan sorunlar önceliklendirilmiş şekilde Jira’ya aktarılmış olmalı_x000D_
_x000D_
 * Test çıktıları paylaşılarak değerlendirme tamamlanmış olmalı</t>
  </si>
  <si>
    <t>Fonksiyonel testler yapıldı.;03/Mar/26 5:31 PM;aysenur.bilgic;16200</t>
  </si>
  <si>
    <t>;03/Mar/26 5:52 PM;gurkan.guney;32400</t>
  </si>
  <si>
    <t>03/Mar/26 5:51 PM;gurkan.guney;1.jpg;http://192.168.124.186:8080/secure/attachment/15960/1.jpg</t>
  </si>
  <si>
    <t>03/Mar/26 5:51 PM;gurkan.guney;2.jpg;http://192.168.124.186:8080/secure/attachment/15961/2.jpg</t>
  </si>
  <si>
    <t>03/Mar/26 5:51 PM;gurkan.guney;3.jpg;http://192.168.124.186:8080/secure/attachment/15962/3.jpg</t>
  </si>
  <si>
    <t>03/Mar/26 5:51 PM;gurkan.guney;4.png;http://192.168.124.186:8080/secure/attachment/15963/4.png</t>
  </si>
  <si>
    <t>03/Mar/26 5:51 PM;gurkan.guney;5.mp4;http://192.168.124.186:8080/secure/attachment/15956/5.mp4</t>
  </si>
  <si>
    <t>03/Mar/26 5:51 PM;gurkan.guney;6.png;http://192.168.124.186:8080/secure/attachment/15957/6.png</t>
  </si>
  <si>
    <t>03/Mar/26 5:51 PM;gurkan.guney;7.png;http://192.168.124.186:8080/secure/attachment/15958/7.png</t>
  </si>
  <si>
    <t>03/Mar/26 5:51 PM;gurkan.guney;8.mp4;http://192.168.124.186:8080/secure/attachment/15959/8.mp4</t>
  </si>
  <si>
    <t>27/Feb/26 12:34 PM;gulnur.aka;Dijital_Arşiv_Saklama_Bulgular.xlsx;http://192.168.124.186:8080/secure/attachment/15942/Dijital_Ar%C5%9Fiv_Saklama_Bulgular.xlsx</t>
  </si>
  <si>
    <t>0|i01cf3:8zzzzzzzz</t>
  </si>
  <si>
    <t>27/Feb/26 12:36 PM;gulnur.aka;Eklerde yer alan bulgular Ürün Yönetimi tarafından tespit edilen durumlardır. İlgili durumların kontrolleri sağlanıp yazılım ekibine yönlendirilmelidir. (İlgili bulgular 4.02.2026 tarihinde mail yoluyla iletilmiştir.)_x000D_
_x000D_
[~ceren.sertkaya] [~gurkan.guney]_x000D_
_x000D_
 </t>
  </si>
  <si>
    <t>03/Mar/26 10:33 AM;gurkan.guney;Tasarım ile ilgili bulgular DAVS-186 maddesinde belirtilmiştir._x000D_
_x000D_
Fonksiyonel testler devam etmektedir.</t>
  </si>
  <si>
    <t>03/Mar/26 5:51 PM;gurkan.guney;Bulgular aşağıdaki gibidir._x000D_
_x000D_
1- Ana sayfada Türkçe/İngilizce dil seçenekleri mevcut. İngilizce seçeneğinde tüm yazılar İngilizceye çevrilmiyor. Bazıları Türkçe kalıyor. (Talep halinde tek tek tespit edilecektir)._x000D_
2- Ana sayfada Türkçe/İngilizce dil seçenekleri mevcut. Seçeneğin adı 'Turkish' olarak görünüyor. 'Türkçe' şeklinde yazılmalıdır._x000D_
3- Sağ üstte 'Bildirimler' ve 'Anımsatıcılar' kutucukları mevcut ve üzerlerinde sayı yazıyor. Kaç adet bildirim ve anımsatıcı olduğunu gösteriyor. Bunların üzerine tıklayınca detayını gösteren bir pop-up açılıyor fakat buna tıklayınca detaya gitmiyor, tepki vermiyor. Aynı şekilde 'Daha Fazla Gör' seçeneği de tepki vermiyor._x000D_
4- Sağ üstte 'Bildirimler' ve 'Anımsatıcılar' kutucukları mevcut ve üzerlerinde sayı yazıyor. Kaç adet bildirim ve anımsatıcı olduğunu gösteriyor. Bunların üzerine tıklayınca okunmuş gibi işaretleyip sayı düşüyor. (Örneğin; 2 adet bildirim var. Sayı olarak 2 görünüyor. Bildirimlerden birine tıklayınca sayı 1 oluyor). Fakat sayfa yenilendiğinde sayı tekrar eski haline geliyor. Hiç okunmamış gibi sayı 2 oluyor._x000D_
5- Adım Gürkan Güney olmasına rağmen sağ üstteki profil ikonunda GR yazıyor. Bunun sebebini anlayamadım. GG yazmasını beklerdim._x000D_
6- Yeni klasör oluştururken aynı isimli klasörden zaten var ise klasörü tekrar oluşturmuyor fakat klasör oluşturma başarılıdır diyor. Aynı isimli klasörden oluşturma engeli varsa buna uygun bir uyarı çıkarmak gerekir. Klasör oluştururken de küçük/büyük harfe duyarlı davranıyor. Aynı isimli klasörden küçük harflerle oluşturulmasına izin veriyor. İsim karışıklığına yol açmaması için bunun da engellenmesi düşünülebilir. Ayrıca klasör isim kontrolünü dizine göre yapıyor, farklı dizin içerisine aynı isim ile klasör eklenebiliyor. _x000D_
7- Ekranın sağ altında bulunan "Yüklemek için bilgisayarınızdan dosya seçin / klasör seçin veya sürükleyip bırakın." pop-up'ı bir şeylerin üstüne gelebiliyor. Ekranda birçok dosya yüklüyken veriler o pop-up'ın altında kalabiliyor ve sağında bulunan butonlara tıklamak mümkün olmuyor._x000D_
8- Sayfalarda paging yok. 15 civarı dosya yükledim, hepsini tek ekranda gösteriyor. Ve kaç adet dosya olduğunu göstermiyor._x000D_
9- Dosya ya da klasör yüklenirken herhangi bir sebepten hata alırsa yükleme işlemi %0'da kalıyor. Yükleme işlemini iptal etmek mümkün olmuyor. Sağ alttaki pop-up'ta bunu kaldırmak için sayfayı yenilemek gerekiyor. Yüklemede hata alanları ya da yükleme aşamasında vazgeçme ihtimaline karşı yüklenmekte olan dosyaları iptal etmek için bir X işareti konulabilir._x000D_
10- Ana sayfada 'Senin İçin Önerilenler' kısmında tüm belgeler yan yana listeleniyor. Sağa kaymak için sağ tarafı gösteren buton var. Fakat sola gitmek için sol tarafı gösteren buton yok. Sağ tarafı gösteren buton da hep görünüyor. Sağa doğru kaydırmak mümkün olmadığı zamanlar da bile. Sadece sağa/sola doğru kaydıracak kadar veri varsa görünmeleri doğru olur._x000D_
11- Ek 1'deki butona basınca toplu işlemler seçenekleri geliyor. Ama bu buton toplu işlemler seçeneklerini göstermesi için uygun bir buton değil. Şekli itibariyle amacını belli edemiyor. Toplu işleme ait butonların hep açık kalması daha sağlıklı olur. Ya da butonun şekli değiştirilebilir._x000D_
12- Uzun yazılar sağda bulunan pop-up'tan taşıyor. (Ek 6)_x000D_
13- Ek 2'de olduğu gibi sürükle bırak yöntemiyle "Yüklemek için bilgisayarınızdan dosya seçin / klasör seçin veya sürükleyip bırakın." pop-up'ına dosya yüklendiğinde ekranın ortasında simge kalıyor ve sayfa donmuş gibi oluyor. Ama belge yükleniyor. Yüklendiğini görmek için sayfayı yenilemek gerekiyor._x000D_
14- Ek 3'de olduğu gibi toplu işlemler menüsü ile 'Yeni Ekle' menüsü yazıları iç içe giriyor. Bu durum yüklü hiçbir belge yokken yaşanıyor, sayfa boş iken._x000D_
15- Daha önce yüklenmiş hiçbir belge yoksa ve ilk kez belge yükleniyorsa yüklendiğini ilk anda göstermiyor. Sayfayı yenilemek gerekiyor. Daha önce yüklenen belgeler varsa ve başka bir belge yükleniyorsa bunu anında gösteriyor. Bu durum yeni klasör oluşturma ve klasör yükleme için de geçerli._x000D_
16- Belge yüklendiğinde sağ alttaki pop-up yuları doğru uzuyor gidiyor. Sayfanın sağ tarafını tamamen kaplıyor. Butonlar, yazılar vs. görünmüyor. Her seferinde onu kapatmak gerekiyor. Kullanıcı deneyimini olumsuz etkiliyor._x000D_
17- Birkaç saat işlem yapmadım ama logout etmedi. Bir logout süresi olacak mı?_x000D_
18- Yüklenen her dosya ve klasör direkt ana klasöre yükleniyor. Ben halbuki başka bir klasörün içindeyim ve yükleyeceğim dosya ya da klasörü direkt o klasörün içine atmak istiyorum. Ama tüm yüklemeler direkt ana klasöre düşüyor._x000D_
19- Zaten ana klasörde olan bir klasör ya da dosyaya 'Taşı ya da Çoğalt' deyince açılan pop-up'ta ana klasör seçilirse 'Taşı' seçeneği pasif kalıyor. Burası tamam. Ama 'Çoğalt' seçeneği aktif oluyor. Ama bunu seçince işlem başarılı demesine rağmen hiçbir işlem yapmıyor. Bir klasör içindeki bir belgeyi ya da klasörü aynı klasöre taşıma ya da kopyalama butonları pasif bırakılabilir._x000D_
20- Ana sayfada GÜNCELLEME TARİHİ adında bir sütun var. Burada dosyanın ya da klasörün ilk yüklendiği/oluşturulduğu tarih yazıyor. O dosya ya da klasör üzerinde sonradan yapılan işlemler olsa da tarih aynı kalıyor. Sanki orası sadece oluşturulma tarihini yansıtıyor._x000D_
21- Test 1 ve Test 2 adında dosya ya da klasörler var diyelim. Birinin adını yeniden düzenleyip diğeriyle aynı ad yapabiliyorum. Aynı isimle iki farklı dosya ya da klasör olmuş oluyor. Bence tüm senaryolarda aynı isimli belge/klasör vs. olmaması için kontrol koymalıyız._x000D_
22- Ana sayfada 'ERİŞİM' sütununda 'Only You' yazıyor. Türkçeleştirilmelidir._x000D_
23- Dosya boyutu max 25 mb olmalıdır diyor fakat daha yüksek boyutlu belgeler yüklenebiliyor. Sınır kaç MB ise uyarı metninde de o yazmalıdır._x000D_
24- Çöp Kutusunda veri seçme kutucuğu yok. Örneğin; 5 adet seçim yapıp işlem yapılamıyor._x000D_
25- Ana sayfada tüm belgeleri seçip hepsini siliyorum ama sadece 10 adet için işlem yapıyor. Tümü için işlem yapılamıyor. Paging yapısıyla ilgili durum. Default olarak 10 dosya gösteriyor. Bu şekilde tümünü seçip silince 10 tanesini siliyor. Aşağı doğru kaydırıp diğer dosyalar da görüntülendikçe onlar da silinebilir hale geliyor._x000D_
26- Ana sayfada listelenen verilerin en sağında seçim kutucuğu bulunuyor. Bu kutucuğa tıklayınca o kaydı seçiyor ama aynı zamanda kaydın üstüne de tıklamış gibi algılıyor. Kutucuğa üst üste tıklayınca belgeyi ön izleme yapıyor. Kutucuğa tıklayınca belgeyi açmaması lazım._x000D_
27- Ek 4'te olduğu gibi uzun isimli belge ya da klasörler diğer sütunlara taşıyor._x000D_
28- Adı 100 karakterden fazla karakter içeren dosya, klasör yüklerken ya da klasör oluştururken, ya da yüklü olan bir dosyanın/klasörün adını 100 karakterden fazla vermeye çalışırken yükleme başarısız hatası veriyor. Sanırım isimlendirmelerde 100 karakter sınırı mevcut. Böyle bir sınır olacaksa hata vermek yerine uygun bir uyarı gösterilebilir. Açılan pop-up'da çarpı tuşuna basınca da kapanmıyor, tepki vermiyor. (Ek 7)_x000D_
29- DAVS-32 maddesine istinaden login ekranına Captcha konulmalıdır._x000D_
30- Ana sayfada sağ üstte bulunan dil seçeneği butonuna tıklayınca dil seçeneklerini gösteren bir kutucuk açılıyor. Seçeneklerden biri seçilmediği sürece bu kutucuğu kapatmak mümkün olmuyor. Sayfada herhangi boş bir alana tıklayınca bu kutucuğun kapanması gerekir._x000D_
31- Sağ alttaki dosya seçin seçeneği ile birçok dosya yükledim. Ana sayfaya ve "Senin İçin Önerilenler" kısmına geldi. Daha sonra birçok belgeyi seçip toplu olarak sildim. Sonrasında "Senin İçin Önerilenler" kısmındaki dosyalar titremeye başladı. (Ek 5) Sayfayı yenileyince titreme kesildi._x000D_
32- Yeni klasör oluştururken aynı isimli başka bir klasör varsa işlem başarılıdır diyor fakat klasörü oluşturmuyor._x000D_
33- Çöp Kutusunda paging ile sayfalar arası geçiş yaparken, içerde yüklü olan belgelerin isimlerinin uzunluğuna göre 'Silinme Tarihi' sütununun yeri değişiyor._x000D_
34- Toplu indir butonu tepki vermiyor._x000D_
35- Ana sayfaya paging yapısı yok. Yüklenmiş onlarca belgem var diyelim. Belgeleri görmek için aşağı doğru kaydırdıkça ekranda göz kırpma gibi anlık yanma/sönme oluyor. Ek 8._x000D_
36- Aynı TCKN ve mail adresiyle birden fazla kullanıcı oluşturulmasına izin veriliyor. Bu durum mevcut kullanıcıyı güncellerken de geçerli. Var olan bir kullanıcının TCKN'sini ve mail adresini başka bir kullanıcınınkiyle güncellemeye izin veriyor. Aynı TCKN ve mail adresinin birden fazla kere kullanılması engellenmelidir. -Ayşegül_x000D_
37- Şifremi Unuttum adımında şifre başarıyla gönderilmiştir diyor fakat şifre sıfırlama maili gelmiyor. -Ayşegül_x000D_
38- Şifremi Unuttum adımında sadece mail adresi istiyor. Başka bir kullanıcının sadece mail adresini yazarak şifresini sıfırlamasına sebep olabilir. Şifremi unuttum adımında hem TCKN hem de mail adresi istenmesi daha sağlıklı olacaktır. -Ayşegül_x000D_
39- Takım Üyeleri-&gt; Yeni Üye ekle ekranında bazı kontroller eklemek kullanıcı deneyimini artıracaktır. TCKN alanına sadece rakam girilebilmesi, 11 haneden fazla rakam girilememesi gibi. Bu kontroller Kaydet dedikten sonra yapılıyor. Kaydet demeye gerek kalmadan hiç girilmemesine yönelik kontroller eklenebilir. -Ayşegül</t>
  </si>
  <si>
    <t>Kullanıcıların uygulama erişim yetkisi kullanıcı statüsü ile kontrol edilecektir._x000D_
_x000D_
İlk tanımlama sonrasında kullanıcılar Aktif olarak tanımlanacak olup Hesap Ayarları sayfası Takım Üyelerim sekmesinde kullanıcı statüsü Aktif/Pasif olarak güncellenebilecektir._x000D_
_x000D_
Bu bağlamda, User Service - PUT - users/\{id} metodu kullanılacaktır.</t>
  </si>
  <si>
    <t>Kullanıcının aktiflik durumunu değiştiren servis metodu yazıldı. Component tarafına eklemesi yapıldı.;22/Oct/25 5:54 PM;mert.tanel;2700</t>
  </si>
  <si>
    <t>DAVS-4</t>
  </si>
  <si>
    <t>0|i01cf3:8zzzzzzzy</t>
  </si>
  <si>
    <t>DAVS Sprint 5</t>
  </si>
  <si>
    <t>04/Mar/26 11:05 AM;hasan.coskun;Proje için genel test süreçleri işletilmektedir.</t>
  </si>
  <si>
    <t>İlgili işlem için veri modelinde güncelleme yapıldı ve menü üzerinden indirilmesi için gerekli çalışma yapıldı.;22/Oct/25 5:56 PM;batuhan.tufan;1800</t>
  </si>
  <si>
    <t>DAVS-12</t>
  </si>
  <si>
    <t>0|i01cf3:8zzzzzzzw</t>
  </si>
  <si>
    <t>E-Defter listeleme ve gerekli işlemlerin yapılabilmesi için sayfa oluşturuldu.;22/Oct/25 6:02 PM;batuhan.tufan;5400</t>
  </si>
  <si>
    <t>0|i01cf3:8zzzzzzzr</t>
  </si>
  <si>
    <t>04/Mar/26 11:06 AM;hasan.coskun;Proje için genel test süreçleri işletilmektedir.</t>
  </si>
  <si>
    <t>İletilen 7 farklı tipteki defter dokümanlarını menü üzerinden indirme çalışması yapıldı.;22/Oct/25 5:54 PM;mert.tanel;7200</t>
  </si>
  <si>
    <t>0|i01cf3:8zzzzzzzi</t>
  </si>
  <si>
    <t>E-Defter Modülü</t>
  </si>
  <si>
    <t>Entegrasyon sayfasında organizasyon için tanımlı e-Defter kayıtlarının listelenmesi sağlanacaktır._x000D_
_x000D_
Organizasyon için E-Defter modülü tanımlı ve kullanıcı E-Defter modülünde yetkili ise Entegrasyonlarım sayfasında E-Defter sekmesi aktif olacaktır._x000D_
_x000D_
Sekme tıklandığı zaman _Integration Service - ledger_controller - /api/v1/integrations/ledgers/filter_ metodu çağırılır. Metot için request parametreleri ve açıklamaları aşağıdaki şekildedir._x000D_
|*Alan*|*Tip*|*Zorunlu*|*Açıklama*|_x000D_
|*token*|String|Evet|Uygulama girişi sonrasında yetkilendirme amacıyla kullanıcıya atanan değerdir.|_x000D_
|*ledgerNo*|String|Evet|E-Defter uygulamasında üretilen Id bilgisidir.|_x000D_
|*partNo*|String|Evet|Parçalı defterin parça numarasıdır.|_x000D_
|*beginDate*|String|Evet|Filtreleme için başlangıç tarihi bilgisidir.|_x000D_
|*endDate*|String| |Filtreleme için bitiş tarihi bilgisidir.|_x000D_
|*party*|String| |Firma ünvanıdır|_x000D_
|*kn*|String| |Firma VKN bilgisidir.|_x000D_
|*pageNumber*|int|Evet|Paging için kullanılacak değerdir. Kaçıncı sayfanın listeleneceğini gösterir.|_x000D_
|*pageSize*|int|Evet|Paging için kullanılacak değerdir. Her sayfada kaç adet kayıt dönüleceğini gösterir.|_x000D_
_x000D_
Sorgu sonucunda, filtreleme kriterlerine uygun olan kayıtlar uygulama ara yüzünde yeniden eskiye olacak şekilde listelenmelidir._x000D_
_x000D_
 </t>
  </si>
  <si>
    <t>Yeni gelen LedgerRaporId class a eklendi. Servis ile verilerin listelenmesi sağlandı.;22/Oct/25 5:56 PM;mert.tanel;3600</t>
  </si>
  <si>
    <t>0|i01cf3:8zzzzzzz</t>
  </si>
  <si>
    <t>Entegrasyonların yetki servislerinin kullanıldığı metot değiştirilecek._x000D_
_x000D_
Bu nedenle yeni bir servis metodu eklemesi yapıldı._x000D_
_x000D_
Kod refactor çalışmaları yapıldı.;16/Oct/25 6:21 PM;mert.tanel;14400</t>
  </si>
  <si>
    <t>Entegrasyon yetki kontrolleri file servise bağlandı._x000D_
AuthService kaldırıldı. Layout düzenlendi._x000D_
Servislerde kullanılmayan metotlar kaldırıldı._x000D_
Entegrasyon sayfalarında düzenlemeler yapıldı.;17/Oct/25 5:58 PM;mert.tanel;14400</t>
  </si>
  <si>
    <t>UserService düzenlemesi yapıldı._x000D_
Takım üyeleri sayfasında metot refactor yapıldı._x000D_
Base component translate refactor çalışması yapıldı.;20/Oct/25 6:06 PM;mert.tanel;18000</t>
  </si>
  <si>
    <t>Defter listeleme servise bağlandı._x000D_
Ledger downloadItems metodu eklendi._x000D_
Test ortam güncellendi._x000D_
Figma üzerinden tasarım incelemesi yapıldı._x000D_
Kod refactor çalışması yapıldı._x000D_
_x000D_
 ;21/Oct/25 6:02 PM;mert.tanel;20700</t>
  </si>
  <si>
    <t>Kullanıcı durumu değişimi ile ilgili tasarımsal çalışmalar yapıldı._x000D_
_x000D_
Tüm servis isteklerini tek bir yerden loading çıkarma üzerine kod üzerinde inceleme ve çalışmalar yapıldı._x000D_
_x000D_
Test ortama son düzenlemeler aktarıldı._x000D_
_x000D_
 ;23/Oct/25 6:01 PM;mert.tanel;19800</t>
  </si>
  <si>
    <t>Kod temizliği yapıldı._x000D_
_x000D_
Tasarımsal düzenlemelere devam edildi._x000D_
_x000D_
Excel görüntüleme ile ilgili oluşan kolon kayma problemi ile ilgili düzenleme yapıldı._x000D_
_x000D_
Test ortam güncellendi.;24/Oct/25 6:06 PM;mert.tanel;18000</t>
  </si>
  <si>
    <t>PrimeNg ile ilgili componet incelemeleri yapıldı._x000D_
_x000D_
Doküman görüntüleme pop-up da tasarımsal çalışmalar yapıldı.;27/Oct/25 5:00 PM;mert.tanel;5400</t>
  </si>
  <si>
    <t>0|i01drt:</t>
  </si>
  <si>
    <t>Entegrasyonların listeleme sayfaları için base class oluşturuldu._x000D_
Ortak kullanıma ait işlemler bu sınıf üzerinden yapılması için gerekli çalışma yapıldı._x000D_
KEP, E-Fatura, E-Arşiv Fatura, E-İrsaliye ve E-Defter sayfaları base class'ı kullanması sağlandı._x000D_
Scss dosyalarında ve html'ler üzerinde inceleme yapıldı.;16/Oct/25 6:17 PM;batuhan.tufan;18000</t>
  </si>
  <si>
    <t>Entegrasyon yetki kontrolleri file servis üzerinden yapılması sağlandı._x000D_
Servislerde kullanılmayan metotlar tespit edilip kaldırıldı._x000D_
E-Arşiv ve E-Defter yapısı diğer entegrasyon yapılarına uygun hale getirildi._x000D_
Yetki servis metodunda düzenleme yapıldı._x000D_
Genel inceleme yapıldı.;17/Oct/25 5:57 PM;batuhan.tufan;19800</t>
  </si>
  <si>
    <t>Scss ortaklaştırması yapıldı._x000D_
_x000D_
Servislerde ortak kullanımlar için base sınıf oluşturuldu._x000D_
_x000D_
Belirli servisler base servis ile kullanımı sağlandı._x000D_
_x000D_
İncelemeler yapıldı.;20/Oct/25 6:06 PM;batuhan.tufan;21600</t>
  </si>
  <si>
    <t>Belirli servisler (File, DocumentOperations) base servis ile kullanımı sağlandı._x000D_
_x000D_
Figma Tasarımları incelendi._x000D_
_x000D_
Defter servis bağlantısı ile ilgili inceleme yapıldı._x000D_
_x000D_
Ekip içi görüşme yapıldı._x000D_
_x000D_
Primeng üzerinde inceleme yapıldı.;21/Oct/25 6:09 PM;batuhan.tufan;14400</t>
  </si>
  <si>
    <t>Kullanıcı statü durumu ile ilgili pop-up yapıldı._x000D_
_x000D_
Kullanıcı liste sayfasında tasarımsal düzenleme yapıldı._x000D_
_x000D_
Defter sayfasında bulunan menü ile ilgili tasarımsal düzenleme yapıldı._x000D_
_x000D_
Dil seçeneği ile ilgili tasarımsal düzenleme yapıldı._x000D_
_x000D_
Refactor çalışması yapıldı.;23/Oct/25 6:08 PM;batuhan.tufan;16200</t>
  </si>
  <si>
    <t>Refactor çalışması yapıldı._x000D_
Tasarım incelemeleri ve düzenlemeleri yapıldı._x000D_
Uygulamaya loading eklendi. _x000D_
Ekip içi görüşme yapıldı._x000D_
Primeng üzerinde inceleme yapıldı.;24/Oct/25 6:08 PM;batuhan.tufan;21600</t>
  </si>
  <si>
    <t>Dosya görüntüleme işleminde kod üzerinde düzenleme yapıldı._x000D_
Entegrasyon listeleme sayfalarında scss kod ortaklaştırılması yapıldı._x000D_
Kullanılmayan scss kodları kaldırıldı._x000D_
Kod incelemesi yapıldı._x000D_
Tasarım incelemesi yapıldı.;03/Nov/25 5:19 PM;batuhan.tufan;14400</t>
  </si>
  <si>
    <t>Entegrasyon listeleme(e-Fatura, e-Arşiv, e-İrsaliye, e-Defter ve KEP) sayfalarında scss kod ortaklaştırılması yapıldı._x000D_
Kullanılmayan metotlar kaldırıldı._x000D_
Kod ortaklaştırılması için incelemeler ve denemeler yapıldı.;04/Nov/25 5:05 PM;batuhan.tufan;18000</t>
  </si>
  <si>
    <t>Kod üzerinde incelemeler yapıldı._x000D_
_x000D_
Kod üzerinde düzenlemeler yapıldı._x000D_
_x000D_
Test ortam güncellendi.;12/Jan/26 5:11 PM;batuhan.tufan;16200</t>
  </si>
  <si>
    <t>Kod üzerinde incelemeler yapıldı._x000D_
_x000D_
Kod üzerinde düzenlemeler yapıldı._x000D_
_x000D_
Test ortam güncellendi.;13/Jan/26 3:29 PM;batuhan.tufan;21600</t>
  </si>
  <si>
    <t>Kod üzerinde incelemeler yapıldı._x000D_
_x000D_
Kod üzerinde düzenlemeler yapıldı._x000D_
_x000D_
Test ortam güncellendi.;14/Jan/26 4:55 PM;batuhan.tufan;25200</t>
  </si>
  <si>
    <t>Kod üzerinde incelemeler yapıldı._x000D_
_x000D_
Kod üzerinde düzenlemeler yapıldı._x000D_
_x000D_
Metotlar üzerinde düzenlemeler yapıldı._x000D_
_x000D_
Önyüz tarafında değişiklikler sağlandı._x000D_
_x000D_
Scss dosyaları içerisinde düzenlemeler yapıldı._x000D_
_x000D_
Test ortam güncellendi.;15/Jan/26 4:18 PM;batuhan.tufan;27000</t>
  </si>
  <si>
    <t>Kod üzerinde incelemeler yapıldı._x000D_
_x000D_
Kod üzerinde düzenlemeler yapıldı.;16/Jan/26 5:02 PM;batuhan.tufan;7200</t>
  </si>
  <si>
    <t>Kod üzerinde incelemeler yapıldı._x000D_
_x000D_
Kod üzerinde düzenlemeler yapıldı._x000D_
_x000D_
Test ortam güncellendi.;20/Jan/26 5:06 PM;batuhan.tufan;5400</t>
  </si>
  <si>
    <t>0|i01drd:</t>
  </si>
  <si>
    <t>20/Oct/25 11:11 AM;gitlab.dev;[Batuhan Tufan|http://git-lab.turkkep.com.tr/batuhan.tufan] mentioned this issue in [commit 520c796f|http://git-lab.turkkep.com.tr/saklama/saklama-frontend/-/commit/520c796f159adb686dbc4c151bff5ab0997428c1] of [SAKLAMA / saklama-frontend|http://git-lab.turkkep.com.tr/saklama/saklama-frontend] on branch [dev|http://git-lab.turkkep.com.tr/saklama/saklama-frontend/-/tree/dev]:{quote}(DAVS-166) Entegrasyonlara ait listeleme sayfalarında scss sınıf ortaklaştırması yapıldı.
{quote}</t>
  </si>
  <si>
    <t>12/Jan/26 4:45 PM;gitlab.dev;[Batuhan Tufan|https://git-lab.turkkep.com.tr/batuhan.tufan] mentioned this issue in [merge request !57|https://git-lab.turkkep.com.tr/saklama/saklama-frontend/-/merge_requests/57] of [SAKLAMA / saklama-frontend|https://git-lab.turkkep.com.tr/saklama/saklama-frontend] on branch [dev|https://git-lab.turkkep.com.tr/saklama/saklama-frontend/-/tree/dev]:{quote}Dev to Test (DAVS-166){quote}</t>
  </si>
  <si>
    <t>12/Jan/26 4:45 PM;gitlab.dev;[Batuhan Tufan|https://git-lab.turkkep.com.tr/batuhan.tufan] mentioned this issue in [commit 27234368|https://git-lab.turkkep.com.tr/saklama/saklama-frontend/-/commit/27234368ebd4b60dd7932e5dd195c659f47b9717] of [SAKLAMA / saklama-frontend|https://git-lab.turkkep.com.tr/saklama/saklama-frontend] on branch [test|https://git-lab.turkkep.com.tr/saklama/saklama-frontend/-/tree/test]:{quote}Merge branch 'dev' into 'test'
Dev to Test (DAVS-166)
See merge request saklama/saklama-frontend!57{quote}</t>
  </si>
  <si>
    <t>12/Jan/26 4:47 PM;gitlab.dev;✅ Pipeline başarılı, DAVS-166 maddesi test ortamına aktarıldı.</t>
  </si>
  <si>
    <t>13/Jan/26 11:15 AM;gitlab.dev;[Batuhan Tufan|https://git-lab.turkkep.com.tr/batuhan.tufan] mentioned this issue in [merge request !58|https://git-lab.turkkep.com.tr/saklama/saklama-frontend/-/merge_requests/58] of [SAKLAMA / saklama-frontend|https://git-lab.turkkep.com.tr/saklama/saklama-frontend] on branch [dev|https://git-lab.turkkep.com.tr/saklama/saklama-frontend/-/tree/dev]:{quote}Dev To Test (DAVS-166){quote}</t>
  </si>
  <si>
    <t>13/Jan/26 11:15 AM;gitlab.dev;[Batuhan Tufan|https://git-lab.turkkep.com.tr/batuhan.tufan] mentioned this issue in [commit 0bd69a13|https://git-lab.turkkep.com.tr/saklama/saklama-frontend/-/commit/0bd69a13f4b1eeeb1fb86f9f4429b62bfedf0245] of [SAKLAMA / saklama-frontend|https://git-lab.turkkep.com.tr/saklama/saklama-frontend] on branch [test|https://git-lab.turkkep.com.tr/saklama/saklama-frontend/-/tree/test]:{quote}Merge branch 'dev' into 'test'
Dev To Test (DAVS-166)
See merge request saklama/saklama-frontend!58{quote}</t>
  </si>
  <si>
    <t>13/Jan/26 11:18 AM;gitlab.dev;✅ Pipeline başarılı, DAVS-166 maddesi test ortamına aktarıldı.</t>
  </si>
  <si>
    <t>13/Jan/26 3:22 PM;gitlab.dev;[Batuhan Tufan|https://git-lab.turkkep.com.tr/batuhan.tufan] mentioned this issue in [merge request !59|https://git-lab.turkkep.com.tr/saklama/saklama-frontend/-/merge_requests/59] of [SAKLAMA / saklama-frontend|https://git-lab.turkkep.com.tr/saklama/saklama-frontend] on branch [dev|https://git-lab.turkkep.com.tr/saklama/saklama-frontend/-/tree/dev]:{quote}Dev To Test (DAVS-166){quote}</t>
  </si>
  <si>
    <t>13/Jan/26 3:22 PM;gitlab.dev;[Batuhan Tufan|https://git-lab.turkkep.com.tr/batuhan.tufan] mentioned this issue in [commit c0d87543|https://git-lab.turkkep.com.tr/saklama/saklama-frontend/-/commit/c0d87543244eb93f1dec2d8fa0f24d3b09c6b867] of [SAKLAMA / saklama-frontend|https://git-lab.turkkep.com.tr/saklama/saklama-frontend] on branch [test|https://git-lab.turkkep.com.tr/saklama/saklama-frontend/-/tree/test]:{quote}Merge branch 'dev' into 'test'
Dev To Test (DAVS-166)
See merge request saklama/saklama-frontend!59{quote}</t>
  </si>
  <si>
    <t>13/Jan/26 3:24 PM;gitlab.dev;✅ Pipeline başarılı, DAVS-166 maddesi test ortamına aktarıldı.</t>
  </si>
  <si>
    <t>14/Jan/26 2:38 PM;gitlab.dev;[Batuhan Tufan|https://git-lab.turkkep.com.tr/batuhan.tufan] mentioned this issue in [merge request !60|https://git-lab.turkkep.com.tr/saklama/saklama-frontend/-/merge_requests/60] of [SAKLAMA / saklama-frontend|https://git-lab.turkkep.com.tr/saklama/saklama-frontend] on branch [dev|https://git-lab.turkkep.com.tr/saklama/saklama-frontend/-/tree/dev]:{quote}Dev To Test (DAVS-166){quote}</t>
  </si>
  <si>
    <t>14/Jan/26 2:38 PM;gitlab.dev;[Batuhan Tufan|https://git-lab.turkkep.com.tr/batuhan.tufan] mentioned this issue in [commit 61523811|https://git-lab.turkkep.com.tr/saklama/saklama-frontend/-/commit/6152381183cbdf97cad2f625972dd04f1a249779] of [SAKLAMA / saklama-frontend|https://git-lab.turkkep.com.tr/saklama/saklama-frontend] on branch [test|https://git-lab.turkkep.com.tr/saklama/saklama-frontend/-/tree/test]:{quote}Merge branch 'dev' into 'test'
Dev To Test (DAVS-166)
See merge request saklama/saklama-frontend!60{quote}</t>
  </si>
  <si>
    <t>14/Jan/26 2:40 PM;gitlab.dev;✅ Pipeline başarılı, DAVS-166 maddesi test ortamına aktarıldı.</t>
  </si>
  <si>
    <t>15/Jan/26 1:40 PM;gitlab.dev;[Batuhan Tufan|https://git-lab.turkkep.com.tr/batuhan.tufan] mentioned this issue in [merge request !61|https://git-lab.turkkep.com.tr/saklama/saklama-frontend/-/merge_requests/61] of [SAKLAMA / saklama-frontend|https://git-lab.turkkep.com.tr/saklama/saklama-frontend] on branch [dev|https://git-lab.turkkep.com.tr/saklama/saklama-frontend/-/tree/dev]:{quote}Dev To Test (DAVS-166){quote}</t>
  </si>
  <si>
    <t>15/Jan/26 1:40 PM;gitlab.dev;[Batuhan Tufan|https://git-lab.turkkep.com.tr/batuhan.tufan] mentioned this issue in [commit cfc27bef|https://git-lab.turkkep.com.tr/saklama/saklama-frontend/-/commit/cfc27bef57e3488d5fbfc9c9f055c97c6e4cc7af] of [SAKLAMA / saklama-frontend|https://git-lab.turkkep.com.tr/saklama/saklama-frontend] on branch [test|https://git-lab.turkkep.com.tr/saklama/saklama-frontend/-/tree/test]:{quote}Merge branch 'dev' into 'test'
Dev To Test (DAVS-166)
See merge request saklama/saklama-frontend!61{quote}</t>
  </si>
  <si>
    <t>15/Jan/26 1:42 PM;gitlab.dev;✅ Pipeline başarılı, DAVS-166 maddesi test ortamına aktarıldı.</t>
  </si>
  <si>
    <t>15/Jan/26 4:11 PM;gitlab.dev;[Batuhan Tufan|https://git-lab.turkkep.com.tr/batuhan.tufan] mentioned this issue in [merge request !62|https://git-lab.turkkep.com.tr/saklama/saklama-frontend/-/merge_requests/62] of [SAKLAMA / saklama-frontend|https://git-lab.turkkep.com.tr/saklama/saklama-frontend] on branch [dev|https://git-lab.turkkep.com.tr/saklama/saklama-frontend/-/tree/dev]:{quote}Dev To Test (DAVS-166){quote}</t>
  </si>
  <si>
    <t>15/Jan/26 4:11 PM;gitlab.dev;[Batuhan Tufan|https://git-lab.turkkep.com.tr/batuhan.tufan] mentioned this issue in [commit bff1755b|https://git-lab.turkkep.com.tr/saklama/saklama-frontend/-/commit/bff1755bf75ceee018bd3a0a1abff0a60d8ae234] of [SAKLAMA / saklama-frontend|https://git-lab.turkkep.com.tr/saklama/saklama-frontend] on branch [test|https://git-lab.turkkep.com.tr/saklama/saklama-frontend/-/tree/test]:{quote}Merge branch 'dev' into 'test'
Dev To Test (DAVS-166)
See merge request saklama/saklama-frontend!62{quote}</t>
  </si>
  <si>
    <t>15/Jan/26 4:14 PM;gitlab.dev;✅ Pipeline başarılı, DAVS-166 maddesi test ortamına aktarıldı.</t>
  </si>
  <si>
    <t>20/Jan/26 1:25 PM;gitlab.dev;[Batuhan Tufan|https://git-lab.turkkep.com.tr/batuhan.tufan] mentioned this issue in [merge request !63|https://git-lab.turkkep.com.tr/saklama/saklama-frontend/-/merge_requests/63] of [SAKLAMA / saklama-frontend|https://git-lab.turkkep.com.tr/saklama/saklama-frontend] on branch [dev|https://git-lab.turkkep.com.tr/saklama/saklama-frontend/-/tree/dev]:{quote}Dev To Test (DAVS-166){quote}</t>
  </si>
  <si>
    <t>20/Jan/26 1:25 PM;gitlab.dev;[Batuhan Tufan|https://git-lab.turkkep.com.tr/batuhan.tufan] mentioned this issue in [commit d6767a69|https://git-lab.turkkep.com.tr/saklama/saklama-frontend/-/commit/d6767a69941db02786240758461a00ba04cdb642] of [SAKLAMA / saklama-frontend|https://git-lab.turkkep.com.tr/saklama/saklama-frontend] on branch [test|https://git-lab.turkkep.com.tr/saklama/saklama-frontend/-/tree/test]:{quote}Merge branch 'dev' into 'test'
Dev To Test (DAVS-166)
See merge request saklama/saklama-frontend!63{quote}</t>
  </si>
  <si>
    <t>20/Jan/26 1:27 PM;gitlab.dev;✅ Pipeline başarılı, DAVS-166 maddesi test ortamına aktarıldı.</t>
  </si>
  <si>
    <t>Entegrasyon sayfasında modül seçimi yapıldığı zaman kullanıcı yetkileri kontrol edilir ve açılan sayfa yetkilere uygun olarak açılır. Bu bağlamda;_x000D_
_x000D_
E-Defter modülü seçimi yapıldığı zaman;_x000D_
 * Kullanıcının yetkisi bulunuyorsa(READ yetkisi olan) sayfa erişimi sağlanır._x000D_
 * Kullanıcı modülde yetkili ancak aksiyon yetkisi bulunmuyorsa; sekme içerisinde butonlar pasif durumda olacaktır._x000D_
 ** COPY yetkisi bulunmuyorsa kopyalama_x000D_
 ** DELETE yetkisi bulunmuyorsa silme</t>
  </si>
  <si>
    <t>E-Defter listeleme sayfasında diğer listeleme sayfalarında olduğu gibi yetki kontrolleri eklenmiştir.;22/Oct/25 5:58 PM;batuhan.tufan;3600</t>
  </si>
  <si>
    <t>0|i01cf3:8zzzzzzw</t>
  </si>
  <si>
    <t>Yetkilendirme model değişikliğinin entegrasyon servisine uyarlanması</t>
  </si>
  <si>
    <t>DAVS-155</t>
  </si>
  <si>
    <t>IntegrationsService</t>
  </si>
  <si>
    <t>IntegrationPermissionDto modelinde gerçekleştirilen değişikliğin integration-service metotları için uyarlanması sağlanacaktır.</t>
  </si>
  <si>
    <t>* Rem,Invoice,Despatch,Ledger modulleri için geliştirme yapıldı._x000D_
 * Archive_invoice modülü için de ayrıca geliştirme yapıldı._x000D_
 * FilesPermissionGateway ve OrganizationModuleGateway eklendi._x000D_
 * files-service ve organization-service client bağlantıları yapıldı.;17/Oct/25 5:48 PM;ugur.acik;28800</t>
  </si>
  <si>
    <t>DAVS-67</t>
  </si>
  <si>
    <t>0|i01cf3:8zzzzzz4</t>
  </si>
  <si>
    <t>Parola Sıfırlama</t>
  </si>
  <si>
    <t>DAVS-111</t>
  </si>
  <si>
    <t>*Description:*_x000D_
_x000D_
Kullanıcı, giriş ekranındaki *“Parolamı Unuttum”* bağlantısını tıklayarak parola sıfırlama sürecini başlatabilmelidir. Süreç, e-posta adresi ve SMS doğrulaması üzerinden çok aşamalı şekilde ilerlemeli ve kullanıcıdan hem kimlik teyidi hem de OTP doğrulaması istenmelidir._x000D_
_x000D_
Süreç boyunca, her adımdaki kullanıcı girişi sistem tarafından doğrulanmalı ve gerekli validasyonlar yapılmalıdır. Kullanıcı başarılı şekilde doğrulandıktan sonra, yeni bir şifre oluşturmasına izin verilmelidir._x000D_
_x000D_
 _x000D_
_x000D_
*Gereksinimler:*_x000D_
_x000D_
*Giriş ekranında, kullanıcı “Parolamı unuttum” bağlantısını tıklayarak süreci başlatır.*_x000D_
 * Kullanıcıdan e-posta adresi istenir._x000D_
_x000D_
 * E-posta alanı yalnızca geçerli formatta veri girildiğinde işleme alınmalıdır._x000D_
_x000D_
 * Hatalı e-posta formatları (örnek: {{abc@}}, {{test.com}}) sistem tarafından reddedilmeli ve kullanıcı uyarılmalıdır._x000D_
_x000D_
*e-Posta Doğrulama* *ve Sıfırlama Linki*_x000D_
_x000D_
Girilen e-posta sistemde kayıtlıysa:_x000D_
 * Parola sıfırlama bağlantısı kullanıcıya gönderilir._x000D_
 * Bağlantı geçerlilik süresi varsayılan olarak *15 dakika* olmalı ve bu süre parametrik olarak Türkkep sistemi tarafından ayarlanabilir olmalıdır._x000D_
 * E-posta kayıtlı değilse kullanıcıya bilgilendirme yapılmalıdır (güvenlik politikalarına uygun şekilde)._x000D_
_x000D_
*Kullanıcı gönderilen bağlantıya tıkladığında:*_x000D_
 * Kayıtlı telefon numarasının son 4 hanesi istenir._x000D_
 * Giriş, sistemdeki veriyle eşleşiyorsa OTP gönderilir._x000D_
 * Yanlış giriş durumunda kullanıcı bilgilendirilmelidir._x000D_
_x000D_
*SMS Doğrulama*_x000D_
 * Sistem, SMS ile OTP gönderir._x000D_
_x000D_
 * OTP süresi: *5 dakika* (parametrik olarak ayarlanabilir)._x000D_
_x000D_
 * Süre aşımında oturum sonlandırılmalı, kullanıcı süreci yeniden başlatmalıdır._x000D_
_x000D_
 * Maksimum deneme hakkı: *3* kez. Sonrasında işlem kilitlenmelidir._x000D_
_x000D_
*Yeni Parola Belirleme*_x000D_
 * OTP doğrulaması başarılıysa kullanıcıya yeni parola oluşturma ekranı sunulmalıdır._x000D_
_x000D_
 * Yeni parola, sistemdeki parola belirleme kriterlerine uygun olmalıdır._x000D_
_x000D_
 * Parola başarıyla değiştirildiğinde kullanıcıya bilgi mesajı gösterilmeli ve tekrar giriş yapması sağlanmalıdır.</t>
  </si>
  <si>
    <t>DAVS-5</t>
  </si>
  <si>
    <t>0|i01cf3:hzi</t>
  </si>
  <si>
    <t>İlgili organizasyona ait olan defterlerin verilen ID bilgisine göre belgeyi getirir._x000D_
_x000D_
 _x000D_
|Metot Türü ve URL |GET /integrations/ledgers/documents/\{documentId} |_x000D_
|Açıklama |İlgili organizasyona ait olan defterlerin verilen ID bilgisine belgeyi göre getirir |_x000D_
|Parametreler |token (*@RequestHeader (*Authorization*)* String),  _x000D_
documentId (*@PathVariable* Long), _x000D_
pageNumber *(@RequestParam* Integer), _x000D_
pageSize *(@RequestParam* Integer) |_x000D_
|Dönüş Tipi |byte[] |</t>
  </si>
  <si>
    <t>* Doküman getirme için controller metotları oluşturuldu._x000D_
 * Servis katmanı oluşturuldu.;20/Oct/25 6:12 PM;ugur.acik;10800</t>
  </si>
  <si>
    <t>* Bu metodun benzeri file service içerisindeki documents/\{documentId} endpoint'i ile alabildiği için iş tekrarı olmaması için integration service içerisinden kaldırıılmıştır.;21/Oct/25 3:14 PM;ugur.acik;3600</t>
  </si>
  <si>
    <t>25/Aug/25 1:27 AM;gulnur.aka;DAVS Servis 3.docx;http://192.168.124.186:8080/secure/attachment/15520/DAVS+Servis+3.docx</t>
  </si>
  <si>
    <t>0|i01cf3:8zzzzzzr</t>
  </si>
  <si>
    <t>Defter kayıtlarını verilen filtre koşullarına göre getirmek._x000D_
_x000D_
 _x000D_
|Metot Türü ve URL |GET /integrations/ledgers/filter |_x000D_
|Açıklama |Defter kayıtları verilen arama terimine göre filtreler |_x000D_
|Parametreler |token (*@RequestHeader (*Authorization*)* String),  _x000D_
ledgerFilterDto (*@RequestBody* LedgerFilterDto), _x000D_
pageNumber *(@RequestParam* Integer), _x000D_
pageSize *(@RequestParam* Integer) |_x000D_
|Dönüş Tipi |Page&lt; LedgerMetadataDto &gt; |</t>
  </si>
  <si>
    <t>* Entity'ler oluşturuldu._x000D_
 * Specs'ler oluşturuldu._x000D_
 * Repositoryler oluşturuldu.;20/Oct/25 6:08 PM;ugur.acik;10800</t>
  </si>
  <si>
    <t>* Servis katmanı eklendi._x000D_
 * Controller eklendi._x000D_
 * LedgerSpecs eklendi._x000D_
 * Repository eklendi.;21/Oct/25 6:36 PM;ugur.acik;10800</t>
  </si>
  <si>
    <t>25/Aug/25 1:25 AM;gulnur.aka;DAVS Servis 3.docx;http://192.168.124.186:8080/secure/attachment/15519/DAVS+Servis+3.docx</t>
  </si>
  <si>
    <t>0|i01cf3:8zzzzzzi</t>
  </si>
  <si>
    <t>21/Oct/25 6:36 PM;ugur.acik;* Servis katmanı eklendi._x000D_
 * Controller eklendi._x000D_
 * LedgerSpecs eklendi._x000D_
 * Repository eklendi.</t>
  </si>
  <si>
    <t>Organizasyona ait defter kayıtlarını listelemek._x000D_
_x000D_
 _x000D_
|Metot Türü ve URL |GET /integrations/ledgers |_x000D_
|Açıklama |İlgili organizasyona ait olan defterleri getirir |_x000D_
|Parametreler |token (*@RequestHeader (*Authorization*)* String),  _x000D_
pageNumber *(@RequestParam* Integer), _x000D_
pageSize *(@RequestParam* Integer) |_x000D_
|Dönüş Tipi |Page&lt;LedgerMetadataDto&gt; |</t>
  </si>
  <si>
    <t>25/Aug/25 1:24 AM;gulnur.aka;DAVS Servis 3.docx;http://192.168.124.186:8080/secure/attachment/15518/DAVS+Servis+3.docx</t>
  </si>
  <si>
    <t>0|i01cf3:8zzzzzz9</t>
  </si>
  <si>
    <t>User Service – Kullanıcının Yetkili Olduğu Organizasyonları Listeleme Endpoint'i Geliştirilmesi</t>
  </si>
  <si>
    <t>DAVS-76</t>
  </si>
  <si>
    <t>Faz2</t>
  </si>
  <si>
    <t>UserService</t>
  </si>
  <si>
    <t>Kullanıcının yetkili olduğu organizasyonları listelemek._x000D_
_x000D_
 _x000D_
|Metot Türü ve URL |GET /user/organizations |_x000D_
|Açıklama |Kullanıcının yetkili olduğu organizasyonları listeler |_x000D_
|Parametreler |token (*@RequestHeader (*Authorization*)* String) |_x000D_
|Dönüş Tipi |List&lt;OrganizationDto&gt; |</t>
  </si>
  <si>
    <t>;16/Oct/25 3:58 PM;mehmetcan.olgun;28800</t>
  </si>
  <si>
    <t>;16/Oct/25 3:58 PM;mehmetcan.olgun;3600</t>
  </si>
  <si>
    <t>25/Aug/25 1:35 AM;gulnur.aka;DAVS Servis 3.docx;http://192.168.124.186:8080/secure/attachment/15534/DAVS+Servis+3.docx</t>
  </si>
  <si>
    <t>0|i01cf3:8zzzzzzy</t>
  </si>
  <si>
    <t>KEP Modülü</t>
  </si>
  <si>
    <t>*Açıklama:* _x000D_
_x000D_
KEP Entegrasyon ekranında yer alan *Gelen İletiler*, *Giden İletiler* ve *Deliller* sekmelerinde, kullanıcıların listelenen iletiler arasında daha kolay arama yapabilmesi ve detaylı sorgulama gerçekleştirebilmesi için gelişmiş filtreleme alanları sunulmalıdır._x000D_
_x000D_
Her sekmede kullanılacak filtre yapısı ortak olmalı, kullanıcıların sekmeye göre varsayılan bir filtre alanıyla karşılaşması sağlanmalıdır. Örneğin; kullanıcı "Gelen İletiler" sekmesinde ise, bu sekmeye uygun filtre ön seçili gelmeli; kullanıcı isterse bu filtreyi değiştirerek aramasını yapabilmelidir. Böylece tüm sekmeler için *ortak bir filtreleme alanı* sağlanmış olmalıdır._x000D_
_x000D_
Kısaca, filtre bileşeni *ortak bir yapıda olmalı, ancak kullanıcının seçtiği sekmeye göre (Gelen, Giden, Delil)* filtre alanları *dinamik olarak değişmelidir*. Böylece her sekmede yalnızca ilgili filtreler gösterilir, kullanıcı sadece o içeriğe uygun kriterlerle arama yapabilir._x000D_
_x000D_
 _x000D_
_x000D_
*Gereksinim:* _x000D_
_x000D_
Kullanıcıların KEP iletileri arasında ihtiyaç duydukları kayıtlara kolay ve hızlı erişebilmeleri için sistemde gelişmiş, ortak bir filtreleme mekanizması bulunmalıdır._x000D_
_x000D_
 _x000D_
_x000D_
*Filtreleme Alanları:* _x000D_
_x000D_
Ekranda aşağıdaki kriterler ile filtreleme yapılabilmelidir:_x000D_
_x000D_
! "Date tarihi" tarih aralığı ile seçim yaptırmalıdır._x000D_
_x000D_
*Gelen İletiler Sekmesi:*_x000D_
 * Kimden (From)_x000D_
_x000D_
 * Tarih (Date)_x000D_
_x000D_
 * Konu (Subject)_x000D_
_x000D_
 * İleti Detay (X-TR-REM-iletiDetay)_x000D_
_x000D_
 * İleti Tipi (X-TR-REM-iletiTip)_x000D_
_x000D_
 * Message-ID_x000D_
_x000D_
 * byremmd_x000D_
 * orgimsgid_x000D_
_x000D_
h5. *Giden İletiler Sekmesi:*_x000D_
 * Kime (To)_x000D_
_x000D_
 * Tarih (Date)_x000D_
_x000D_
 * Konu (Subject)_x000D_
_x000D_
 * İleti Detay (X-TR-REM-iletiDetay)_x000D_
_x000D_
 * İleti Tipi (X-TR-REM-iletiTip)_x000D_
_x000D_
 * Message-ID_x000D_
_x000D_
 * byremmd_x000D_
 * orgimsgid_x000D_
_x000D_
h5. *Deliller Sekmesi:*_x000D_
 * Tarih (Date)_x000D_
_x000D_
 * Message-ID_x000D_
_x000D_
 * Delil Tipi (X-REM-EvidenceType)_x000D_
_x000D_
 * Delil Açıklama (X-REM-EventCode)_x000D_
_x000D_
 * Kimden / HS Bilgisi? (From)_x000D_
 * byremmd_x000D_
 * orgimsgid_x000D_
_x000D_
Filtreleme alanında yer alması gereken parametreler ve isimlendirmelerini aşağıdaki görselde yer almaktadır. _x000D_
_x000D_
 _x000D_
_x000D_
, !image-2025-07-17-15-35-46-329.png!_x000D_
_x000D_
 _x000D_
_x000D_
 *Kabul Kriterleri:*_x000D_
 * Ortak filtre bileşeni, *Gelen*, *Giden*, ve *Delil* sekmelerinde kullanılabilir olmalı ve sekmeye göre varsayılan alanlarla gelmelidir._x000D_
_x000D_
 * Tüm filtre alanları bir veya birden fazla kriterle aynı anda çalışabilmelidir._x000D_
_x000D_
 * Arama sonuçları filtreye göre anlık ya da bir “Filtrele” butonu ile listelenmelidir._x000D_
_x000D_
 * Tarih alanı hem tek gün hem de tarih aralığına göre çalışabilmelidir._x000D_
_x000D_
 * Boş filtre ile arama yapıldığında tüm kayıtlar listelenmelidir._x000D_
_x000D_
 * “Tüm filtreleri sıfırla” seçeneği yer almalıdır._x000D_
_x000D_
 * Filtreleme performansı kullanıcı deneyimi açısından kabul edilebilir hızda olmalıdır._x000D_
_x000D_
 </t>
  </si>
  <si>
    <t>17/Jul/25 3:35 PM;gulnur.aka;image-2025-07-17-15-35-46-329.png;http://192.168.124.186:8080/secure/attachment/15411/image-2025-07-17-15-35-46-329.png</t>
  </si>
  <si>
    <t>DAVS-8</t>
  </si>
  <si>
    <t>0|i01cf4:</t>
  </si>
  <si>
    <t>18/Jul/25 4:40 PM;ceren.sertkaya;*Açıklama:*_x000D_
_x000D_
KEP Entegrasyon ekranında bulunan Gelen İletiler, Giden İletiler ve Deliller sekmelerinde kullanıcılar listelenen kayıtlar üzerinde kolay arama yapabilmeli, detaylı sorgulama gerçekleştirebilmelidir. Kullanıcı deneyimini iyileştirmek adına tüm sekmeler için *ortak bir filtreleme alanı* olacak, ancak *sekme bazlı dinamik filtreler* yüklenecektir._x000D_
 • Ortak bir filtre bileşeni kullanılacak ama sekme değiştikçe ilgili filtreler ekrana dinamik olarak yüklenecektir._x000D_
 • Örneğin, “Gelen İletiler” sekmesinde “Kimden (From)” filtresi olurken, “Giden İletiler” sekmesinde “Kime (To)” filtresi görünecektir._x000D_
 • Kullanıcı isterse varsayılan filtre dışında kriter ekleyerek aramasını detaylandırabilecektir._x000D_
_x000D_
*Filtreleme Alanları:*_x000D_
_x000D_
*Tüm Sekmelerde Ortak Alanlar:*_x000D_
 • *Tarih Aralığı* (tek gün veya tarih aralığı seçimi yapılabilir)_x000D_
 • *MessageID Byremmd*_x000D_
 • *orjinal Message ID (orgimsgid)*_x000D_
 • *Ek Dosya Adı (Eklentiler - Dosya Adı)*_x000D_
_x000D_
*Gelen İletiler Sekmesi Özel Alanlar:*_x000D_
 • Kimden (From)_x000D_
 • Konu (Subject)_x000D_
 • İleti Detay (X-TR-REM-iletiDetay)_x000D_
 • İleti Tipi (X-TR-REM-iletiTipi)_x000D_
_x000D_
*Giden İletiler Sekmesi Özel Alanlar:*_x000D_
 • Kime (To)_x000D_
 • Konu (Subject)_x000D_
 • İleti Detay (X-TR-REM-iletiDetay)_x000D_
 • İleti Tipi (X-TR-REM-iletiTipi)_x000D_
_x000D_
*Deliller Sekmesi Özel Alanlar:*_x000D_
 • Delil Tipi (X-REM-EvidenceType)_x000D_
 • Delil Açıklaması (X-REM-EventCode)_x000D_
 • Kimden / HS Bilgisi (From)_x000D_
_x000D_
*Ek notlar:*_x000D_
_x000D_
 Sekme bazlı varsayılan filtreler yüklensin ancak kullanıcı tüm kriterlere erişebilsin._x000D_
  Filtreler “anlık sorgu” (search as you type) veya “Filtrele” butonuyla çalıştırılabilir opsiyonlu olsun._x000D_
  *Tüm Filtreleri Sıfırla* butonu her zaman erişilebilir olmalı._x000D_
 Tarih filtreleri *gün*, *aralık* ve *bugün/dün* gibi hızlı filtrelerle desteklenebilir._x000D_
  Filtre değişimi sonrası arka planda temiz bir API çağrısı ile sadece filtrelenen veriler gelsin (pagination ve sayfalama destekli)._x000D_
 Gelişmiş filtreler *responsive* olarak mobilde de uyumlu çalışmalıdır._x000D_
_x000D_
*Kabul Kriterleri:*_x000D_
 1. Filtre bileşeni tüm sekmelerde ortak yapıdadır, sekmeye göre uygun filtre alanları dinamik yüklenir._x000D_
 2. Birden fazla filtreleme kriteri aynı anda kullanılabilir._x000D_
 3. Boş filtre ile arama yapıldığında tüm kayıtlar getirilir._x000D_
 4. Tarih filtresi hem tek gün hem de tarih aralığı olarak çalışır._x000D_
 5. Arama sonuçları “Filtrele” butonu veya anlık sorgu ile gösterilir._x000D_
 6. “Tüm filtreleri sıfırla” butonu filtreleri ilk duruma döndürür._x000D_
 7. Filtreleme sonucunda yükleme süresi kullanıcı deneyimi açısından hızlı olmalıdır._x000D_
 8. Mobil cihazlarda filtre bileşeni düzgün çalışmalıdır._x000D_
 9. Sekme değişiminde filtreler otomatik temizlenmeli, yeni sekmeye göre varsayılan filtre yüklenmelidir._x000D_
 10. Filtrelenen sonuçlar paging ile getirilmelidir._x000D_
_x000D_
 _x000D_
_x000D_
 *Kullanılabilirlik (UX) Gereksinimleri*_x000D_
_x000D_
• Filtre alanları kullanıcı dostu olmalı; label’lar açıklayıcı ve sade olmalıdır._x000D_
 • Tarih filtreleri için takvim bileşeni kullanılmalı, manuel girişte format kontrolü yapılmalıdır._x000D_
 • Mobil görünümde filtre alanları aşağıya açılan (accordion) yapı şeklinde optimize edilmelidir._x000D_
 • Boş arama sonucu için “Kayıt bulunamadı” mesajı gösterilmeli, varsa filtre ipuçları sunulmalıdır._x000D_
 • Her filtre alanında placeholder örnekler (örneğin: örn. hs03.kep.tr gibi) bulunmalıdır._x000D_
_x000D_
 *Teknik Entegrasyon ve Performans Gereksinimleri*_x000D_
_x000D_
• Filtre uygulandığında arka uçta filtre kriterleri ile API çağrısı yapılmalı; response süresi max 2 sn altında olmalıdır._x000D_
 • Backend filtreleme işlemi *sunucu taraflı* yapılmalı; istemciye yük bindirilmemelidir._x000D_
 • Arama kriterleri GET yerine POST methodu ile gönderilerek karakter sınırlaması aşılmalıdır. (Daha büyük dataların alınabilmesi için)_x000D_
 • “Sayfalama” (pagination) desteği ile birlikte filtre sonuçları limitli gönderilmeli (örnek: ilk 50 kayıt)._x000D_
_x000D_
*Güvenlik Gereksinimleri*_x000D_
 • Filtre alanları injection’a karşı korunmalı, özel karakter kontrolleri yapılmalı (örn. ', &lt;, &gt;, % gibi)._x000D_
_x000D_
*Test Senaryoları*_x000D_
 # Kullanıcı herhangi bir sekmeye geldiğinde → İlgili sekmeye özel filtreler ön tanımlı gelir._x000D_
 2. Kullanıcı birden fazla filtre ile arama yapar → Tüm filtreler beraber çalışır, arama sonucu doğru döner._x000D_
 3. Tarih filtresi ile yalnızca belirli bir tarih aralığı seçilir → Listelenen iletiler sadece bu aralığa göre gelir._x000D_
 4. “Tüm filtreleri sıfırla” butonuna basılır → Tüm filtreler sıfırlanır, tüm kayıtlar listelenir._x000D_
 5. Anlık sorgu etkinse → Kullanıcı yazarken sonuçlar anlık güncellenir._x000D_
 6. “Filtrele” butonlu kullanımda → Kullanıcı kriterleri belirleyip “Filtrele” dediğinde veri doğru gelir._x000D_
 7. Sekme değiştirildiğinde → Filtreler temizlenir, yeni sekmeye ait filtreler otomatik yüklenir._x000D_
 8. Mobil cihazda giriş yapılır → Tüm filtre alanları mobil uyumlu görünür ve çalışır._x000D_
 9. Kullanıcı çok sayıda veri sorguladığında → Sonuçlar sayfalama ile gösterilir, performans düşmez._x000D_
 10. API loglarında filtre sorguları kayıt altına alınır → Backend loglar kontrol edildiğinde filtre değerleri görünür._x000D_
_x000D_
 </t>
  </si>
  <si>
    <t>27/Feb/26 5:13 PM;gulnur.aka;Burdaki isterlerden farklılık bulunmamaktadır. Gelecek hafta refirementta konuşulması planlanmaktadır. İlgili teknik analiz süreci tekrardan gözden geçirilebilir.. [~ceren.sertkaya] [~zeynep.oran] _x000D_
_x000D_
Proje yöneticisini süreç takibi için ekliyorum. [~hasan.coskun]</t>
  </si>
  <si>
    <t>Anımsatıcı Fonksiyonu</t>
  </si>
  <si>
    <t>Fonksiyonel</t>
  </si>
  <si>
    <t>* Kullanıcılar, herhangi bir klasör veya dosya için anımsatıcı oluşturabilmelidir._x000D_
 * Anımsatıcıya açıklama alanı eklenerek, kullanıcı neden bu hatırlatmayı koyduğunu kısa bir notla belirtebilmelidir._x000D_
 * Anımsatıcı tanımlama sırasında kullanıcı, tarih ve saat seçimi yapabilmelidir._x000D_
 * Seçim arayüzü kullanıcı dostu bir takvim/saat seçici ile sunulmalıdır._x000D_
 * Sistem, tanımlanan anımsatıcı zamanından önce, kullanıcıya bilgilendirici bir e-postave uygulama içi bildirim göndermelidir._x000D_
 * Bu ön bilgilendirme süresi (örneğin: 1 gün, 1 saat öncesi) kullanıcı tarafından belirlenebilir olmalıdır._x000D_
 * Sistem, anımsatıcı zamanına kadar belli aralıklarla tekrarlayan hatırlatmalar yapabilmelidir (örn. haftalık, günlük, saatlik gibi)._x000D_
 * Belirlenen anımsatıcı zamanı geldiğinde, sistem kullanıcıya uygulama içinden bir bildirim göstermelidir.</t>
  </si>
  <si>
    <t>27/Feb/26 12:38 PM;gulnur.aka;screenshot-1.png;http://192.168.124.186:8080/secure/attachment/15943/screenshot-1.png</t>
  </si>
  <si>
    <t>27/Feb/26 12:38 PM;gulnur.aka;screenshot-2.png;http://192.168.124.186:8080/secure/attachment/15944/screenshot-2.png</t>
  </si>
  <si>
    <t>27/Feb/26 12:38 PM;gulnur.aka;screenshot-3.png;http://192.168.124.186:8080/secure/attachment/15945/screenshot-3.png</t>
  </si>
  <si>
    <t>0|i01cce:</t>
  </si>
  <si>
    <t>e- İrsaliye Entegrasyon Modülü</t>
  </si>
  <si>
    <t>DAVS-11</t>
  </si>
  <si>
    <t>* Saklama hizmeti satın almış organizasyonlar için, CRM üzerinden ilgili organizasyonun e-Belge modülü aktif hale getirilebilmelidir._x000D_
 * Bu işlem sadece yetkili kullanıcılar tarafından yapılabilmeli, yapılan işlemler sistem loglarına kaydedilmelidir._x000D_
 * Saklama modülü aktif hale Gelen-Giden faturalar, e-Arşiv Faturalar, Gelen-Giden irsaliyeler ve e-Defter kayıtları otomatik olarak Saklama veri tabanına aktarılmalıdır._x000D_
 ** Veri aktarımı, kullanıcının belirleyeceği servis planına göre zamanlanabilir olmalıdır (örneğin saatlik, günlük)._x000D_
 ** Zamanlamalar sistem admini tarafından kullanıcı bazlı belirlenebilmelidir._x000D_
 ** Zamanlama süresi kullanıcı ilk oluşturulduğu zaman default olarak gelmelidir._x000D_
 * Veri aktarımı işlemi sırasında aktarılan kayıtların durumu (başarılı/başarısız) loglanmalı ve hata alınan durumlar için sistem yöneticisine bildirim gönderilmelidir._x000D_
 * Aktarılan tüm veriler sistem arayüzünde listelenebilir olmalıdır._x000D_
 ** Her belge kendi kategorisinde listelenmelidir._x000D_
 ** Saklama sistemine aktarılan e-Fatura verileri, kullanıcıya sadeleştirilmiş bir formatta gösterilmelidir._x000D_
 * Detaylı belge parametrelerine göre gelişmiş filtreleme yapılabilmelidir. ETTN, fatura numarası, fatura tipi gibi._x000D_
 * Listeleme ekranlarında yer alan belgeler, kullanıcılar tarafından indirilebilir olmalıdır._x000D_
 ** İndirilen belgeler orijinal formattaki dosyaları (XML, PDF) içermeli, bütünlük kontrolü yapılmış şekilde sunulmalıdır._x000D_
 ** İndirme işlemleri loglanmalı ve gerekli güvenlik kontrolleri yapılmalıdır._x000D_
 ** İndirme işlemi, yetkilendirme kontrolüne tabi olabilmelidir._x000D_
 * Saklama çözümü, sadece Türkkep ürünleriyle sınırlı kalmamalı, farklı e-Belge sağlayıcıları (Logo, Netsis vb.) ile entegrasyon kurabilmelidir._x000D_
 ** Entegrasyon süreçleri API tabanlı veya manuel dosya yükleme yöntemiyle sağlanabilir olmalıdır._x000D_
 ** Entegrasyon sayesinde Saklama modülüne aktarılmış fatura verilerinin boyut bilgileri (MB) e-Fatura portal arayüzünde gösterilebilir olmalıdır.</t>
  </si>
  <si>
    <t>0|i01cau:</t>
  </si>
  <si>
    <t>e-Fatura Entegrasyon Modülü</t>
  </si>
  <si>
    <t>DAVS-9</t>
  </si>
  <si>
    <t>0|i01cae:</t>
  </si>
  <si>
    <t>Dashboard Ekranı</t>
  </si>
  <si>
    <t>* Kullanıcı sisteme ilk kez giriş yaptığında, sistemin temel işlevlerini tanıtan bir sihirbaz (kılavuz) fonksiyonu devreye girmelidir._x000D_
 * Kullanıcı, entegrasyonlarla gelen klasörler ve kendi oluşturduğu klasörlere ana ekran üzerinden erişebilmelidir._x000D_
 * Klasörlere ait ad, değişiklik tarihi, boyut gibi bilgiler kullanıcıya sunulmalıdır._x000D_
 * Klasör ve içerikler, kullanıcıya liste veya grid (kutu) görünümü şeklinde sunulabilmelidir._x000D_
 * Kullanıcı, ana ekran üzerinden doküman oluşturma, klasör oluşturma, transfer işlemleri gerçekleştirebilmelidir._x000D_
 * Kullanıcıya, sahip olduğu ve kullandığı depolama alanı ile ilgili detaylı bilgi sunulmalıdır._x000D_
 * Kullanıcıya gelişmiş filtreleme işlevi sunulmalı. Belge tipi, değişiklik tarihi, doküman sahibi, klasör adı, etiket bilgisi gibi parametrelere göre filtreleme yapabilmelidir._x000D_
 * Kullanıcı, doküman içeriklerinde tam metin arama fonksiyonu ile arama yapabilmelidir._x000D_
 * Ana kullanıcı, sistemde tanımlı bazı iş akışlarına ait geçmiş aktiviteleri görebilmelidir._x000D_
 * Kullanıcı, ana ekran üzerinden anımsatıcı fonksiyonuna erişim sağlayabilmelidir.</t>
  </si>
  <si>
    <t>ghx-label-7</t>
  </si>
  <si>
    <t>0|i01c9y:</t>
  </si>
  <si>
    <t>Halkbank projesi için olan productlist metodunda ürün tanımları için CRM üzerindeki ürünlerin tanım alanında, bir üründe bireysel diğer üründe kurumsal tanımı bulunmaktadır._x000D_
_x000D_
Bu tanımların ürünler modülünde yer alan "hesap tipi" alanından yapılması için düzenleme yapılması gerekmektedir.</t>
  </si>
  <si>
    <t>Test ortamda yapılan kontroller başarılı. CRM üzerinden ürüne ait Hesap Tipi alanı Kurumsal ya da Bireysel olarak güncellenebiliyor. Güncellenen bu bilgi productlist metoduna doğru olarak yansıyor. Productlist metodunda hesap_tipi parametresine denk geliyor.;26/Feb/26 12:41 PM;gurkan.guney;900</t>
  </si>
  <si>
    <t>0|i00u53:yfwhzscl40000900406</t>
  </si>
  <si>
    <t>CRM Sprint 2026/9-10</t>
  </si>
  <si>
    <t>25/Feb/26 2:21 PM;ahmet.hekim;[~gurkan.guney]_x000D_
 hesap tipi ana ürünlerde parametre olarak eklendi, test atıldı._x000D_
_x000D_
productlist metodundan test edebilirsin.</t>
  </si>
  <si>
    <t>05/Mar/26 10:21 AM;kemal.gur;Halkbank projesinde paketlere yapılan tanımların (bireysel,kurumsal) kaldırılmasına karar verilmiştir.</t>
  </si>
  <si>
    <t>Figensoft - Potansiyel Müşteri Akışı</t>
  </si>
  <si>
    <t>CRM-820</t>
  </si>
  <si>
    <t>Figensoft iş ortaklığı için hazırlanan başvuru linkinin CRM sisteminde potansiyel müşteri akışına bağlanması gerekmektedir._x000D_
_x000D_
Başvuru linkinden gelen bilgiler ile otomatik olarak potansiyel müşteri kaydı oluşmalıdır._x000D_
_x000D_
[https://turkkep.com.tr/on-basvuru/postaguvercini-turkkep-e-imza-basvuru/]</t>
  </si>
  <si>
    <t>0|i00u53:yfwhzscl40000900404</t>
  </si>
  <si>
    <t>25/Feb/26 10:26 AM;kemal.gur;Madde Cemal Bey tarafından karşılanmıştır.</t>
  </si>
  <si>
    <t>CRM-819</t>
  </si>
  <si>
    <t>0|i01fa4:</t>
  </si>
  <si>
    <t>CRM-818</t>
  </si>
  <si>
    <t>0|i01f9w:</t>
  </si>
  <si>
    <t>E-Fatura tarafı için firma aktivasyon etiketleri CRM tarafından üretilmektedir. Mevcutta var olan bir firmanın altına açılan şubenin aktivasyon etiketleri farklı olarak açılmalıdır._x000D_
_x000D_
Mevcutta aynı VKN altında açılan yeni şube için aktivasyon etiketi aynı olarak açılmaktadır. Aynı aktivasyon etiketi de hataya yol açmaktadır. Bu nedenle aynı VKN altına bir şube açılırken farklı aktivasyon etiketi ile açılmalıdır. Mevcut aktivasyon etiketinin sonuna numeric olarak ekleme yapılabilir._x000D_
_x000D_
Farklı VKN'ler ile aynı etiketler olabilir, aynı VKN ile aynı etiketler olamaz.</t>
  </si>
  <si>
    <t>İlgili geliştirme yapıldı;04/Mar/26 11:06 AM;baris.tunc;7200</t>
  </si>
  <si>
    <t>0|i01fae:</t>
  </si>
  <si>
    <t>Halkbank projesi için statü servisinde gönderilen statü kodlarında 12 (Türkkep Onayı Bekleniyor) ve 13 (KEP Hesabı Açıldı) statüleri arasında, mevcutta statü 12 olarak tetiklendikten sonra 13 ile tetiklenip hesap açılışı gerçekleşiyordu._x000D_
_x000D_
Halkbank tarafından istenen ise 12 olarak tetiklendikten sonra, halkbank tarafından "success" olarak dönüş sonrasında 13 olarak tetiklenip hesap açılışının gerçekleşmesidir._x000D_
_x000D_
Halkbank tarafı response de success olarak dönüş yapacak, gelen requeste karşılık responseyi bekleyip tahsilat sonrası success olarak response gönderecekler fakat bizim ilettiğimiz request timeout, error veya farklı bir hataya düşebilir. Bunun için dönüş gelmeyen request için 2. veya 3. bir tetikleme belirli aralıklarla olmalıdır._x000D_
_x000D_
Not: 12 gönderildiği zaman Halkbank tarafına, Halkbank tarafından da success geldiğinde CRM tarafında kayıtlar oluşacaktır. Yani mevcutta 12 statüsünde CRM de kayıtlar oluşurken Halkbank tarafından success geldiği zaman kayıtlar oluşacaktır.</t>
  </si>
  <si>
    <t>Test ortamda yapılan kontroller başarılı. Statüler 10, 11, 12 olarak otomatik ilerliyor. Bu aşamada sipariş detayı CRM'e düşmüyor. Durum 'başarılı' olduktan sonra sipariş detayı CRM'e düşüyor ve Kep adresi açıldıktan sonra statü 13 oluyor._x000D_
_x000D_
Bireysel ve kurumsal için test edilmiştir.;05/Mar/26 4:17 PM;gurkan.guney;7200</t>
  </si>
  <si>
    <t>0|i00u53:yfwhzscl400009006</t>
  </si>
  <si>
    <t>03/Mar/26 4:18 PM;ahmet.hekim;kayıtlar edevlet onayı geldikten sonra , crmde açılmadan önce , halkbankdan 12 statusu başarılı bir şekilde gönderildiği zaman açılcak sekilde düzenlendi._x000D_
test ederken durum tablosunda bir kaydı başarılı yapıp test edebiliriz "Halkbank servisi basvuru id ordan gelmediği için hata veriyor, manuel başarılı yaparız"_x000D_
_x000D_
[~gurkan.guney]</t>
  </si>
  <si>
    <t>CRM Update 52</t>
  </si>
  <si>
    <t>Toplu açılış süreci için CRM sisteminden export edilen excel formata uygun doldurularak import edilmekte ve açılış için süreç ilerlemektedir. Fakat e-mail alanına ' , " gibi özel karakterlerin yazılmasıyla açılış sırasında ki kayıtlarda hataya neden olmaktadır._x000D_
_x000D_
Dolayısıyla e-mail ve GSM no alanlarına yazılan özel karakterler var ise hazırlanan excel CRM sistemine yüklenirken hata olarak kullanıcıya dönmelidir. </t>
  </si>
  <si>
    <t>normal süreçte email alanında validasyon vardır ._x000D_
filter_var($email, FILTER_VALIDATE_EMAIL)_x000D_
fakat tek tırnak veya çifit tırnaklı mail adresilerini geçirebiliyor, ek olarak regex deseni validasyonu eklendi.;26/Jan/26 3:33 PM;ahmet.hekim;7200</t>
  </si>
  <si>
    <t>Test ortamda yapılan kontroller başarılı.;03/Feb/26 4:40 PM;gurkan.guney;900</t>
  </si>
  <si>
    <t>26/Jan/26 3:30 PM;ahmet.hekim;excel_tema.xlsx;http://192.168.124.186:8080/secure/attachment/15860/excel_tema.xlsx</t>
  </si>
  <si>
    <t>0|i01eyn:</t>
  </si>
  <si>
    <t>26/Jan/26 3:30 PM;ahmet.hekim;[~gurkan.guney]_x000D_
_x000D_
[http://10.1.20.180/index.php?entryPoint=topluKEPIKAcilislari]_x000D_
_x000D_
örnek excel ektedir.</t>
  </si>
  <si>
    <t>0|i01f9t:</t>
  </si>
  <si>
    <t>0|i01f9s:i</t>
  </si>
  <si>
    <t>25/Feb/26 4:00 PM;kemal.gur;İlgili madde için "bundle" ürün yöntemi ile ilerlenecektir. Bu nedenle madde kapatılmıştır.</t>
  </si>
  <si>
    <t>0|i01f9s:</t>
  </si>
  <si>
    <t>0|i01f9t:i</t>
  </si>
  <si>
    <t>Müşteri, kişi ve sipariş detayı kaydı ekranlarında yer alan "Cep Telefonu" alanında 10 digit sınırlaması mevcuttur. Dolayısıyla bu alana numara başında 0 olmadan yazılmaktadır. Fakat bu durum 0 ile numara yazıldığında numaranın eksik yazılmasına neden olmaktadır._x000D_
_x000D_
Cep Telefonu alanında +90 lı gösterim eklenmelidir. Ek olarak ilk hane 0 olamaz şeklinde kural da eklenmelidir._x000D_
  _x000D_
  </t>
  </si>
  <si>
    <t>tamamlanmıştır;26/Jan/26 4:32 PM;ahmet.hekim;7200</t>
  </si>
  <si>
    <t>Dev ortamda yapılan kontroller başarılı.;28/Jan/26 12:24 PM;gurkan.guney;3600</t>
  </si>
  <si>
    <t>0|i01eyk:6</t>
  </si>
  <si>
    <t>26/Jan/26 4:31 PM;ahmet.hekim;kayıtta daha önceden girilmiş bir telefon numarası var ise, sayfa düzenleme açılışında uyarı mesajı çıkarılmaktadır._x000D_
_x000D_
telefon numarası değeri elemeden bırakılmıştır, düzenleyen kişinin o an elinde müşteri ile bilgisi olmaya bilir._x000D_
_x000D_
yeni kayıtlar için, sadece rakam girişine izin verilmiştir , +90 veya 0 ile başlayan karakter girişleri engellenmiştir. _x000D_
_x000D_
[~gurkan.guney]</t>
  </si>
  <si>
    <t>CRM entegrasyonu ile beraber operasyon tarafından teklife göre sözleşme süreleri uzatılarak müşterilerin işlemleri yapılabilmektedir. Sözleşme süresi uzatılacak müşterinin herhangi bir sebepten ötürü (soy ad değişikliği, yanlış ürün açma, ünvan değişikliği) iptal olan bir sözleşmesi var ise operasyon tarafından işlem sağlandığından aktif olan değil, iptal durumunda olan sözleşmenin süresi uzamaktadır. _x000D_
_x000D_
Dolayısıyla müşterinin iptal durumda olan sözleşmesi değil, "aktif" durumda olan sözleşmesi uzatılmalıdır.</t>
  </si>
  <si>
    <t>Servis incelenerek kodda düzenleme yapılmıştır.;25/Feb/26 9:32 AM;baris.tunc;14400</t>
  </si>
  <si>
    <t>Servisten dönen sözleşmeler kontrol edilerek aktif olan sözleşmenin güncellenmesi sağlanmıştır;25/Feb/26 9:33 AM;baris.tunc;7200</t>
  </si>
  <si>
    <t>0|i01fac:</t>
  </si>
  <si>
    <t>Müşteri kartı ve kişi kaydı ekranında, müşteri ve kişi kaydı oluşturulurken "e-posta adresi" zorunlu alandır._x000D_
_x000D_
Fakat kullanıcı e-posta adresi girmeden "-" butonuna basıldığında e-posta alanı kapanıyor ve kullanıcı e-posta adresi girmeden müşteri kaydını kaydedebilmektedir._x000D_
_x000D_
Müşteri ve kişi ekranında bulunan e-posta alanına en az 1 adet e-posta adresi girilmesi zorunlu olmalıdır, en az 1 adet e-posta adresi girmeden kayıt kaydedilememelidir.</t>
  </si>
  <si>
    <t>tamamlanmıştır;26/Jan/26 3:53 PM;ahmet.hekim;3600</t>
  </si>
  <si>
    <t>Dev ortamda yapılan kontroller başarılı.;28/Jan/26 3:09 PM;gurkan.guney;900</t>
  </si>
  <si>
    <t>0|i01eyk:4</t>
  </si>
  <si>
    <t>0|i01f9r:i</t>
  </si>
  <si>
    <t>Müşteri ekranında bulunan şirket temsili alanı "*müşterek-ortaklı*" ise sipariş detayı ekranında bulunan doküman onay tipi alanında sadece "e-imza ile onayla ve ıslak imza ile onayla" seçenekleri çıkmalıdır.</t>
  </si>
  <si>
    <t>tamamlandı;14/Jan/26 3:01 PM;ahmet.hekim;158400</t>
  </si>
  <si>
    <t>Müşterek firmalarda dokuman onay tipinde e-devlet seçeneği gelmemekte. Islak imza ve e-imza seçenekleri gelmektedir. Test ortamda yapılan kontroller başarılı.;21/Jan/26 4:08 PM;gurkan.guney;7200</t>
  </si>
  <si>
    <t>0|i01es3:</t>
  </si>
  <si>
    <t>CRM Sprint 2026/3-4</t>
  </si>
  <si>
    <t>14/Jan/26 3:02 PM;ahmet.hekim;münferid bilgisi kesin olarak gelmiyor ise ıslak imza ve e-imza alanları açıldı.</t>
  </si>
  <si>
    <t>KİDOS üzerinden açılan kayıtlar için hesap ilk açıldığında, kapatıldığında ve tekrar açılırsa (tekrar açılışta yeni kayıt olmalı) durum bilgisinin UKDS sistemine gönderilmesi gerekmektedir._x000D_
_x000D_
Ek olarak hesap aktif durumu 1 olduğunda UKDS sistemine gönderilmelidir.</t>
  </si>
  <si>
    <t>tamamlandı;14/Jan/26 2:55 PM;ahmet.hekim;32400</t>
  </si>
  <si>
    <t>;30/Jan/26 5:18 PM;gurkan.guney;14400</t>
  </si>
  <si>
    <t>;04/Feb/26 4:34 PM;gurkan.guney;10800</t>
  </si>
  <si>
    <t>0|i01f9r:</t>
  </si>
  <si>
    <t>14/Jan/26 2:47 PM;ahmet.hekim;UKDS  statusChange servisine bağlı yeni servis verilecek bekleniyor._x000D_
[~gurkan.guney]</t>
  </si>
  <si>
    <t>21/Jan/26 2:12 PM;ahmet.hekim;ukds changeRemAddressStatusCRM_x000D_
servisi bağlanmıştır , hesap kapat, hesap tekrar aktive et buttonlarına._x000D_
[~gurkan.guney]</t>
  </si>
  <si>
    <t>30/Jan/26 3:34 PM;gurkan.guney;remAddressStatus : Kep adresi durumları _x000D_
-ACTIVE (Aktif),_x000D_
-PASSIVE (Askıda/Aktivasyon Bekliyor),_x000D_
-INACTIVE(Hesap kapatıldı) enum değerleri kullanılacaktır._x000D_
_x000D_
- KEP İK bireysel hesapları ilk açıldığında ACTIVE (Aktif) olacak, kapatılıp tekrar açılırsa yine ACTIVE (Aktif) olacak, hesap kapatılırsa INACTIVE(Hesap kapatıldı) olacak._x000D_
- KEP İK olmayan bireysel hesaplar ilk açıldığında PASSIVE (Askıda/Aktivasyon Bekliyor) olacak, kapatılıp tekrar açılırsa yine PASSIVE (Askıda/Aktivasyon Bekliyor) olacak, kapatılırsa INACTIVE(Hesap kapatıldı) olacak._x000D_
- Tüm kurumsal hesaplar ilk açıldığında PASSIVE (Askıda/Aktivasyon Bekliyor) olacak, kapatılıp tekrar açılırsa yine PASSIVE (Askıda/Aktivasyon Bekliyor) olacak, kapatılırsa INACTIVE(Hesap kapatıldı) olacak.</t>
  </si>
  <si>
    <t>30/Jan/26 5:18 PM;gurkan.guney;Aktif bir hesabı kapatınca bu bilgiyi UKDS tarafına iletiyor. -ok_x000D_
_x000D_
Kapalı bir hesabı tekrar aktif edince bu bilgiyi UKDS tarafına iletiyor. Eğer bireysel bir KEP İK hesabı ise aktif olarak iletiyor, değil ise askıda/aktivasyon bekliyor olarak iletiyor.-ok_x000D_
_x000D_
Fakat sıfırdan bir KEP İK hesabı açılırsa bunu da askıda/aktivasyon bekliyor olarak açıyor ve UKDS ye aktif bilgisini iletmiyor. Sıfırdan açılan ik bireysel hesapları aktif olarak açılmalı ve aktif bilgisi UKDS'ye iletilmeli._x000D_
_x000D_
Bir diğer konu da bireysel ik hesabı haricindeki hesaplar askıda/aktivasyon bekliyor olarak açılıyor. Webmail'e girip hesap aktivasyonunu yapınca aktif bilgisini UKDS'ye iletmiyor._x000D_
_x000D_
[~kemal.gur] selam, bu iki konu için işleyişin nasıl olacağına dair UKDS tarafı ile bir planlama yapmak gerekecek sanırım. </t>
  </si>
  <si>
    <t>04/Feb/26 8:46 AM;kemal.gur;Mevcut canlı süreçte KEP İK hesapları sıfırdan açıldığında direk açılıyor. Bireysel KEP hesapları ise askıda/aktivasyon bekliyor olarak açılıyor._x000D_
_x000D_
KEP İK hesapları için ilk açılışta, bireysel KEP hesapları için ise aktivasyon tamamlanınca (hesap aktif durumu 1 olunca) UKDS sistemine bildirim yapılmalıdır._x000D_
_x000D_
Sıfırdan açılan bir KEP İK hesabının aktif olarak değil askıda olarak açılması test ortamda düzeltilmeli, bireysel ve kurumsal KEP hesapları ise aktivasyon tamamlanınca UKDS'ye bildirim gönderilmeli. [~ahmet.hekim]</t>
  </si>
  <si>
    <t>04/Feb/26 2:53 PM;ahmet.hekim;crmden oluşan siparişlerde hesapaktif alanı 1 olması gerekmektedir default 0 geliyor, değiştirilse aktif olarak açılcaktır._x000D_
[~kemal.gur]_x000D_
_x000D_
 </t>
  </si>
  <si>
    <t>04/Feb/26 3:04 PM;kemal.gur;Hesap aktif alanı 1 olduğu zaman UKDS'ye bildirim sağlayabiliriz. [~ahmet.hekim]</t>
  </si>
  <si>
    <t>04/Feb/26 4:34 PM;gurkan.guney;Bireysel KEP İK hesabı ilk açıldığında aktif olarak açılıyor. CRM'de hesap durum aktif görünüyor. Fakat UKDS tarafında bu bilgi güncellenmiyor. Askıda/aktivasyon bekliyor şeklinde kalıyor. Bir diğer konu ise; bireysel ik hesapları haricindeki diğer hesaplar (bireysel ve kurumsal) askıda olarak açılıyor. Kullanıcı Webmail'e girip aktivasyonunu yaptığında hesap durum aktif oluyor. Fakat bu güncel bilgi de UKDS tarafına şu an iletilmiyor. Kullanıcı Webmail'e girip aktif olduğunda da aktif olduğu bilgisinin UKDS tarafına iletilmesi isteniyor. Özetle UKDS ile açılan herhangi bir hesabın hesap durum statüsü her güncellendiğinde güncel bilginin UKDS tarafına iletilmesi isteniyor._x000D_
_x000D_
-ACTIVE (Aktif),_x000D_
-PASSIVE (Askıda/Aktivasyon Bekliyor),_x000D_
-INACTIVE(Hesap kapatıldı)</t>
  </si>
  <si>
    <t>06/Feb/26 1:56 PM;ahmet.hekim;Hesap aktif alanı 1 olduğu zaman UKDS'ye bildirim sağlayabiliriz._x000D_
_x000D_
hesap açılmadan önce zaten bu bilgi ile geliyor ,hesap açıldığında ukds bildirim servisi çalışıyor._x000D_
_x000D_
[~kemal.gur]</t>
  </si>
  <si>
    <t>06/Feb/26 1:58 PM;kemal.gur;Hesap aktif alanı 1 olduğu zaman UKDS tarafına bildirim sağlayalım.</t>
  </si>
  <si>
    <t>06/Feb/26 2:03 PM;ahmet.hekim;hesap açılmadan nasıl sağlayacağız ?_x000D_
_x000D_
süreç bu şekilde değildir</t>
  </si>
  <si>
    <t>06/Feb/26 3:58 PM;kemal.gur;UKDS tarafından istenen hesap açıldığı zaman bir bildirim, açılan hesabın hesap aktif durumu 1 olduğunda yine bir bildirim daha gönderilmesidir. (Ceren Hanım ile teyitleştik.)</t>
  </si>
  <si>
    <t>06/Feb/26 4:08 PM;ahmet.hekim;sanırım başka bişi ile karıştırıyorsun , ukds gitmeden kep hesabını açmadan önce zaten hesap aktif durumu değerini veriyoruz.._x000D_
_x000D_
ara servisden  sipariş olusturulurken  kepik siparişi ise , sipariş detayında hesap aktif durumu alanını 1 olarak işaretliyoruz._x000D_
_x000D_
crm de, kep hesabı olustur butonuna bastıktan sonra zaten ukds bildirim gidiyor.</t>
  </si>
  <si>
    <t>23/Feb/26 1:47 PM;ahmet.hekim;[~gurkan.guney]_x000D_
açılış tarafındaki joba eklenmiştir, _x000D_
_x000D_
kep_accounts tablosunda hesapaktif durumu '1' ise ukds servisine active bilgisi gönderilmiştir.</t>
  </si>
  <si>
    <t>0|i01f9q:i</t>
  </si>
  <si>
    <t>CRM Satış Raporunda;_x000D_
_x000D_
İlk fatura tarihi üzerinden 365 gün geçen kayıtlar için ilgi seviyesi "mevcut müşteri", 365 günden az olan kayıtlar için "yeni müşteri" olarak yazılmalıdır._x000D_
_x000D_
İlgi seviyesi "yeni müşteri" olan bir müşteri herhangi bir "yenileme" ürünü satın aldıysa, rapora "mevcut müşteri" olarak yazılmalıdır.</t>
  </si>
  <si>
    <t>0|i01f9u:i</t>
  </si>
  <si>
    <t>20/Feb/26 4:18 PM;ahmet.hekim;[~gurkan.guney]_x000D_
aşağıdaki koşula uyan bir kayıt var ise jobı çalıştırabilirsin._x000D_
_x000D_
_x000D_
_x000D_
müşteri : yeni_müşteri ise_x000D_
netsis fatura numarası boş değil ise_x000D_
netsis entegrasyon durumu : gönderildi ise_x000D_
fatura tarihi boş değil ise_x000D_
faturada ürün kaleminde ekli ürün tipi :yenileme ise _x000D_
_x000D_
bu şekilde filtre edilmiştir, eksik yada fazla var ise cıkartabiliriz _x000D_
[~kemal.gur]</t>
  </si>
  <si>
    <t>0|i01f9v:</t>
  </si>
  <si>
    <t>24/Feb/26 3:13 PM;ahmet.hekim;mevutta ana işlem yetkilisi için bir kural vardı, tüm kayıtlar özelinde bakılcak şekilde düzenlendi._x000D_
_x000D_
İşlem kaydı eklendikten sonra mevcutta işlem kaydı var ve edevlet onay aşamasında ise , sipariş detayına yönlendiriiliğ uyarı mesajı çıkarılmıştır._x000D_
_x000D_
[~gurkan.guney]</t>
  </si>
  <si>
    <t>0|i01f9q:</t>
  </si>
  <si>
    <t>Müşterinin birden fazla KEP adresi olması senaryosunda, müşteri KEP adreslerinin sözleşme bitiş süresinin eşitlenmesini isteyebilir._x000D_
_x000D_
Müşterinin Kurumsal KEP ve KEP IK ürünü olması durumunda, müşteri Kurumsal KEP sözleşmesi ile KEP IK sözleşmesinin eşitlenmesini isteyebilir._x000D_
_x000D_
 _x000D_
_x000D_
Dolayısıyla "eşitle" butonu koyulmalıdır. Eşitle butonu ile KEP adreslerinin sözleşme bitiş süresi eşitlenir. Aktif durumda olan ilk KEP hesabının bitiş süresine eşitlenmelidir._x000D_
_x000D_
Eşitle butonu ile sonradan alınan ürünlerin sözleşme bitiş tarihleri "*ilk alınan*" ürünün sözleşme bitiş tarihine eşitlenir._x000D_
_x000D_
Eşitle butonunun KEP Sipariş Detayı ekranında yer alacaktır. Buton satış ekibine açık olacaktır._x000D_
_x000D_
Kurumsal KEP ve Bireysel KEP hesaplarında opsiyonel eşitle butonu olmalıdır. </t>
  </si>
  <si>
    <t>Kurumsal Kep adresleri için testler başarılı. Bireysel hesaplar için de geliştirme talep ediliyor.;24/Feb/26 1:07 PM;gurkan.guney;10800</t>
  </si>
  <si>
    <t>0|i01f9p:o</t>
  </si>
  <si>
    <t>0|i01f9p:c</t>
  </si>
  <si>
    <t>04/Mar/26 11:20 AM;baris.tunc;Hizmet başlangıç tarihi uygulama tarihi olarak güncellenecek şekilde düzenlenmiştir.</t>
  </si>
  <si>
    <t>;23/Feb/26 10:37 AM;gurkan.guney;7200</t>
  </si>
  <si>
    <t>Test ortamda yapılan kontroller başarılı.;24/Feb/26 4:12 PM;gurkan.guney;7200</t>
  </si>
  <si>
    <t>0|i01f9v:i</t>
  </si>
  <si>
    <t>23/Feb/26 10:37 AM;gurkan.guney;Aşağıda 3 farklı başvuru yapıldı, aradan 24 saatten fazla süre geçti fakat dokumanlar modülüne bir şey yansımadı. Yapılan başvurular otomatik olarak önce mersis sorgusundan geçiyor. Mersis sorgusundan başarıyla geçmeyenlerin başvuru yapmalarına izin verilmiyor. _x000D_
_x000D_
Aşağıdaki müşteriye PROMOSYONKURUMSALKEP tipinde başvuru yapıldı. _x000D_
_x000D_
[http://10.1.20.180/index.php?module=Accounts&amp;offset=1&amp;stamp=1771318679052766300&amp;return_module=Accounts&amp;action=DetailView&amp;record=ca92ccc0-20b5-73ba-6d8f-69942c3b48ee]_x000D_
_x000D_
Sipariş detayı: [http://10.1.20.180/index.php?module=adv_OrderDetails&amp;action=DetailView&amp;record=d5fe0041-836a-c5a2-6bb8-69942eba79c1]_x000D_
_x000D_
 _x000D_
_x000D_
Aşağıdaki müşteriye IKENTEGRATORKURUMSAL tipinde başvuru yapıldı._x000D_
_x000D_
[http://10.1.20.180/index.php?module=Accounts&amp;offset=1&amp;stamp=1771326055053293900&amp;return_module=Accounts&amp;action=DetailView&amp;record=ec3607d0-acb4-2136-12d2-69944af2e28e]_x000D_
_x000D_
 _x000D_
_x000D_
Sipariş detayı: http://10.1.20.180/index.php?module=adv_OrderDetails&amp;action=DetailView&amp;record=b6cd9015-0480-bee3-2691-69944ce7cc79_x000D_
_x000D_
 </t>
  </si>
  <si>
    <t>23/Feb/26 1:44 PM;ahmet.hekim;selam [~gurkan.guney]_x000D_
_x000D_
dokuman yukleme servisi çalışmış fakat zaman damgası basılırken hata alınmış. Bunu kime sorabiliriz ?_x000D_
_x000D_
zaman damgası basılamadı :\{"data":"\{\"message\":\"Unknown Exception Occurred in Server\\nRequired request header 'api-access-token' for method parameter type String is not present\",\"code\":5000}","httpCode":500}</t>
  </si>
  <si>
    <t>0|i01f9p:</t>
  </si>
  <si>
    <t>0|i01f9o:o</t>
  </si>
  <si>
    <t>0|i01f9o:c</t>
  </si>
  <si>
    <t>Bilgi güvenliğine yönelik düzenlemeler nedeniyle Sprint maddeleri tamamlanamamıştır.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</si>
</sst>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charset val="162"/>
      <scheme val="minor"/>
    </font>
    <font>
      <sz val="11"/>
      <color theme="1"/>
      <name val="Aptos Narrow"/>
      <family val="2"/>
      <charset val="162"/>
      <scheme val="minor"/>
    </font>
    <font>
      <b/>
      <sz val="11"/>
      <color theme="0"/>
      <name val="Aptos Narrow"/>
      <family val="2"/>
      <charset val="162"/>
      <scheme val="minor"/>
    </font>
    <font>
      <b/>
      <sz val="11"/>
      <color theme="1"/>
      <name val="Aptos Narrow"/>
      <family val="2"/>
      <charset val="162"/>
      <scheme val="minor"/>
    </font>
    <font>
      <b/>
      <sz val="11"/>
      <color theme="0"/>
      <name val="Aptos Narrow"/>
      <family val="2"/>
      <scheme val="minor"/>
    </font>
    <font>
      <sz val="11"/>
      <color theme="1"/>
      <name val="Aptos Narrow"/>
      <family val="2"/>
      <scheme val="minor"/>
    </font>
    <font>
      <u/>
      <sz val="11"/>
      <color theme="10"/>
      <name val="Aptos Narrow"/>
      <family val="2"/>
      <scheme val="minor"/>
    </font>
    <font>
      <u/>
      <sz val="11"/>
      <color theme="1"/>
      <name val="Aptos Narrow"/>
      <family val="2"/>
      <scheme val="minor"/>
    </font>
    <font>
      <u/>
      <sz val="11"/>
      <color theme="10"/>
      <name val="Aptos Narrow"/>
      <family val="2"/>
      <charset val="162"/>
      <scheme val="minor"/>
    </font>
  </fonts>
  <fills count="9">
    <fill>
      <patternFill patternType="none"/>
    </fill>
    <fill>
      <patternFill patternType="gray125"/>
    </fill>
    <fill>
      <patternFill patternType="solid">
        <fgColor theme="3"/>
        <bgColor indexed="64"/>
      </patternFill>
    </fill>
    <fill>
      <patternFill patternType="solid">
        <fgColor theme="9"/>
        <bgColor indexed="64"/>
      </patternFill>
    </fill>
    <fill>
      <patternFill patternType="solid">
        <fgColor theme="4"/>
        <bgColor theme="4"/>
      </patternFill>
    </fill>
    <fill>
      <patternFill patternType="solid">
        <fgColor theme="9" tint="0.79998168889431442"/>
        <bgColor theme="9" tint="0.79998168889431442"/>
      </patternFill>
    </fill>
    <fill>
      <patternFill patternType="solid">
        <fgColor rgb="FFFECAF2"/>
        <bgColor theme="9" tint="0.79998168889431442"/>
      </patternFill>
    </fill>
    <fill>
      <patternFill patternType="solid">
        <fgColor theme="9"/>
        <bgColor theme="9"/>
      </patternFill>
    </fill>
    <fill>
      <patternFill patternType="solid">
        <fgColor rgb="FFFECAF2"/>
        <bgColor indexed="64"/>
      </patternFill>
    </fill>
  </fills>
  <borders count="9">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style="thin">
        <color theme="9" tint="0.39997558519241921"/>
      </left>
      <right/>
      <top/>
      <bottom/>
      <diagonal/>
    </border>
  </borders>
  <cellStyleXfs count="5">
    <xf numFmtId="0" fontId="0" fillId="0" borderId="0"/>
    <xf numFmtId="9" fontId="1" fillId="0" borderId="0" applyFont="0" applyFill="0" applyBorder="0" applyAlignment="0" applyProtection="0"/>
    <xf numFmtId="0" fontId="5" fillId="0" borderId="0"/>
    <xf numFmtId="0" fontId="6" fillId="0" borderId="0" applyNumberFormat="0" applyFill="0" applyBorder="0" applyAlignment="0" applyProtection="0"/>
    <xf numFmtId="0" fontId="8" fillId="0" borderId="0" applyNumberFormat="0" applyFill="0" applyBorder="0" applyAlignment="0" applyProtection="0"/>
  </cellStyleXfs>
  <cellXfs count="51">
    <xf numFmtId="0" fontId="0" fillId="0" borderId="0" xfId="0"/>
    <xf numFmtId="0" fontId="2" fillId="2" borderId="0" xfId="0" applyFont="1" applyFill="1"/>
    <xf numFmtId="0" fontId="2" fillId="2" borderId="0" xfId="0" applyFont="1" applyFill="1" applyAlignment="1">
      <alignment horizontal="center"/>
    </xf>
    <xf numFmtId="0" fontId="4" fillId="3" borderId="1" xfId="0" applyFont="1" applyFill="1" applyBorder="1"/>
    <xf numFmtId="0" fontId="4" fillId="3" borderId="2" xfId="0" applyFont="1" applyFill="1" applyBorder="1" applyAlignment="1">
      <alignment horizontal="center"/>
    </xf>
    <xf numFmtId="0" fontId="0" fillId="0" borderId="0" xfId="0" applyAlignment="1">
      <alignment horizontal="center"/>
    </xf>
    <xf numFmtId="0" fontId="4" fillId="4" borderId="0" xfId="0" applyFont="1" applyFill="1" applyAlignment="1">
      <alignment horizontal="center"/>
    </xf>
    <xf numFmtId="0" fontId="0" fillId="0" borderId="0" xfId="0" applyAlignment="1">
      <alignment horizontal="left"/>
    </xf>
    <xf numFmtId="9" fontId="0" fillId="0" borderId="0" xfId="1" applyFont="1" applyAlignment="1">
      <alignment horizontal="center"/>
    </xf>
    <xf numFmtId="9" fontId="0" fillId="0" borderId="0" xfId="1" applyFont="1"/>
    <xf numFmtId="0" fontId="0" fillId="0" borderId="0" xfId="0" pivotButton="1"/>
    <xf numFmtId="0" fontId="3" fillId="0" borderId="0" xfId="0" applyFont="1"/>
    <xf numFmtId="0" fontId="4" fillId="4" borderId="3" xfId="0" applyFont="1" applyFill="1" applyBorder="1" applyAlignment="1">
      <alignment vertical="center"/>
    </xf>
    <xf numFmtId="0" fontId="4" fillId="4" borderId="3" xfId="0" applyFont="1" applyFill="1" applyBorder="1" applyAlignment="1">
      <alignment horizontal="center" vertical="center" wrapText="1"/>
    </xf>
    <xf numFmtId="0" fontId="0" fillId="0" borderId="3" xfId="0" applyBorder="1" applyAlignment="1">
      <alignment horizontal="left"/>
    </xf>
    <xf numFmtId="0" fontId="0" fillId="0" borderId="3" xfId="0" applyBorder="1" applyAlignment="1">
      <alignment horizontal="center"/>
    </xf>
    <xf numFmtId="9" fontId="0" fillId="0" borderId="3" xfId="1" applyFont="1" applyBorder="1" applyAlignment="1">
      <alignment horizontal="center"/>
    </xf>
    <xf numFmtId="0" fontId="3" fillId="0" borderId="0" xfId="0" applyFont="1" applyAlignment="1">
      <alignment horizontal="left"/>
    </xf>
    <xf numFmtId="0" fontId="3" fillId="0" borderId="0" xfId="0" applyFont="1" applyAlignment="1">
      <alignment horizontal="center"/>
    </xf>
    <xf numFmtId="9" fontId="3" fillId="0" borderId="3" xfId="1" applyFont="1" applyBorder="1" applyAlignment="1">
      <alignment horizontal="center"/>
    </xf>
    <xf numFmtId="0" fontId="0" fillId="0" borderId="3" xfId="0" applyBorder="1"/>
    <xf numFmtId="0" fontId="0" fillId="0" borderId="3" xfId="0" applyBorder="1" applyAlignment="1">
      <alignment horizontal="center" vertical="center"/>
    </xf>
    <xf numFmtId="0" fontId="0" fillId="0" borderId="3" xfId="0" applyBorder="1" applyAlignment="1">
      <alignment horizontal="left" vertical="center"/>
    </xf>
    <xf numFmtId="0" fontId="5" fillId="0" borderId="7" xfId="2" applyBorder="1"/>
    <xf numFmtId="0" fontId="5" fillId="0" borderId="1" xfId="2" applyBorder="1"/>
    <xf numFmtId="0" fontId="5" fillId="5" borderId="1" xfId="2" applyFill="1" applyBorder="1"/>
    <xf numFmtId="0" fontId="5" fillId="5" borderId="7" xfId="2" applyFill="1" applyBorder="1"/>
    <xf numFmtId="0" fontId="2" fillId="7" borderId="7" xfId="0" applyFont="1" applyFill="1" applyBorder="1"/>
    <xf numFmtId="0" fontId="2" fillId="7" borderId="1" xfId="0" applyFont="1" applyFill="1" applyBorder="1"/>
    <xf numFmtId="0" fontId="0" fillId="5" borderId="1" xfId="0" applyFill="1" applyBorder="1"/>
    <xf numFmtId="0" fontId="0" fillId="0" borderId="1" xfId="0" applyBorder="1"/>
    <xf numFmtId="0" fontId="0" fillId="6" borderId="7" xfId="0" applyFill="1" applyBorder="1"/>
    <xf numFmtId="0" fontId="0" fillId="6" borderId="1" xfId="0" applyFill="1" applyBorder="1"/>
    <xf numFmtId="0" fontId="7" fillId="0" borderId="1" xfId="2" applyFont="1" applyBorder="1"/>
    <xf numFmtId="0" fontId="5" fillId="6" borderId="2" xfId="2" applyFill="1" applyBorder="1"/>
    <xf numFmtId="0" fontId="0" fillId="8" borderId="0" xfId="0" applyFill="1"/>
    <xf numFmtId="0" fontId="0" fillId="0" borderId="7" xfId="0" applyBorder="1"/>
    <xf numFmtId="0" fontId="7" fillId="0" borderId="1" xfId="0" applyFont="1" applyBorder="1"/>
    <xf numFmtId="0" fontId="0" fillId="6" borderId="2" xfId="0" applyFill="1" applyBorder="1"/>
    <xf numFmtId="0" fontId="0" fillId="5" borderId="7" xfId="0" applyFill="1" applyBorder="1"/>
    <xf numFmtId="0" fontId="0" fillId="0" borderId="8" xfId="0" applyBorder="1"/>
    <xf numFmtId="0" fontId="8" fillId="0" borderId="0" xfId="4"/>
    <xf numFmtId="0" fontId="0" fillId="5" borderId="2" xfId="0" applyFill="1" applyBorder="1"/>
    <xf numFmtId="0" fontId="0" fillId="0" borderId="2" xfId="0" applyBorder="1"/>
    <xf numFmtId="0" fontId="2" fillId="7" borderId="2" xfId="0" applyFont="1" applyFill="1" applyBorder="1"/>
    <xf numFmtId="22" fontId="0" fillId="5" borderId="1" xfId="0" applyNumberFormat="1" applyFill="1" applyBorder="1"/>
    <xf numFmtId="22" fontId="0" fillId="0" borderId="1" xfId="0" applyNumberFormat="1" applyBorder="1"/>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0" fillId="0" borderId="0" xfId="0" applyAlignment="1">
      <alignment horizontal="center"/>
    </xf>
  </cellXfs>
  <cellStyles count="5">
    <cellStyle name="Köprü" xfId="4" builtinId="8"/>
    <cellStyle name="Köprü 2" xfId="3" xr:uid="{226386E7-6505-4B2B-B3A3-1BB5B7357AD1}"/>
    <cellStyle name="Normal" xfId="0" builtinId="0"/>
    <cellStyle name="Normal 2" xfId="2" xr:uid="{55D9BDFB-7DEE-4ACB-86E3-EE95AD1CE67B}"/>
    <cellStyle name="Yüzde" xfId="1" builtinId="5"/>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hyperlink" Target="http://192.168.124.186:8080/browse/EFT-2119" TargetMode="External"/><Relationship Id="rId13" Type="http://schemas.openxmlformats.org/officeDocument/2006/relationships/hyperlink" Target="http://192.168.124.186:8080/browse/EFT-2143" TargetMode="External"/><Relationship Id="rId3" Type="http://schemas.openxmlformats.org/officeDocument/2006/relationships/hyperlink" Target="http://192.168.124.186:8080/browse/EFT-2129" TargetMode="External"/><Relationship Id="rId7" Type="http://schemas.openxmlformats.org/officeDocument/2006/relationships/hyperlink" Target="http://192.168.124.186:8080/browse/EFT-2120" TargetMode="External"/><Relationship Id="rId12" Type="http://schemas.openxmlformats.org/officeDocument/2006/relationships/hyperlink" Target="http://192.168.124.186:8080/browse/EFT-2142" TargetMode="External"/><Relationship Id="rId2" Type="http://schemas.openxmlformats.org/officeDocument/2006/relationships/hyperlink" Target="http://192.168.124.186:8080/browse/EFT-2136" TargetMode="External"/><Relationship Id="rId1" Type="http://schemas.openxmlformats.org/officeDocument/2006/relationships/hyperlink" Target="http://192.168.124.186:8080/browse/EFT-2138" TargetMode="External"/><Relationship Id="rId6" Type="http://schemas.openxmlformats.org/officeDocument/2006/relationships/hyperlink" Target="http://192.168.124.186:8080/browse/EFT-2116" TargetMode="External"/><Relationship Id="rId11" Type="http://schemas.openxmlformats.org/officeDocument/2006/relationships/hyperlink" Target="http://192.168.124.186:8080/browse/EFT-2140" TargetMode="External"/><Relationship Id="rId5" Type="http://schemas.openxmlformats.org/officeDocument/2006/relationships/hyperlink" Target="http://192.168.124.186:8080/browse/EFT-2117" TargetMode="External"/><Relationship Id="rId15" Type="http://schemas.openxmlformats.org/officeDocument/2006/relationships/hyperlink" Target="http://192.168.124.186:8080/browse/EFT-2043" TargetMode="External"/><Relationship Id="rId10" Type="http://schemas.openxmlformats.org/officeDocument/2006/relationships/hyperlink" Target="http://192.168.124.186:8080/browse/EFT-2130" TargetMode="External"/><Relationship Id="rId4" Type="http://schemas.openxmlformats.org/officeDocument/2006/relationships/hyperlink" Target="http://192.168.124.186:8080/browse/EFT-2118" TargetMode="External"/><Relationship Id="rId9" Type="http://schemas.openxmlformats.org/officeDocument/2006/relationships/hyperlink" Target="http://192.168.124.186:8080/browse/EFT-2131" TargetMode="External"/><Relationship Id="rId14" Type="http://schemas.openxmlformats.org/officeDocument/2006/relationships/hyperlink" Target="http://192.168.124.186:8080/browse/EFT-2137"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http://192.168.124.186:8080/browse/EFT-2142" TargetMode="External"/><Relationship Id="rId13" Type="http://schemas.openxmlformats.org/officeDocument/2006/relationships/hyperlink" Target="http://192.168.124.186:8080/browse/EFT-2119" TargetMode="External"/><Relationship Id="rId3" Type="http://schemas.openxmlformats.org/officeDocument/2006/relationships/hyperlink" Target="http://192.168.124.186:8080/browse/EFT-2129" TargetMode="External"/><Relationship Id="rId7" Type="http://schemas.openxmlformats.org/officeDocument/2006/relationships/hyperlink" Target="http://192.168.124.186:8080/browse/EFT-2143" TargetMode="External"/><Relationship Id="rId12" Type="http://schemas.openxmlformats.org/officeDocument/2006/relationships/hyperlink" Target="http://192.168.124.186:8080/browse/EFT-2120" TargetMode="External"/><Relationship Id="rId2" Type="http://schemas.openxmlformats.org/officeDocument/2006/relationships/hyperlink" Target="http://192.168.124.186:8080/browse/EFT-2136" TargetMode="External"/><Relationship Id="rId1" Type="http://schemas.openxmlformats.org/officeDocument/2006/relationships/hyperlink" Target="http://192.168.124.186:8080/browse/EFT-2138" TargetMode="External"/><Relationship Id="rId6" Type="http://schemas.openxmlformats.org/officeDocument/2006/relationships/hyperlink" Target="http://192.168.124.186:8080/browse/EFT-2116" TargetMode="External"/><Relationship Id="rId11" Type="http://schemas.openxmlformats.org/officeDocument/2006/relationships/hyperlink" Target="http://192.168.124.186:8080/browse/EFT-2043" TargetMode="External"/><Relationship Id="rId5" Type="http://schemas.openxmlformats.org/officeDocument/2006/relationships/hyperlink" Target="http://192.168.124.186:8080/browse/EFT-2117" TargetMode="External"/><Relationship Id="rId15" Type="http://schemas.openxmlformats.org/officeDocument/2006/relationships/hyperlink" Target="http://192.168.124.186:8080/browse/EFT-2130" TargetMode="External"/><Relationship Id="rId10" Type="http://schemas.openxmlformats.org/officeDocument/2006/relationships/hyperlink" Target="http://192.168.124.186:8080/browse/EFT-2137" TargetMode="External"/><Relationship Id="rId4" Type="http://schemas.openxmlformats.org/officeDocument/2006/relationships/hyperlink" Target="http://192.168.124.186:8080/browse/EFT-2118" TargetMode="External"/><Relationship Id="rId9" Type="http://schemas.openxmlformats.org/officeDocument/2006/relationships/hyperlink" Target="http://192.168.124.186:8080/browse/EFT-2140" TargetMode="External"/><Relationship Id="rId14" Type="http://schemas.openxmlformats.org/officeDocument/2006/relationships/hyperlink" Target="http://192.168.124.186:8080/browse/EFT-2131" TargetMode="External"/></Relationships>
</file>

<file path=xl/drawings/_rels/drawing3.xml.rels><?xml version="1.0" encoding="UTF-8" standalone="yes"?>
<Relationships xmlns="http://schemas.openxmlformats.org/package/2006/relationships"><Relationship Id="rId8" Type="http://schemas.openxmlformats.org/officeDocument/2006/relationships/hyperlink" Target="http://192.168.124.186:8080/browse/EFT-2142" TargetMode="External"/><Relationship Id="rId13" Type="http://schemas.openxmlformats.org/officeDocument/2006/relationships/hyperlink" Target="http://192.168.124.186:8080/browse/EFT-2119" TargetMode="External"/><Relationship Id="rId3" Type="http://schemas.openxmlformats.org/officeDocument/2006/relationships/hyperlink" Target="http://192.168.124.186:8080/browse/EFT-2129" TargetMode="External"/><Relationship Id="rId7" Type="http://schemas.openxmlformats.org/officeDocument/2006/relationships/hyperlink" Target="http://192.168.124.186:8080/browse/EFT-2143" TargetMode="External"/><Relationship Id="rId12" Type="http://schemas.openxmlformats.org/officeDocument/2006/relationships/hyperlink" Target="http://192.168.124.186:8080/browse/EFT-2120" TargetMode="External"/><Relationship Id="rId2" Type="http://schemas.openxmlformats.org/officeDocument/2006/relationships/hyperlink" Target="http://192.168.124.186:8080/browse/EFT-2136" TargetMode="External"/><Relationship Id="rId1" Type="http://schemas.openxmlformats.org/officeDocument/2006/relationships/hyperlink" Target="http://192.168.124.186:8080/browse/EFT-2138" TargetMode="External"/><Relationship Id="rId6" Type="http://schemas.openxmlformats.org/officeDocument/2006/relationships/hyperlink" Target="http://192.168.124.186:8080/browse/EFT-2116" TargetMode="External"/><Relationship Id="rId11" Type="http://schemas.openxmlformats.org/officeDocument/2006/relationships/hyperlink" Target="http://192.168.124.186:8080/browse/EFT-2043" TargetMode="External"/><Relationship Id="rId5" Type="http://schemas.openxmlformats.org/officeDocument/2006/relationships/hyperlink" Target="http://192.168.124.186:8080/browse/EFT-2117" TargetMode="External"/><Relationship Id="rId15" Type="http://schemas.openxmlformats.org/officeDocument/2006/relationships/hyperlink" Target="http://192.168.124.186:8080/browse/EFT-2130" TargetMode="External"/><Relationship Id="rId10" Type="http://schemas.openxmlformats.org/officeDocument/2006/relationships/hyperlink" Target="http://192.168.124.186:8080/browse/EFT-2137" TargetMode="External"/><Relationship Id="rId4" Type="http://schemas.openxmlformats.org/officeDocument/2006/relationships/hyperlink" Target="http://192.168.124.186:8080/browse/EFT-2118" TargetMode="External"/><Relationship Id="rId9" Type="http://schemas.openxmlformats.org/officeDocument/2006/relationships/hyperlink" Target="http://192.168.124.186:8080/browse/EFT-2140" TargetMode="External"/><Relationship Id="rId14" Type="http://schemas.openxmlformats.org/officeDocument/2006/relationships/hyperlink" Target="http://192.168.124.186:8080/browse/EFT-2131"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279</xdr:row>
      <xdr:rowOff>0</xdr:rowOff>
    </xdr:from>
    <xdr:to>
      <xdr:col>1</xdr:col>
      <xdr:colOff>152400</xdr:colOff>
      <xdr:row>279</xdr:row>
      <xdr:rowOff>152400</xdr:rowOff>
    </xdr:to>
    <xdr:sp macro="" textlink="">
      <xdr:nvSpPr>
        <xdr:cNvPr id="2" name="AutoShape 4" descr="Bug">
          <a:hlinkClick xmlns:r="http://schemas.openxmlformats.org/officeDocument/2006/relationships" r:id="rId1"/>
          <a:extLst>
            <a:ext uri="{FF2B5EF4-FFF2-40B4-BE49-F238E27FC236}">
              <a16:creationId xmlns:a16="http://schemas.microsoft.com/office/drawing/2014/main" id="{01FE11B8-A345-4F5E-A9EB-815A98A674EF}"/>
            </a:ext>
          </a:extLst>
        </xdr:cNvPr>
        <xdr:cNvSpPr>
          <a:spLocks noChangeAspect="1" noChangeArrowheads="1"/>
        </xdr:cNvSpPr>
      </xdr:nvSpPr>
      <xdr:spPr bwMode="auto">
        <a:xfrm>
          <a:off x="1912620" y="51023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280</xdr:row>
      <xdr:rowOff>0</xdr:rowOff>
    </xdr:from>
    <xdr:to>
      <xdr:col>1</xdr:col>
      <xdr:colOff>152400</xdr:colOff>
      <xdr:row>280</xdr:row>
      <xdr:rowOff>152400</xdr:rowOff>
    </xdr:to>
    <xdr:sp macro="" textlink="">
      <xdr:nvSpPr>
        <xdr:cNvPr id="3" name="AutoShape 6" descr="Bug">
          <a:hlinkClick xmlns:r="http://schemas.openxmlformats.org/officeDocument/2006/relationships" r:id="rId2"/>
          <a:extLst>
            <a:ext uri="{FF2B5EF4-FFF2-40B4-BE49-F238E27FC236}">
              <a16:creationId xmlns:a16="http://schemas.microsoft.com/office/drawing/2014/main" id="{ACD80040-E61D-45EC-A459-7BF7A48A9D27}"/>
            </a:ext>
          </a:extLst>
        </xdr:cNvPr>
        <xdr:cNvSpPr>
          <a:spLocks noChangeAspect="1" noChangeArrowheads="1"/>
        </xdr:cNvSpPr>
      </xdr:nvSpPr>
      <xdr:spPr bwMode="auto">
        <a:xfrm>
          <a:off x="1912620" y="51206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281</xdr:row>
      <xdr:rowOff>0</xdr:rowOff>
    </xdr:from>
    <xdr:to>
      <xdr:col>1</xdr:col>
      <xdr:colOff>152400</xdr:colOff>
      <xdr:row>281</xdr:row>
      <xdr:rowOff>152400</xdr:rowOff>
    </xdr:to>
    <xdr:sp macro="" textlink="">
      <xdr:nvSpPr>
        <xdr:cNvPr id="4" name="AutoShape 7" descr="Story">
          <a:hlinkClick xmlns:r="http://schemas.openxmlformats.org/officeDocument/2006/relationships" r:id="rId3"/>
          <a:extLst>
            <a:ext uri="{FF2B5EF4-FFF2-40B4-BE49-F238E27FC236}">
              <a16:creationId xmlns:a16="http://schemas.microsoft.com/office/drawing/2014/main" id="{08CA83E0-AF2A-4257-8849-FA071787CDBD}"/>
            </a:ext>
          </a:extLst>
        </xdr:cNvPr>
        <xdr:cNvSpPr>
          <a:spLocks noChangeAspect="1" noChangeArrowheads="1"/>
        </xdr:cNvSpPr>
      </xdr:nvSpPr>
      <xdr:spPr bwMode="auto">
        <a:xfrm>
          <a:off x="1912620" y="51389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282</xdr:row>
      <xdr:rowOff>0</xdr:rowOff>
    </xdr:from>
    <xdr:to>
      <xdr:col>1</xdr:col>
      <xdr:colOff>152400</xdr:colOff>
      <xdr:row>282</xdr:row>
      <xdr:rowOff>152400</xdr:rowOff>
    </xdr:to>
    <xdr:sp macro="" textlink="">
      <xdr:nvSpPr>
        <xdr:cNvPr id="5" name="AutoShape 8" descr="Story">
          <a:hlinkClick xmlns:r="http://schemas.openxmlformats.org/officeDocument/2006/relationships" r:id="rId4"/>
          <a:extLst>
            <a:ext uri="{FF2B5EF4-FFF2-40B4-BE49-F238E27FC236}">
              <a16:creationId xmlns:a16="http://schemas.microsoft.com/office/drawing/2014/main" id="{3CFB44FA-D8F4-42F0-95ED-8B09D5014F17}"/>
            </a:ext>
          </a:extLst>
        </xdr:cNvPr>
        <xdr:cNvSpPr>
          <a:spLocks noChangeAspect="1" noChangeArrowheads="1"/>
        </xdr:cNvSpPr>
      </xdr:nvSpPr>
      <xdr:spPr bwMode="auto">
        <a:xfrm>
          <a:off x="1912620" y="51572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xdr:row>
      <xdr:rowOff>0</xdr:rowOff>
    </xdr:from>
    <xdr:to>
      <xdr:col>1</xdr:col>
      <xdr:colOff>152400</xdr:colOff>
      <xdr:row>283</xdr:row>
      <xdr:rowOff>152400</xdr:rowOff>
    </xdr:to>
    <xdr:sp macro="" textlink="">
      <xdr:nvSpPr>
        <xdr:cNvPr id="6" name="AutoShape 9" descr="Story">
          <a:hlinkClick xmlns:r="http://schemas.openxmlformats.org/officeDocument/2006/relationships" r:id="rId5"/>
          <a:extLst>
            <a:ext uri="{FF2B5EF4-FFF2-40B4-BE49-F238E27FC236}">
              <a16:creationId xmlns:a16="http://schemas.microsoft.com/office/drawing/2014/main" id="{ACF0CCEF-3972-4C92-9480-6A0FD04BA032}"/>
            </a:ext>
          </a:extLst>
        </xdr:cNvPr>
        <xdr:cNvSpPr>
          <a:spLocks noChangeAspect="1" noChangeArrowheads="1"/>
        </xdr:cNvSpPr>
      </xdr:nvSpPr>
      <xdr:spPr bwMode="auto">
        <a:xfrm>
          <a:off x="1912620" y="51755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xdr:row>
      <xdr:rowOff>0</xdr:rowOff>
    </xdr:from>
    <xdr:to>
      <xdr:col>1</xdr:col>
      <xdr:colOff>152400</xdr:colOff>
      <xdr:row>284</xdr:row>
      <xdr:rowOff>152400</xdr:rowOff>
    </xdr:to>
    <xdr:sp macro="" textlink="">
      <xdr:nvSpPr>
        <xdr:cNvPr id="7" name="AutoShape 10" descr="Story">
          <a:hlinkClick xmlns:r="http://schemas.openxmlformats.org/officeDocument/2006/relationships" r:id="rId6"/>
          <a:extLst>
            <a:ext uri="{FF2B5EF4-FFF2-40B4-BE49-F238E27FC236}">
              <a16:creationId xmlns:a16="http://schemas.microsoft.com/office/drawing/2014/main" id="{07B3B86D-FD3D-4858-9C28-FC9757F527E4}"/>
            </a:ext>
          </a:extLst>
        </xdr:cNvPr>
        <xdr:cNvSpPr>
          <a:spLocks noChangeAspect="1" noChangeArrowheads="1"/>
        </xdr:cNvSpPr>
      </xdr:nvSpPr>
      <xdr:spPr bwMode="auto">
        <a:xfrm>
          <a:off x="1912620" y="51937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283</xdr:row>
      <xdr:rowOff>0</xdr:rowOff>
    </xdr:from>
    <xdr:to>
      <xdr:col>1</xdr:col>
      <xdr:colOff>152400</xdr:colOff>
      <xdr:row>283</xdr:row>
      <xdr:rowOff>152400</xdr:rowOff>
    </xdr:to>
    <xdr:sp macro="" textlink="">
      <xdr:nvSpPr>
        <xdr:cNvPr id="8" name="AutoShape 13" descr="Story">
          <a:hlinkClick xmlns:r="http://schemas.openxmlformats.org/officeDocument/2006/relationships" r:id="rId4"/>
          <a:extLst>
            <a:ext uri="{FF2B5EF4-FFF2-40B4-BE49-F238E27FC236}">
              <a16:creationId xmlns:a16="http://schemas.microsoft.com/office/drawing/2014/main" id="{9287F44F-B023-4138-977B-8ABE0076E431}"/>
            </a:ext>
          </a:extLst>
        </xdr:cNvPr>
        <xdr:cNvSpPr>
          <a:spLocks noChangeAspect="1" noChangeArrowheads="1"/>
        </xdr:cNvSpPr>
      </xdr:nvSpPr>
      <xdr:spPr bwMode="auto">
        <a:xfrm>
          <a:off x="1912620" y="51755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284</xdr:row>
      <xdr:rowOff>0</xdr:rowOff>
    </xdr:from>
    <xdr:to>
      <xdr:col>1</xdr:col>
      <xdr:colOff>152400</xdr:colOff>
      <xdr:row>284</xdr:row>
      <xdr:rowOff>152400</xdr:rowOff>
    </xdr:to>
    <xdr:sp macro="" textlink="">
      <xdr:nvSpPr>
        <xdr:cNvPr id="9" name="AutoShape 14" descr="Story">
          <a:hlinkClick xmlns:r="http://schemas.openxmlformats.org/officeDocument/2006/relationships" r:id="rId4"/>
          <a:extLst>
            <a:ext uri="{FF2B5EF4-FFF2-40B4-BE49-F238E27FC236}">
              <a16:creationId xmlns:a16="http://schemas.microsoft.com/office/drawing/2014/main" id="{7AC458E1-BA53-4747-8D45-F8F649D2340C}"/>
            </a:ext>
          </a:extLst>
        </xdr:cNvPr>
        <xdr:cNvSpPr>
          <a:spLocks noChangeAspect="1" noChangeArrowheads="1"/>
        </xdr:cNvSpPr>
      </xdr:nvSpPr>
      <xdr:spPr bwMode="auto">
        <a:xfrm>
          <a:off x="1912620" y="51937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413</xdr:row>
      <xdr:rowOff>0</xdr:rowOff>
    </xdr:from>
    <xdr:ext cx="152400" cy="152400"/>
    <xdr:sp macro="" textlink="">
      <xdr:nvSpPr>
        <xdr:cNvPr id="10" name="AutoShape 4" descr="Bug">
          <a:hlinkClick xmlns:r="http://schemas.openxmlformats.org/officeDocument/2006/relationships" r:id="rId1"/>
          <a:extLst>
            <a:ext uri="{FF2B5EF4-FFF2-40B4-BE49-F238E27FC236}">
              <a16:creationId xmlns:a16="http://schemas.microsoft.com/office/drawing/2014/main" id="{C395BD13-CA9C-45EC-9B24-90F288416B50}"/>
            </a:ext>
          </a:extLst>
        </xdr:cNvPr>
        <xdr:cNvSpPr>
          <a:spLocks noChangeAspect="1" noChangeArrowheads="1"/>
        </xdr:cNvSpPr>
      </xdr:nvSpPr>
      <xdr:spPr bwMode="auto">
        <a:xfrm>
          <a:off x="1912620" y="755675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414</xdr:row>
      <xdr:rowOff>0</xdr:rowOff>
    </xdr:from>
    <xdr:ext cx="152400" cy="152400"/>
    <xdr:sp macro="" textlink="">
      <xdr:nvSpPr>
        <xdr:cNvPr id="11" name="AutoShape 6" descr="Bug">
          <a:hlinkClick xmlns:r="http://schemas.openxmlformats.org/officeDocument/2006/relationships" r:id="rId2"/>
          <a:extLst>
            <a:ext uri="{FF2B5EF4-FFF2-40B4-BE49-F238E27FC236}">
              <a16:creationId xmlns:a16="http://schemas.microsoft.com/office/drawing/2014/main" id="{BFAA608E-4E6D-4FFF-8CE6-2ADFBA91CFB7}"/>
            </a:ext>
          </a:extLst>
        </xdr:cNvPr>
        <xdr:cNvSpPr>
          <a:spLocks noChangeAspect="1" noChangeArrowheads="1"/>
        </xdr:cNvSpPr>
      </xdr:nvSpPr>
      <xdr:spPr bwMode="auto">
        <a:xfrm>
          <a:off x="1912620" y="75750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415</xdr:row>
      <xdr:rowOff>0</xdr:rowOff>
    </xdr:from>
    <xdr:ext cx="152400" cy="152400"/>
    <xdr:sp macro="" textlink="">
      <xdr:nvSpPr>
        <xdr:cNvPr id="12" name="AutoShape 7" descr="Story">
          <a:hlinkClick xmlns:r="http://schemas.openxmlformats.org/officeDocument/2006/relationships" r:id="rId3"/>
          <a:extLst>
            <a:ext uri="{FF2B5EF4-FFF2-40B4-BE49-F238E27FC236}">
              <a16:creationId xmlns:a16="http://schemas.microsoft.com/office/drawing/2014/main" id="{8369FADD-3816-4FFF-AAB7-FC5A82FC589F}"/>
            </a:ext>
          </a:extLst>
        </xdr:cNvPr>
        <xdr:cNvSpPr>
          <a:spLocks noChangeAspect="1" noChangeArrowheads="1"/>
        </xdr:cNvSpPr>
      </xdr:nvSpPr>
      <xdr:spPr bwMode="auto">
        <a:xfrm>
          <a:off x="1912620" y="759333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416</xdr:row>
      <xdr:rowOff>0</xdr:rowOff>
    </xdr:from>
    <xdr:ext cx="152400" cy="152400"/>
    <xdr:sp macro="" textlink="">
      <xdr:nvSpPr>
        <xdr:cNvPr id="13" name="AutoShape 8" descr="Story">
          <a:hlinkClick xmlns:r="http://schemas.openxmlformats.org/officeDocument/2006/relationships" r:id="rId4"/>
          <a:extLst>
            <a:ext uri="{FF2B5EF4-FFF2-40B4-BE49-F238E27FC236}">
              <a16:creationId xmlns:a16="http://schemas.microsoft.com/office/drawing/2014/main" id="{BEBE5982-0B03-444F-834C-4B674F199A89}"/>
            </a:ext>
          </a:extLst>
        </xdr:cNvPr>
        <xdr:cNvSpPr>
          <a:spLocks noChangeAspect="1" noChangeArrowheads="1"/>
        </xdr:cNvSpPr>
      </xdr:nvSpPr>
      <xdr:spPr bwMode="auto">
        <a:xfrm>
          <a:off x="1912620" y="76116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417</xdr:row>
      <xdr:rowOff>0</xdr:rowOff>
    </xdr:from>
    <xdr:ext cx="152400" cy="152400"/>
    <xdr:sp macro="" textlink="">
      <xdr:nvSpPr>
        <xdr:cNvPr id="14" name="AutoShape 9" descr="Story">
          <a:hlinkClick xmlns:r="http://schemas.openxmlformats.org/officeDocument/2006/relationships" r:id="rId5"/>
          <a:extLst>
            <a:ext uri="{FF2B5EF4-FFF2-40B4-BE49-F238E27FC236}">
              <a16:creationId xmlns:a16="http://schemas.microsoft.com/office/drawing/2014/main" id="{794F439C-D49C-4380-84BD-8D0B9D3F7377}"/>
            </a:ext>
          </a:extLst>
        </xdr:cNvPr>
        <xdr:cNvSpPr>
          <a:spLocks noChangeAspect="1" noChangeArrowheads="1"/>
        </xdr:cNvSpPr>
      </xdr:nvSpPr>
      <xdr:spPr bwMode="auto">
        <a:xfrm>
          <a:off x="1912620" y="76299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418</xdr:row>
      <xdr:rowOff>0</xdr:rowOff>
    </xdr:from>
    <xdr:ext cx="152400" cy="152400"/>
    <xdr:sp macro="" textlink="">
      <xdr:nvSpPr>
        <xdr:cNvPr id="15" name="AutoShape 10" descr="Story">
          <a:hlinkClick xmlns:r="http://schemas.openxmlformats.org/officeDocument/2006/relationships" r:id="rId6"/>
          <a:extLst>
            <a:ext uri="{FF2B5EF4-FFF2-40B4-BE49-F238E27FC236}">
              <a16:creationId xmlns:a16="http://schemas.microsoft.com/office/drawing/2014/main" id="{689833F6-2D35-413A-993B-2AC81EFD05B4}"/>
            </a:ext>
          </a:extLst>
        </xdr:cNvPr>
        <xdr:cNvSpPr>
          <a:spLocks noChangeAspect="1" noChangeArrowheads="1"/>
        </xdr:cNvSpPr>
      </xdr:nvSpPr>
      <xdr:spPr bwMode="auto">
        <a:xfrm>
          <a:off x="1912620" y="76481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417</xdr:row>
      <xdr:rowOff>0</xdr:rowOff>
    </xdr:from>
    <xdr:ext cx="152400" cy="152400"/>
    <xdr:sp macro="" textlink="">
      <xdr:nvSpPr>
        <xdr:cNvPr id="16" name="AutoShape 13" descr="Story">
          <a:hlinkClick xmlns:r="http://schemas.openxmlformats.org/officeDocument/2006/relationships" r:id="rId4"/>
          <a:extLst>
            <a:ext uri="{FF2B5EF4-FFF2-40B4-BE49-F238E27FC236}">
              <a16:creationId xmlns:a16="http://schemas.microsoft.com/office/drawing/2014/main" id="{3F92455C-D154-4601-B632-375C8F8B3A01}"/>
            </a:ext>
          </a:extLst>
        </xdr:cNvPr>
        <xdr:cNvSpPr>
          <a:spLocks noChangeAspect="1" noChangeArrowheads="1"/>
        </xdr:cNvSpPr>
      </xdr:nvSpPr>
      <xdr:spPr bwMode="auto">
        <a:xfrm>
          <a:off x="1912620" y="76299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418</xdr:row>
      <xdr:rowOff>0</xdr:rowOff>
    </xdr:from>
    <xdr:ext cx="152400" cy="152400"/>
    <xdr:sp macro="" textlink="">
      <xdr:nvSpPr>
        <xdr:cNvPr id="17" name="AutoShape 14" descr="Story">
          <a:hlinkClick xmlns:r="http://schemas.openxmlformats.org/officeDocument/2006/relationships" r:id="rId4"/>
          <a:extLst>
            <a:ext uri="{FF2B5EF4-FFF2-40B4-BE49-F238E27FC236}">
              <a16:creationId xmlns:a16="http://schemas.microsoft.com/office/drawing/2014/main" id="{36B4F00B-37C6-4BA9-A988-2D616CB142CF}"/>
            </a:ext>
          </a:extLst>
        </xdr:cNvPr>
        <xdr:cNvSpPr>
          <a:spLocks noChangeAspect="1" noChangeArrowheads="1"/>
        </xdr:cNvSpPr>
      </xdr:nvSpPr>
      <xdr:spPr bwMode="auto">
        <a:xfrm>
          <a:off x="1912620" y="76481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522</xdr:row>
      <xdr:rowOff>0</xdr:rowOff>
    </xdr:from>
    <xdr:to>
      <xdr:col>1</xdr:col>
      <xdr:colOff>152400</xdr:colOff>
      <xdr:row>522</xdr:row>
      <xdr:rowOff>152400</xdr:rowOff>
    </xdr:to>
    <xdr:sp macro="" textlink="">
      <xdr:nvSpPr>
        <xdr:cNvPr id="18" name="AutoShape 1" descr="Story">
          <a:hlinkClick xmlns:r="http://schemas.openxmlformats.org/officeDocument/2006/relationships" r:id="rId7"/>
          <a:extLst>
            <a:ext uri="{FF2B5EF4-FFF2-40B4-BE49-F238E27FC236}">
              <a16:creationId xmlns:a16="http://schemas.microsoft.com/office/drawing/2014/main" id="{774CB6CD-26A6-4A28-998D-05F60B8A8D75}"/>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19" name="AutoShape 2" descr="Story">
          <a:hlinkClick xmlns:r="http://schemas.openxmlformats.org/officeDocument/2006/relationships" r:id="rId8"/>
          <a:extLst>
            <a:ext uri="{FF2B5EF4-FFF2-40B4-BE49-F238E27FC236}">
              <a16:creationId xmlns:a16="http://schemas.microsoft.com/office/drawing/2014/main" id="{7959C7E2-ADBA-4DE6-96FF-53547D4DD17E}"/>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0" name="AutoShape 5" descr="Story">
          <a:hlinkClick xmlns:r="http://schemas.openxmlformats.org/officeDocument/2006/relationships" r:id="rId6"/>
          <a:extLst>
            <a:ext uri="{FF2B5EF4-FFF2-40B4-BE49-F238E27FC236}">
              <a16:creationId xmlns:a16="http://schemas.microsoft.com/office/drawing/2014/main" id="{158808AF-C663-42D2-A05D-7D5F4CA07B59}"/>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1" name="AutoShape 1" descr="Sub-task">
          <a:hlinkClick xmlns:r="http://schemas.openxmlformats.org/officeDocument/2006/relationships" r:id="rId9"/>
          <a:extLst>
            <a:ext uri="{FF2B5EF4-FFF2-40B4-BE49-F238E27FC236}">
              <a16:creationId xmlns:a16="http://schemas.microsoft.com/office/drawing/2014/main" id="{D045E711-CA96-4779-865F-48A8984F9692}"/>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2" name="AutoShape 2" descr="Sub-task">
          <a:hlinkClick xmlns:r="http://schemas.openxmlformats.org/officeDocument/2006/relationships" r:id="rId10"/>
          <a:extLst>
            <a:ext uri="{FF2B5EF4-FFF2-40B4-BE49-F238E27FC236}">
              <a16:creationId xmlns:a16="http://schemas.microsoft.com/office/drawing/2014/main" id="{ED13373C-F423-4FE4-8E8F-D0DFEEE3E484}"/>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3" name="AutoShape 3" descr="Story">
          <a:hlinkClick xmlns:r="http://schemas.openxmlformats.org/officeDocument/2006/relationships" r:id="rId11"/>
          <a:extLst>
            <a:ext uri="{FF2B5EF4-FFF2-40B4-BE49-F238E27FC236}">
              <a16:creationId xmlns:a16="http://schemas.microsoft.com/office/drawing/2014/main" id="{09C731CA-A26A-4F6C-BD97-4BCDFABD7CFC}"/>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4" name="AutoShape 12" descr="Story">
          <a:hlinkClick xmlns:r="http://schemas.openxmlformats.org/officeDocument/2006/relationships" r:id="rId12"/>
          <a:extLst>
            <a:ext uri="{FF2B5EF4-FFF2-40B4-BE49-F238E27FC236}">
              <a16:creationId xmlns:a16="http://schemas.microsoft.com/office/drawing/2014/main" id="{76726918-1947-4388-AAA1-67DD0A0F952D}"/>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5" name="AutoShape 1" descr="Story">
          <a:hlinkClick xmlns:r="http://schemas.openxmlformats.org/officeDocument/2006/relationships" r:id="rId13"/>
          <a:extLst>
            <a:ext uri="{FF2B5EF4-FFF2-40B4-BE49-F238E27FC236}">
              <a16:creationId xmlns:a16="http://schemas.microsoft.com/office/drawing/2014/main" id="{03A13D76-2420-47AA-B9CE-B3D5BFD38A45}"/>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6" name="AutoShape 1" descr="Story">
          <a:hlinkClick xmlns:r="http://schemas.openxmlformats.org/officeDocument/2006/relationships" r:id="rId7"/>
          <a:extLst>
            <a:ext uri="{FF2B5EF4-FFF2-40B4-BE49-F238E27FC236}">
              <a16:creationId xmlns:a16="http://schemas.microsoft.com/office/drawing/2014/main" id="{9C38E936-F670-460C-8DCB-BF00C7510324}"/>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7" name="AutoShape 2" descr="Story">
          <a:hlinkClick xmlns:r="http://schemas.openxmlformats.org/officeDocument/2006/relationships" r:id="rId8"/>
          <a:extLst>
            <a:ext uri="{FF2B5EF4-FFF2-40B4-BE49-F238E27FC236}">
              <a16:creationId xmlns:a16="http://schemas.microsoft.com/office/drawing/2014/main" id="{200BAFB8-0247-4780-8521-A079945CE9A2}"/>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8" name="AutoShape 5" descr="Story">
          <a:hlinkClick xmlns:r="http://schemas.openxmlformats.org/officeDocument/2006/relationships" r:id="rId6"/>
          <a:extLst>
            <a:ext uri="{FF2B5EF4-FFF2-40B4-BE49-F238E27FC236}">
              <a16:creationId xmlns:a16="http://schemas.microsoft.com/office/drawing/2014/main" id="{89BC4421-68FC-44B9-9D61-FA1193E920E5}"/>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29" name="AutoShape 1" descr="Sub-task">
          <a:hlinkClick xmlns:r="http://schemas.openxmlformats.org/officeDocument/2006/relationships" r:id="rId9"/>
          <a:extLst>
            <a:ext uri="{FF2B5EF4-FFF2-40B4-BE49-F238E27FC236}">
              <a16:creationId xmlns:a16="http://schemas.microsoft.com/office/drawing/2014/main" id="{E1BB0DB7-F31A-483D-8360-A560A7A924B8}"/>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30" name="AutoShape 2" descr="Sub-task">
          <a:hlinkClick xmlns:r="http://schemas.openxmlformats.org/officeDocument/2006/relationships" r:id="rId10"/>
          <a:extLst>
            <a:ext uri="{FF2B5EF4-FFF2-40B4-BE49-F238E27FC236}">
              <a16:creationId xmlns:a16="http://schemas.microsoft.com/office/drawing/2014/main" id="{DE4BC069-CC34-4A4A-A550-B91938C309FE}"/>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31" name="AutoShape 3" descr="Story">
          <a:hlinkClick xmlns:r="http://schemas.openxmlformats.org/officeDocument/2006/relationships" r:id="rId11"/>
          <a:extLst>
            <a:ext uri="{FF2B5EF4-FFF2-40B4-BE49-F238E27FC236}">
              <a16:creationId xmlns:a16="http://schemas.microsoft.com/office/drawing/2014/main" id="{3C43CCB9-CEEC-4DF8-A1AE-C3A58985D90A}"/>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32" name="AutoShape 12" descr="Story">
          <a:hlinkClick xmlns:r="http://schemas.openxmlformats.org/officeDocument/2006/relationships" r:id="rId12"/>
          <a:extLst>
            <a:ext uri="{FF2B5EF4-FFF2-40B4-BE49-F238E27FC236}">
              <a16:creationId xmlns:a16="http://schemas.microsoft.com/office/drawing/2014/main" id="{058AAD82-0110-4D33-ADE4-B8D4ED393594}"/>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33" name="AutoShape 1" descr="Story">
          <a:hlinkClick xmlns:r="http://schemas.openxmlformats.org/officeDocument/2006/relationships" r:id="rId13"/>
          <a:extLst>
            <a:ext uri="{FF2B5EF4-FFF2-40B4-BE49-F238E27FC236}">
              <a16:creationId xmlns:a16="http://schemas.microsoft.com/office/drawing/2014/main" id="{6FE3AD45-F9F4-4C06-BDAA-87FA48673FE2}"/>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522</xdr:row>
      <xdr:rowOff>0</xdr:rowOff>
    </xdr:from>
    <xdr:to>
      <xdr:col>1</xdr:col>
      <xdr:colOff>152400</xdr:colOff>
      <xdr:row>522</xdr:row>
      <xdr:rowOff>152400</xdr:rowOff>
    </xdr:to>
    <xdr:sp macro="" textlink="">
      <xdr:nvSpPr>
        <xdr:cNvPr id="34" name="AutoShape 1" descr="Story">
          <a:hlinkClick xmlns:r="http://schemas.openxmlformats.org/officeDocument/2006/relationships" r:id="rId13"/>
          <a:extLst>
            <a:ext uri="{FF2B5EF4-FFF2-40B4-BE49-F238E27FC236}">
              <a16:creationId xmlns:a16="http://schemas.microsoft.com/office/drawing/2014/main" id="{05FA5320-4640-4468-9D50-16411EBA657D}"/>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522</xdr:row>
      <xdr:rowOff>0</xdr:rowOff>
    </xdr:from>
    <xdr:ext cx="152400" cy="152400"/>
    <xdr:sp macro="" textlink="">
      <xdr:nvSpPr>
        <xdr:cNvPr id="35" name="AutoShape 3" descr="Story">
          <a:hlinkClick xmlns:r="http://schemas.openxmlformats.org/officeDocument/2006/relationships" r:id="rId4"/>
          <a:extLst>
            <a:ext uri="{FF2B5EF4-FFF2-40B4-BE49-F238E27FC236}">
              <a16:creationId xmlns:a16="http://schemas.microsoft.com/office/drawing/2014/main" id="{7D965059-F690-4910-8FE9-879692C41E54}"/>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522</xdr:row>
      <xdr:rowOff>0</xdr:rowOff>
    </xdr:from>
    <xdr:ext cx="152400" cy="152400"/>
    <xdr:sp macro="" textlink="">
      <xdr:nvSpPr>
        <xdr:cNvPr id="36" name="AutoShape 4" descr="Story">
          <a:hlinkClick xmlns:r="http://schemas.openxmlformats.org/officeDocument/2006/relationships" r:id="rId5"/>
          <a:extLst>
            <a:ext uri="{FF2B5EF4-FFF2-40B4-BE49-F238E27FC236}">
              <a16:creationId xmlns:a16="http://schemas.microsoft.com/office/drawing/2014/main" id="{921B7881-97ED-4687-93A6-3B06E2460BB1}"/>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522</xdr:row>
      <xdr:rowOff>0</xdr:rowOff>
    </xdr:from>
    <xdr:ext cx="152400" cy="152400"/>
    <xdr:sp macro="" textlink="">
      <xdr:nvSpPr>
        <xdr:cNvPr id="37" name="AutoShape 7" descr="Story">
          <a:hlinkClick xmlns:r="http://schemas.openxmlformats.org/officeDocument/2006/relationships" r:id="rId3"/>
          <a:extLst>
            <a:ext uri="{FF2B5EF4-FFF2-40B4-BE49-F238E27FC236}">
              <a16:creationId xmlns:a16="http://schemas.microsoft.com/office/drawing/2014/main" id="{1204A36B-32DF-4F19-BC3F-A9B8B46DA684}"/>
            </a:ext>
          </a:extLst>
        </xdr:cNvPr>
        <xdr:cNvSpPr>
          <a:spLocks noChangeAspect="1" noChangeArrowheads="1"/>
        </xdr:cNvSpPr>
      </xdr:nvSpPr>
      <xdr:spPr bwMode="auto">
        <a:xfrm>
          <a:off x="1912620" y="95867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573</xdr:row>
      <xdr:rowOff>0</xdr:rowOff>
    </xdr:from>
    <xdr:to>
      <xdr:col>1</xdr:col>
      <xdr:colOff>152400</xdr:colOff>
      <xdr:row>573</xdr:row>
      <xdr:rowOff>152400</xdr:rowOff>
    </xdr:to>
    <xdr:sp macro="" textlink="">
      <xdr:nvSpPr>
        <xdr:cNvPr id="38" name="AutoShape 4" descr="Bug">
          <a:hlinkClick xmlns:r="http://schemas.openxmlformats.org/officeDocument/2006/relationships" r:id="rId1"/>
          <a:extLst>
            <a:ext uri="{FF2B5EF4-FFF2-40B4-BE49-F238E27FC236}">
              <a16:creationId xmlns:a16="http://schemas.microsoft.com/office/drawing/2014/main" id="{57871B11-EBEB-434A-A836-2C38767AFC0C}"/>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39" name="AutoShape 6" descr="Bug">
          <a:hlinkClick xmlns:r="http://schemas.openxmlformats.org/officeDocument/2006/relationships" r:id="rId2"/>
          <a:extLst>
            <a:ext uri="{FF2B5EF4-FFF2-40B4-BE49-F238E27FC236}">
              <a16:creationId xmlns:a16="http://schemas.microsoft.com/office/drawing/2014/main" id="{DA167AA3-BD6B-49EB-8822-46CC64A59CE1}"/>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0" name="AutoShape 7" descr="Story">
          <a:hlinkClick xmlns:r="http://schemas.openxmlformats.org/officeDocument/2006/relationships" r:id="rId3"/>
          <a:extLst>
            <a:ext uri="{FF2B5EF4-FFF2-40B4-BE49-F238E27FC236}">
              <a16:creationId xmlns:a16="http://schemas.microsoft.com/office/drawing/2014/main" id="{112EE599-D45A-4CC3-BD99-4214425079C2}"/>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1" name="AutoShape 8" descr="Story">
          <a:hlinkClick xmlns:r="http://schemas.openxmlformats.org/officeDocument/2006/relationships" r:id="rId4"/>
          <a:extLst>
            <a:ext uri="{FF2B5EF4-FFF2-40B4-BE49-F238E27FC236}">
              <a16:creationId xmlns:a16="http://schemas.microsoft.com/office/drawing/2014/main" id="{2D14AB5C-1428-402E-A422-5A07CFBD810F}"/>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2" name="AutoShape 9" descr="Story">
          <a:hlinkClick xmlns:r="http://schemas.openxmlformats.org/officeDocument/2006/relationships" r:id="rId5"/>
          <a:extLst>
            <a:ext uri="{FF2B5EF4-FFF2-40B4-BE49-F238E27FC236}">
              <a16:creationId xmlns:a16="http://schemas.microsoft.com/office/drawing/2014/main" id="{DB62A003-C948-4FBB-A6F7-F1771A1F493C}"/>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3" name="AutoShape 10" descr="Story">
          <a:hlinkClick xmlns:r="http://schemas.openxmlformats.org/officeDocument/2006/relationships" r:id="rId6"/>
          <a:extLst>
            <a:ext uri="{FF2B5EF4-FFF2-40B4-BE49-F238E27FC236}">
              <a16:creationId xmlns:a16="http://schemas.microsoft.com/office/drawing/2014/main" id="{40FFEEA0-E5AF-4DAD-9B14-5329F7BABD72}"/>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4" name="AutoShape 13" descr="Story">
          <a:hlinkClick xmlns:r="http://schemas.openxmlformats.org/officeDocument/2006/relationships" r:id="rId4"/>
          <a:extLst>
            <a:ext uri="{FF2B5EF4-FFF2-40B4-BE49-F238E27FC236}">
              <a16:creationId xmlns:a16="http://schemas.microsoft.com/office/drawing/2014/main" id="{F45FF898-4DB7-45BB-A419-77933DC36764}"/>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5" name="AutoShape 14" descr="Story">
          <a:hlinkClick xmlns:r="http://schemas.openxmlformats.org/officeDocument/2006/relationships" r:id="rId4"/>
          <a:extLst>
            <a:ext uri="{FF2B5EF4-FFF2-40B4-BE49-F238E27FC236}">
              <a16:creationId xmlns:a16="http://schemas.microsoft.com/office/drawing/2014/main" id="{762F9091-6AD6-44BD-A79A-6C34F0BDC428}"/>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6" name="AutoShape 4" descr="Bug">
          <a:hlinkClick xmlns:r="http://schemas.openxmlformats.org/officeDocument/2006/relationships" r:id="rId1"/>
          <a:extLst>
            <a:ext uri="{FF2B5EF4-FFF2-40B4-BE49-F238E27FC236}">
              <a16:creationId xmlns:a16="http://schemas.microsoft.com/office/drawing/2014/main" id="{6C6AE111-DEAF-4ECA-9F6A-C81D5246E3AE}"/>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7" name="AutoShape 6" descr="Bug">
          <a:hlinkClick xmlns:r="http://schemas.openxmlformats.org/officeDocument/2006/relationships" r:id="rId2"/>
          <a:extLst>
            <a:ext uri="{FF2B5EF4-FFF2-40B4-BE49-F238E27FC236}">
              <a16:creationId xmlns:a16="http://schemas.microsoft.com/office/drawing/2014/main" id="{3CBE48BE-1ADE-4B60-ADA4-01934677C9CA}"/>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8" name="AutoShape 7" descr="Story">
          <a:hlinkClick xmlns:r="http://schemas.openxmlformats.org/officeDocument/2006/relationships" r:id="rId3"/>
          <a:extLst>
            <a:ext uri="{FF2B5EF4-FFF2-40B4-BE49-F238E27FC236}">
              <a16:creationId xmlns:a16="http://schemas.microsoft.com/office/drawing/2014/main" id="{F19308C0-0530-4D72-8E15-5F99C055F17C}"/>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49" name="AutoShape 8" descr="Story">
          <a:hlinkClick xmlns:r="http://schemas.openxmlformats.org/officeDocument/2006/relationships" r:id="rId4"/>
          <a:extLst>
            <a:ext uri="{FF2B5EF4-FFF2-40B4-BE49-F238E27FC236}">
              <a16:creationId xmlns:a16="http://schemas.microsoft.com/office/drawing/2014/main" id="{8D0EE8AD-4408-41C4-A649-8A55500EE95E}"/>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50" name="AutoShape 9" descr="Story">
          <a:hlinkClick xmlns:r="http://schemas.openxmlformats.org/officeDocument/2006/relationships" r:id="rId5"/>
          <a:extLst>
            <a:ext uri="{FF2B5EF4-FFF2-40B4-BE49-F238E27FC236}">
              <a16:creationId xmlns:a16="http://schemas.microsoft.com/office/drawing/2014/main" id="{E9AAF359-BE2A-47CB-8432-41DF92301FCA}"/>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51" name="AutoShape 10" descr="Story">
          <a:hlinkClick xmlns:r="http://schemas.openxmlformats.org/officeDocument/2006/relationships" r:id="rId6"/>
          <a:extLst>
            <a:ext uri="{FF2B5EF4-FFF2-40B4-BE49-F238E27FC236}">
              <a16:creationId xmlns:a16="http://schemas.microsoft.com/office/drawing/2014/main" id="{B4B58DDD-4592-45F1-B4CD-BABA70B2E2F0}"/>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52" name="AutoShape 13" descr="Story">
          <a:hlinkClick xmlns:r="http://schemas.openxmlformats.org/officeDocument/2006/relationships" r:id="rId4"/>
          <a:extLst>
            <a:ext uri="{FF2B5EF4-FFF2-40B4-BE49-F238E27FC236}">
              <a16:creationId xmlns:a16="http://schemas.microsoft.com/office/drawing/2014/main" id="{0AF5E1E7-81EC-4797-9A7E-9145D1C5765D}"/>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573</xdr:row>
      <xdr:rowOff>0</xdr:rowOff>
    </xdr:from>
    <xdr:to>
      <xdr:col>1</xdr:col>
      <xdr:colOff>152400</xdr:colOff>
      <xdr:row>573</xdr:row>
      <xdr:rowOff>152400</xdr:rowOff>
    </xdr:to>
    <xdr:sp macro="" textlink="">
      <xdr:nvSpPr>
        <xdr:cNvPr id="53" name="AutoShape 14" descr="Story">
          <a:hlinkClick xmlns:r="http://schemas.openxmlformats.org/officeDocument/2006/relationships" r:id="rId4"/>
          <a:extLst>
            <a:ext uri="{FF2B5EF4-FFF2-40B4-BE49-F238E27FC236}">
              <a16:creationId xmlns:a16="http://schemas.microsoft.com/office/drawing/2014/main" id="{A05237AC-DA99-44FA-A29E-693627B7BF22}"/>
            </a:ext>
          </a:extLst>
        </xdr:cNvPr>
        <xdr:cNvSpPr>
          <a:spLocks noChangeAspect="1" noChangeArrowheads="1"/>
        </xdr:cNvSpPr>
      </xdr:nvSpPr>
      <xdr:spPr bwMode="auto">
        <a:xfrm>
          <a:off x="1912620" y="1051941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54" name="AutoShape 4" descr="Bug">
          <a:hlinkClick xmlns:r="http://schemas.openxmlformats.org/officeDocument/2006/relationships" r:id="rId1"/>
          <a:extLst>
            <a:ext uri="{FF2B5EF4-FFF2-40B4-BE49-F238E27FC236}">
              <a16:creationId xmlns:a16="http://schemas.microsoft.com/office/drawing/2014/main" id="{ABA643B9-4D63-4ACA-8763-C8A931AC00D9}"/>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55" name="AutoShape 6" descr="Bug">
          <a:hlinkClick xmlns:r="http://schemas.openxmlformats.org/officeDocument/2006/relationships" r:id="rId2"/>
          <a:extLst>
            <a:ext uri="{FF2B5EF4-FFF2-40B4-BE49-F238E27FC236}">
              <a16:creationId xmlns:a16="http://schemas.microsoft.com/office/drawing/2014/main" id="{A2855F45-0C33-4890-8476-6E4B5B4B952F}"/>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56" name="AutoShape 7" descr="Story">
          <a:hlinkClick xmlns:r="http://schemas.openxmlformats.org/officeDocument/2006/relationships" r:id="rId3"/>
          <a:extLst>
            <a:ext uri="{FF2B5EF4-FFF2-40B4-BE49-F238E27FC236}">
              <a16:creationId xmlns:a16="http://schemas.microsoft.com/office/drawing/2014/main" id="{5796D446-E1A4-440F-88DB-584F0AB55FBD}"/>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57" name="AutoShape 8" descr="Story">
          <a:hlinkClick xmlns:r="http://schemas.openxmlformats.org/officeDocument/2006/relationships" r:id="rId4"/>
          <a:extLst>
            <a:ext uri="{FF2B5EF4-FFF2-40B4-BE49-F238E27FC236}">
              <a16:creationId xmlns:a16="http://schemas.microsoft.com/office/drawing/2014/main" id="{245C90A7-6493-4597-B767-EBC55026BADA}"/>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58" name="AutoShape 9" descr="Story">
          <a:hlinkClick xmlns:r="http://schemas.openxmlformats.org/officeDocument/2006/relationships" r:id="rId5"/>
          <a:extLst>
            <a:ext uri="{FF2B5EF4-FFF2-40B4-BE49-F238E27FC236}">
              <a16:creationId xmlns:a16="http://schemas.microsoft.com/office/drawing/2014/main" id="{B6585C5A-CE06-4B52-9A98-0C1E6741B7E8}"/>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59" name="AutoShape 10" descr="Story">
          <a:hlinkClick xmlns:r="http://schemas.openxmlformats.org/officeDocument/2006/relationships" r:id="rId6"/>
          <a:extLst>
            <a:ext uri="{FF2B5EF4-FFF2-40B4-BE49-F238E27FC236}">
              <a16:creationId xmlns:a16="http://schemas.microsoft.com/office/drawing/2014/main" id="{B0811A7C-8F7A-4916-B7C2-6A34470FBB68}"/>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0" name="AutoShape 13" descr="Story">
          <a:hlinkClick xmlns:r="http://schemas.openxmlformats.org/officeDocument/2006/relationships" r:id="rId4"/>
          <a:extLst>
            <a:ext uri="{FF2B5EF4-FFF2-40B4-BE49-F238E27FC236}">
              <a16:creationId xmlns:a16="http://schemas.microsoft.com/office/drawing/2014/main" id="{B8853102-2F1B-479C-8F30-C150FEDE2400}"/>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1" name="AutoShape 14" descr="Story">
          <a:hlinkClick xmlns:r="http://schemas.openxmlformats.org/officeDocument/2006/relationships" r:id="rId4"/>
          <a:extLst>
            <a:ext uri="{FF2B5EF4-FFF2-40B4-BE49-F238E27FC236}">
              <a16:creationId xmlns:a16="http://schemas.microsoft.com/office/drawing/2014/main" id="{8FF8F7F7-863B-4D40-A813-3CD1ABB80234}"/>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2" name="AutoShape 4" descr="Bug">
          <a:hlinkClick xmlns:r="http://schemas.openxmlformats.org/officeDocument/2006/relationships" r:id="rId1"/>
          <a:extLst>
            <a:ext uri="{FF2B5EF4-FFF2-40B4-BE49-F238E27FC236}">
              <a16:creationId xmlns:a16="http://schemas.microsoft.com/office/drawing/2014/main" id="{B4545FF8-07EB-411E-B760-46C3D3ED7A9C}"/>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3" name="AutoShape 6" descr="Bug">
          <a:hlinkClick xmlns:r="http://schemas.openxmlformats.org/officeDocument/2006/relationships" r:id="rId2"/>
          <a:extLst>
            <a:ext uri="{FF2B5EF4-FFF2-40B4-BE49-F238E27FC236}">
              <a16:creationId xmlns:a16="http://schemas.microsoft.com/office/drawing/2014/main" id="{BF35082F-231A-4B34-89AC-37432EF37A40}"/>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4" name="AutoShape 7" descr="Story">
          <a:hlinkClick xmlns:r="http://schemas.openxmlformats.org/officeDocument/2006/relationships" r:id="rId3"/>
          <a:extLst>
            <a:ext uri="{FF2B5EF4-FFF2-40B4-BE49-F238E27FC236}">
              <a16:creationId xmlns:a16="http://schemas.microsoft.com/office/drawing/2014/main" id="{DC63022B-CC72-456A-A52C-03DD4EAB3552}"/>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5" name="AutoShape 8" descr="Story">
          <a:hlinkClick xmlns:r="http://schemas.openxmlformats.org/officeDocument/2006/relationships" r:id="rId4"/>
          <a:extLst>
            <a:ext uri="{FF2B5EF4-FFF2-40B4-BE49-F238E27FC236}">
              <a16:creationId xmlns:a16="http://schemas.microsoft.com/office/drawing/2014/main" id="{9547849F-A43F-45DE-B9AF-CE880F869C20}"/>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6" name="AutoShape 9" descr="Story">
          <a:hlinkClick xmlns:r="http://schemas.openxmlformats.org/officeDocument/2006/relationships" r:id="rId5"/>
          <a:extLst>
            <a:ext uri="{FF2B5EF4-FFF2-40B4-BE49-F238E27FC236}">
              <a16:creationId xmlns:a16="http://schemas.microsoft.com/office/drawing/2014/main" id="{A9CEA649-17BA-4B7E-B51F-FF95CD456558}"/>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7" name="AutoShape 10" descr="Story">
          <a:hlinkClick xmlns:r="http://schemas.openxmlformats.org/officeDocument/2006/relationships" r:id="rId6"/>
          <a:extLst>
            <a:ext uri="{FF2B5EF4-FFF2-40B4-BE49-F238E27FC236}">
              <a16:creationId xmlns:a16="http://schemas.microsoft.com/office/drawing/2014/main" id="{8A2311D4-C698-43BE-B8CF-AB33C30F0BA5}"/>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8" name="AutoShape 13" descr="Story">
          <a:hlinkClick xmlns:r="http://schemas.openxmlformats.org/officeDocument/2006/relationships" r:id="rId4"/>
          <a:extLst>
            <a:ext uri="{FF2B5EF4-FFF2-40B4-BE49-F238E27FC236}">
              <a16:creationId xmlns:a16="http://schemas.microsoft.com/office/drawing/2014/main" id="{DFBF5EF7-302B-4E71-A3A3-FAE3AA9400EE}"/>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577</xdr:row>
      <xdr:rowOff>0</xdr:rowOff>
    </xdr:from>
    <xdr:to>
      <xdr:col>1</xdr:col>
      <xdr:colOff>152400</xdr:colOff>
      <xdr:row>577</xdr:row>
      <xdr:rowOff>152400</xdr:rowOff>
    </xdr:to>
    <xdr:sp macro="" textlink="">
      <xdr:nvSpPr>
        <xdr:cNvPr id="69" name="AutoShape 14" descr="Story">
          <a:hlinkClick xmlns:r="http://schemas.openxmlformats.org/officeDocument/2006/relationships" r:id="rId4"/>
          <a:extLst>
            <a:ext uri="{FF2B5EF4-FFF2-40B4-BE49-F238E27FC236}">
              <a16:creationId xmlns:a16="http://schemas.microsoft.com/office/drawing/2014/main" id="{DA2986C6-FFA1-4763-A419-199B8AFD365F}"/>
            </a:ext>
          </a:extLst>
        </xdr:cNvPr>
        <xdr:cNvSpPr>
          <a:spLocks noChangeAspect="1" noChangeArrowheads="1"/>
        </xdr:cNvSpPr>
      </xdr:nvSpPr>
      <xdr:spPr bwMode="auto">
        <a:xfrm>
          <a:off x="1912620" y="1059256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0" name="AutoShape 4" descr="Bug">
          <a:hlinkClick xmlns:r="http://schemas.openxmlformats.org/officeDocument/2006/relationships" r:id="rId1"/>
          <a:extLst>
            <a:ext uri="{FF2B5EF4-FFF2-40B4-BE49-F238E27FC236}">
              <a16:creationId xmlns:a16="http://schemas.microsoft.com/office/drawing/2014/main" id="{13AB9BB9-06EF-49FF-8247-F5E7D0169284}"/>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1" name="AutoShape 6" descr="Bug">
          <a:hlinkClick xmlns:r="http://schemas.openxmlformats.org/officeDocument/2006/relationships" r:id="rId2"/>
          <a:extLst>
            <a:ext uri="{FF2B5EF4-FFF2-40B4-BE49-F238E27FC236}">
              <a16:creationId xmlns:a16="http://schemas.microsoft.com/office/drawing/2014/main" id="{577799D7-CB89-4452-BBC1-F3B644954303}"/>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2" name="AutoShape 7" descr="Story">
          <a:hlinkClick xmlns:r="http://schemas.openxmlformats.org/officeDocument/2006/relationships" r:id="rId3"/>
          <a:extLst>
            <a:ext uri="{FF2B5EF4-FFF2-40B4-BE49-F238E27FC236}">
              <a16:creationId xmlns:a16="http://schemas.microsoft.com/office/drawing/2014/main" id="{7F2310F7-D3BE-41D1-9362-87329AD6E378}"/>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3" name="AutoShape 8" descr="Story">
          <a:hlinkClick xmlns:r="http://schemas.openxmlformats.org/officeDocument/2006/relationships" r:id="rId4"/>
          <a:extLst>
            <a:ext uri="{FF2B5EF4-FFF2-40B4-BE49-F238E27FC236}">
              <a16:creationId xmlns:a16="http://schemas.microsoft.com/office/drawing/2014/main" id="{6228B37B-624F-4FBE-A21C-78F615685C5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4" name="AutoShape 9" descr="Story">
          <a:hlinkClick xmlns:r="http://schemas.openxmlformats.org/officeDocument/2006/relationships" r:id="rId5"/>
          <a:extLst>
            <a:ext uri="{FF2B5EF4-FFF2-40B4-BE49-F238E27FC236}">
              <a16:creationId xmlns:a16="http://schemas.microsoft.com/office/drawing/2014/main" id="{D948A399-EBC3-4A14-9F91-3115681941C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5" name="AutoShape 10" descr="Story">
          <a:hlinkClick xmlns:r="http://schemas.openxmlformats.org/officeDocument/2006/relationships" r:id="rId6"/>
          <a:extLst>
            <a:ext uri="{FF2B5EF4-FFF2-40B4-BE49-F238E27FC236}">
              <a16:creationId xmlns:a16="http://schemas.microsoft.com/office/drawing/2014/main" id="{1F643A00-9E44-4C82-A2CB-3DB0A6284807}"/>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6" name="AutoShape 13" descr="Story">
          <a:hlinkClick xmlns:r="http://schemas.openxmlformats.org/officeDocument/2006/relationships" r:id="rId4"/>
          <a:extLst>
            <a:ext uri="{FF2B5EF4-FFF2-40B4-BE49-F238E27FC236}">
              <a16:creationId xmlns:a16="http://schemas.microsoft.com/office/drawing/2014/main" id="{19B0BC93-5ECA-49AA-8D55-04DAD8E70AF3}"/>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7" name="AutoShape 14" descr="Story">
          <a:hlinkClick xmlns:r="http://schemas.openxmlformats.org/officeDocument/2006/relationships" r:id="rId4"/>
          <a:extLst>
            <a:ext uri="{FF2B5EF4-FFF2-40B4-BE49-F238E27FC236}">
              <a16:creationId xmlns:a16="http://schemas.microsoft.com/office/drawing/2014/main" id="{F17354B1-B275-4CB1-82BA-358D6F147881}"/>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8" name="AutoShape 4" descr="Bug">
          <a:hlinkClick xmlns:r="http://schemas.openxmlformats.org/officeDocument/2006/relationships" r:id="rId1"/>
          <a:extLst>
            <a:ext uri="{FF2B5EF4-FFF2-40B4-BE49-F238E27FC236}">
              <a16:creationId xmlns:a16="http://schemas.microsoft.com/office/drawing/2014/main" id="{52C388B5-02CB-4C14-A3D3-EE9489890E4D}"/>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79" name="AutoShape 6" descr="Bug">
          <a:hlinkClick xmlns:r="http://schemas.openxmlformats.org/officeDocument/2006/relationships" r:id="rId2"/>
          <a:extLst>
            <a:ext uri="{FF2B5EF4-FFF2-40B4-BE49-F238E27FC236}">
              <a16:creationId xmlns:a16="http://schemas.microsoft.com/office/drawing/2014/main" id="{C2A11557-90F2-4992-BE04-B8211DA162D1}"/>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80" name="AutoShape 7" descr="Story">
          <a:hlinkClick xmlns:r="http://schemas.openxmlformats.org/officeDocument/2006/relationships" r:id="rId3"/>
          <a:extLst>
            <a:ext uri="{FF2B5EF4-FFF2-40B4-BE49-F238E27FC236}">
              <a16:creationId xmlns:a16="http://schemas.microsoft.com/office/drawing/2014/main" id="{5F6FDF08-BF10-46A7-A3FA-343AB0F5F1C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81" name="AutoShape 8" descr="Story">
          <a:hlinkClick xmlns:r="http://schemas.openxmlformats.org/officeDocument/2006/relationships" r:id="rId4"/>
          <a:extLst>
            <a:ext uri="{FF2B5EF4-FFF2-40B4-BE49-F238E27FC236}">
              <a16:creationId xmlns:a16="http://schemas.microsoft.com/office/drawing/2014/main" id="{7BC15EF2-EBEA-4EE4-850E-894896F862BC}"/>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82" name="AutoShape 9" descr="Story">
          <a:hlinkClick xmlns:r="http://schemas.openxmlformats.org/officeDocument/2006/relationships" r:id="rId5"/>
          <a:extLst>
            <a:ext uri="{FF2B5EF4-FFF2-40B4-BE49-F238E27FC236}">
              <a16:creationId xmlns:a16="http://schemas.microsoft.com/office/drawing/2014/main" id="{DAA551B9-117B-418B-8E2B-89729D5752B3}"/>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83" name="AutoShape 10" descr="Story">
          <a:hlinkClick xmlns:r="http://schemas.openxmlformats.org/officeDocument/2006/relationships" r:id="rId6"/>
          <a:extLst>
            <a:ext uri="{FF2B5EF4-FFF2-40B4-BE49-F238E27FC236}">
              <a16:creationId xmlns:a16="http://schemas.microsoft.com/office/drawing/2014/main" id="{40DF67E9-BBD2-4006-8F7C-D6F81F41CBBD}"/>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84" name="AutoShape 13" descr="Story">
          <a:hlinkClick xmlns:r="http://schemas.openxmlformats.org/officeDocument/2006/relationships" r:id="rId4"/>
          <a:extLst>
            <a:ext uri="{FF2B5EF4-FFF2-40B4-BE49-F238E27FC236}">
              <a16:creationId xmlns:a16="http://schemas.microsoft.com/office/drawing/2014/main" id="{AF47F260-122C-452C-B8B2-CA7E1FC6D815}"/>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619</xdr:row>
      <xdr:rowOff>0</xdr:rowOff>
    </xdr:from>
    <xdr:to>
      <xdr:col>1</xdr:col>
      <xdr:colOff>152400</xdr:colOff>
      <xdr:row>619</xdr:row>
      <xdr:rowOff>152400</xdr:rowOff>
    </xdr:to>
    <xdr:sp macro="" textlink="">
      <xdr:nvSpPr>
        <xdr:cNvPr id="85" name="AutoShape 14" descr="Story">
          <a:hlinkClick xmlns:r="http://schemas.openxmlformats.org/officeDocument/2006/relationships" r:id="rId4"/>
          <a:extLst>
            <a:ext uri="{FF2B5EF4-FFF2-40B4-BE49-F238E27FC236}">
              <a16:creationId xmlns:a16="http://schemas.microsoft.com/office/drawing/2014/main" id="{5555815D-E910-4B12-B6C1-9F431968313C}"/>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619</xdr:row>
      <xdr:rowOff>0</xdr:rowOff>
    </xdr:from>
    <xdr:ext cx="152400" cy="152400"/>
    <xdr:sp macro="" textlink="">
      <xdr:nvSpPr>
        <xdr:cNvPr id="86" name="AutoShape 4" descr="Bug">
          <a:hlinkClick xmlns:r="http://schemas.openxmlformats.org/officeDocument/2006/relationships" r:id="rId1"/>
          <a:extLst>
            <a:ext uri="{FF2B5EF4-FFF2-40B4-BE49-F238E27FC236}">
              <a16:creationId xmlns:a16="http://schemas.microsoft.com/office/drawing/2014/main" id="{43967F84-D3C2-4099-A713-CB67E9D125B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87" name="AutoShape 6" descr="Bug">
          <a:hlinkClick xmlns:r="http://schemas.openxmlformats.org/officeDocument/2006/relationships" r:id="rId2"/>
          <a:extLst>
            <a:ext uri="{FF2B5EF4-FFF2-40B4-BE49-F238E27FC236}">
              <a16:creationId xmlns:a16="http://schemas.microsoft.com/office/drawing/2014/main" id="{BEE06B02-6B1C-4E31-B450-26BBB4824E4B}"/>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88" name="AutoShape 7" descr="Story">
          <a:hlinkClick xmlns:r="http://schemas.openxmlformats.org/officeDocument/2006/relationships" r:id="rId3"/>
          <a:extLst>
            <a:ext uri="{FF2B5EF4-FFF2-40B4-BE49-F238E27FC236}">
              <a16:creationId xmlns:a16="http://schemas.microsoft.com/office/drawing/2014/main" id="{B3783AA4-F9A2-4BCB-B33B-588EEE9363C0}"/>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89" name="AutoShape 8" descr="Story">
          <a:hlinkClick xmlns:r="http://schemas.openxmlformats.org/officeDocument/2006/relationships" r:id="rId4"/>
          <a:extLst>
            <a:ext uri="{FF2B5EF4-FFF2-40B4-BE49-F238E27FC236}">
              <a16:creationId xmlns:a16="http://schemas.microsoft.com/office/drawing/2014/main" id="{CE762535-A1D3-4DC8-8BD2-99A44DC0CEBA}"/>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0" name="AutoShape 9" descr="Story">
          <a:hlinkClick xmlns:r="http://schemas.openxmlformats.org/officeDocument/2006/relationships" r:id="rId5"/>
          <a:extLst>
            <a:ext uri="{FF2B5EF4-FFF2-40B4-BE49-F238E27FC236}">
              <a16:creationId xmlns:a16="http://schemas.microsoft.com/office/drawing/2014/main" id="{08EA00CB-BA26-49E9-A417-F4E8A6BD46E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1" name="AutoShape 10" descr="Story">
          <a:hlinkClick xmlns:r="http://schemas.openxmlformats.org/officeDocument/2006/relationships" r:id="rId6"/>
          <a:extLst>
            <a:ext uri="{FF2B5EF4-FFF2-40B4-BE49-F238E27FC236}">
              <a16:creationId xmlns:a16="http://schemas.microsoft.com/office/drawing/2014/main" id="{C3B448EB-88D7-4EE6-8168-153530ED4B65}"/>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2" name="AutoShape 13" descr="Story">
          <a:hlinkClick xmlns:r="http://schemas.openxmlformats.org/officeDocument/2006/relationships" r:id="rId4"/>
          <a:extLst>
            <a:ext uri="{FF2B5EF4-FFF2-40B4-BE49-F238E27FC236}">
              <a16:creationId xmlns:a16="http://schemas.microsoft.com/office/drawing/2014/main" id="{666A6572-027B-4370-8B19-D362B3724D9C}"/>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3" name="AutoShape 14" descr="Story">
          <a:hlinkClick xmlns:r="http://schemas.openxmlformats.org/officeDocument/2006/relationships" r:id="rId4"/>
          <a:extLst>
            <a:ext uri="{FF2B5EF4-FFF2-40B4-BE49-F238E27FC236}">
              <a16:creationId xmlns:a16="http://schemas.microsoft.com/office/drawing/2014/main" id="{D84725B5-E5DD-4D98-8885-6C00758F9BFE}"/>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4" name="AutoShape 4" descr="Bug">
          <a:hlinkClick xmlns:r="http://schemas.openxmlformats.org/officeDocument/2006/relationships" r:id="rId1"/>
          <a:extLst>
            <a:ext uri="{FF2B5EF4-FFF2-40B4-BE49-F238E27FC236}">
              <a16:creationId xmlns:a16="http://schemas.microsoft.com/office/drawing/2014/main" id="{279D9E9D-A012-44A1-828C-D53E55E82DB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5" name="AutoShape 6" descr="Bug">
          <a:hlinkClick xmlns:r="http://schemas.openxmlformats.org/officeDocument/2006/relationships" r:id="rId2"/>
          <a:extLst>
            <a:ext uri="{FF2B5EF4-FFF2-40B4-BE49-F238E27FC236}">
              <a16:creationId xmlns:a16="http://schemas.microsoft.com/office/drawing/2014/main" id="{972719B3-AA8F-4233-8A1B-12409A192738}"/>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6" name="AutoShape 7" descr="Story">
          <a:hlinkClick xmlns:r="http://schemas.openxmlformats.org/officeDocument/2006/relationships" r:id="rId3"/>
          <a:extLst>
            <a:ext uri="{FF2B5EF4-FFF2-40B4-BE49-F238E27FC236}">
              <a16:creationId xmlns:a16="http://schemas.microsoft.com/office/drawing/2014/main" id="{E4337B45-17CD-44DF-A5D8-5CC7C00505C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7" name="AutoShape 8" descr="Story">
          <a:hlinkClick xmlns:r="http://schemas.openxmlformats.org/officeDocument/2006/relationships" r:id="rId4"/>
          <a:extLst>
            <a:ext uri="{FF2B5EF4-FFF2-40B4-BE49-F238E27FC236}">
              <a16:creationId xmlns:a16="http://schemas.microsoft.com/office/drawing/2014/main" id="{37B4BE39-1E20-48C3-A954-B6F703E75DF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8" name="AutoShape 9" descr="Story">
          <a:hlinkClick xmlns:r="http://schemas.openxmlformats.org/officeDocument/2006/relationships" r:id="rId5"/>
          <a:extLst>
            <a:ext uri="{FF2B5EF4-FFF2-40B4-BE49-F238E27FC236}">
              <a16:creationId xmlns:a16="http://schemas.microsoft.com/office/drawing/2014/main" id="{95DAF92B-73C8-4AC5-9350-440B6B7C255A}"/>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99" name="AutoShape 10" descr="Story">
          <a:hlinkClick xmlns:r="http://schemas.openxmlformats.org/officeDocument/2006/relationships" r:id="rId6"/>
          <a:extLst>
            <a:ext uri="{FF2B5EF4-FFF2-40B4-BE49-F238E27FC236}">
              <a16:creationId xmlns:a16="http://schemas.microsoft.com/office/drawing/2014/main" id="{DB791ECE-1A39-43BF-B4AE-25D8B250E72F}"/>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100" name="AutoShape 13" descr="Story">
          <a:hlinkClick xmlns:r="http://schemas.openxmlformats.org/officeDocument/2006/relationships" r:id="rId4"/>
          <a:extLst>
            <a:ext uri="{FF2B5EF4-FFF2-40B4-BE49-F238E27FC236}">
              <a16:creationId xmlns:a16="http://schemas.microsoft.com/office/drawing/2014/main" id="{67FD7270-6249-466B-8D0E-CAED13BBB7D0}"/>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619</xdr:row>
      <xdr:rowOff>0</xdr:rowOff>
    </xdr:from>
    <xdr:ext cx="152400" cy="152400"/>
    <xdr:sp macro="" textlink="">
      <xdr:nvSpPr>
        <xdr:cNvPr id="101" name="AutoShape 14" descr="Story">
          <a:hlinkClick xmlns:r="http://schemas.openxmlformats.org/officeDocument/2006/relationships" r:id="rId4"/>
          <a:extLst>
            <a:ext uri="{FF2B5EF4-FFF2-40B4-BE49-F238E27FC236}">
              <a16:creationId xmlns:a16="http://schemas.microsoft.com/office/drawing/2014/main" id="{62DCF3D2-7623-43B2-BA99-829319FC6CC8}"/>
            </a:ext>
          </a:extLst>
        </xdr:cNvPr>
        <xdr:cNvSpPr>
          <a:spLocks noChangeAspect="1" noChangeArrowheads="1"/>
        </xdr:cNvSpPr>
      </xdr:nvSpPr>
      <xdr:spPr bwMode="auto">
        <a:xfrm>
          <a:off x="1912620" y="11360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591</xdr:row>
      <xdr:rowOff>0</xdr:rowOff>
    </xdr:from>
    <xdr:to>
      <xdr:col>1</xdr:col>
      <xdr:colOff>152400</xdr:colOff>
      <xdr:row>591</xdr:row>
      <xdr:rowOff>152400</xdr:rowOff>
    </xdr:to>
    <xdr:sp macro="" textlink="">
      <xdr:nvSpPr>
        <xdr:cNvPr id="102" name="AutoShape 4" descr="Bug">
          <a:hlinkClick xmlns:r="http://schemas.openxmlformats.org/officeDocument/2006/relationships" r:id="rId1"/>
          <a:extLst>
            <a:ext uri="{FF2B5EF4-FFF2-40B4-BE49-F238E27FC236}">
              <a16:creationId xmlns:a16="http://schemas.microsoft.com/office/drawing/2014/main" id="{B310A16B-1CA7-4C47-A675-EA2D7C9E7BDE}"/>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03" name="AutoShape 6" descr="Bug">
          <a:hlinkClick xmlns:r="http://schemas.openxmlformats.org/officeDocument/2006/relationships" r:id="rId2"/>
          <a:extLst>
            <a:ext uri="{FF2B5EF4-FFF2-40B4-BE49-F238E27FC236}">
              <a16:creationId xmlns:a16="http://schemas.microsoft.com/office/drawing/2014/main" id="{65419750-A371-4B1E-96C2-31005D5988FA}"/>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04" name="AutoShape 7" descr="Story">
          <a:hlinkClick xmlns:r="http://schemas.openxmlformats.org/officeDocument/2006/relationships" r:id="rId3"/>
          <a:extLst>
            <a:ext uri="{FF2B5EF4-FFF2-40B4-BE49-F238E27FC236}">
              <a16:creationId xmlns:a16="http://schemas.microsoft.com/office/drawing/2014/main" id="{010C0E71-C79D-4719-B9E1-5BA0970881A3}"/>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05" name="AutoShape 8" descr="Story">
          <a:hlinkClick xmlns:r="http://schemas.openxmlformats.org/officeDocument/2006/relationships" r:id="rId4"/>
          <a:extLst>
            <a:ext uri="{FF2B5EF4-FFF2-40B4-BE49-F238E27FC236}">
              <a16:creationId xmlns:a16="http://schemas.microsoft.com/office/drawing/2014/main" id="{F65C1ACE-66C4-461A-8D5A-F42DC538102D}"/>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06" name="AutoShape 9" descr="Story">
          <a:hlinkClick xmlns:r="http://schemas.openxmlformats.org/officeDocument/2006/relationships" r:id="rId5"/>
          <a:extLst>
            <a:ext uri="{FF2B5EF4-FFF2-40B4-BE49-F238E27FC236}">
              <a16:creationId xmlns:a16="http://schemas.microsoft.com/office/drawing/2014/main" id="{B37D3508-5879-4E8A-8629-5201DACE6BFA}"/>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07" name="AutoShape 10" descr="Story">
          <a:hlinkClick xmlns:r="http://schemas.openxmlformats.org/officeDocument/2006/relationships" r:id="rId6"/>
          <a:extLst>
            <a:ext uri="{FF2B5EF4-FFF2-40B4-BE49-F238E27FC236}">
              <a16:creationId xmlns:a16="http://schemas.microsoft.com/office/drawing/2014/main" id="{E8E258EE-2B2B-4FA7-9172-64F64F2D0AE3}"/>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08" name="AutoShape 13" descr="Story">
          <a:hlinkClick xmlns:r="http://schemas.openxmlformats.org/officeDocument/2006/relationships" r:id="rId4"/>
          <a:extLst>
            <a:ext uri="{FF2B5EF4-FFF2-40B4-BE49-F238E27FC236}">
              <a16:creationId xmlns:a16="http://schemas.microsoft.com/office/drawing/2014/main" id="{1F3BA034-F841-4751-B89E-0B19634024E7}"/>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09" name="AutoShape 14" descr="Story">
          <a:hlinkClick xmlns:r="http://schemas.openxmlformats.org/officeDocument/2006/relationships" r:id="rId4"/>
          <a:extLst>
            <a:ext uri="{FF2B5EF4-FFF2-40B4-BE49-F238E27FC236}">
              <a16:creationId xmlns:a16="http://schemas.microsoft.com/office/drawing/2014/main" id="{43DB6DEB-1E88-4C8F-932B-0D0EB57526C3}"/>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0" name="AutoShape 4" descr="Bug">
          <a:hlinkClick xmlns:r="http://schemas.openxmlformats.org/officeDocument/2006/relationships" r:id="rId1"/>
          <a:extLst>
            <a:ext uri="{FF2B5EF4-FFF2-40B4-BE49-F238E27FC236}">
              <a16:creationId xmlns:a16="http://schemas.microsoft.com/office/drawing/2014/main" id="{98AC3B90-9A99-4BBE-A362-479D6E74188B}"/>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1" name="AutoShape 6" descr="Bug">
          <a:hlinkClick xmlns:r="http://schemas.openxmlformats.org/officeDocument/2006/relationships" r:id="rId2"/>
          <a:extLst>
            <a:ext uri="{FF2B5EF4-FFF2-40B4-BE49-F238E27FC236}">
              <a16:creationId xmlns:a16="http://schemas.microsoft.com/office/drawing/2014/main" id="{9910DA5F-1E86-4FAC-B28A-17DB9AF9B2D1}"/>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2" name="AutoShape 7" descr="Story">
          <a:hlinkClick xmlns:r="http://schemas.openxmlformats.org/officeDocument/2006/relationships" r:id="rId3"/>
          <a:extLst>
            <a:ext uri="{FF2B5EF4-FFF2-40B4-BE49-F238E27FC236}">
              <a16:creationId xmlns:a16="http://schemas.microsoft.com/office/drawing/2014/main" id="{EBA9982A-BE5C-4E9E-AE96-E80304D13C71}"/>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3" name="AutoShape 8" descr="Story">
          <a:hlinkClick xmlns:r="http://schemas.openxmlformats.org/officeDocument/2006/relationships" r:id="rId4"/>
          <a:extLst>
            <a:ext uri="{FF2B5EF4-FFF2-40B4-BE49-F238E27FC236}">
              <a16:creationId xmlns:a16="http://schemas.microsoft.com/office/drawing/2014/main" id="{F9451C55-E641-41E5-AADF-BD5C27A46EFE}"/>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4" name="AutoShape 9" descr="Story">
          <a:hlinkClick xmlns:r="http://schemas.openxmlformats.org/officeDocument/2006/relationships" r:id="rId5"/>
          <a:extLst>
            <a:ext uri="{FF2B5EF4-FFF2-40B4-BE49-F238E27FC236}">
              <a16:creationId xmlns:a16="http://schemas.microsoft.com/office/drawing/2014/main" id="{06C11D51-C36D-4BF6-AA25-578A4B2A2F21}"/>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5" name="AutoShape 10" descr="Story">
          <a:hlinkClick xmlns:r="http://schemas.openxmlformats.org/officeDocument/2006/relationships" r:id="rId6"/>
          <a:extLst>
            <a:ext uri="{FF2B5EF4-FFF2-40B4-BE49-F238E27FC236}">
              <a16:creationId xmlns:a16="http://schemas.microsoft.com/office/drawing/2014/main" id="{AA49CF8C-F8AB-41F2-9A0F-605C6E575E2F}"/>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6" name="AutoShape 13" descr="Story">
          <a:hlinkClick xmlns:r="http://schemas.openxmlformats.org/officeDocument/2006/relationships" r:id="rId4"/>
          <a:extLst>
            <a:ext uri="{FF2B5EF4-FFF2-40B4-BE49-F238E27FC236}">
              <a16:creationId xmlns:a16="http://schemas.microsoft.com/office/drawing/2014/main" id="{3A41DF87-820F-4061-9870-9F17D66A57C4}"/>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591</xdr:row>
      <xdr:rowOff>0</xdr:rowOff>
    </xdr:from>
    <xdr:to>
      <xdr:col>1</xdr:col>
      <xdr:colOff>152400</xdr:colOff>
      <xdr:row>591</xdr:row>
      <xdr:rowOff>152400</xdr:rowOff>
    </xdr:to>
    <xdr:sp macro="" textlink="">
      <xdr:nvSpPr>
        <xdr:cNvPr id="117" name="AutoShape 14" descr="Story">
          <a:hlinkClick xmlns:r="http://schemas.openxmlformats.org/officeDocument/2006/relationships" r:id="rId4"/>
          <a:extLst>
            <a:ext uri="{FF2B5EF4-FFF2-40B4-BE49-F238E27FC236}">
              <a16:creationId xmlns:a16="http://schemas.microsoft.com/office/drawing/2014/main" id="{A8FE93B5-3DF8-46D5-8226-A0C07798EB9F}"/>
            </a:ext>
          </a:extLst>
        </xdr:cNvPr>
        <xdr:cNvSpPr>
          <a:spLocks noChangeAspect="1" noChangeArrowheads="1"/>
        </xdr:cNvSpPr>
      </xdr:nvSpPr>
      <xdr:spPr bwMode="auto">
        <a:xfrm>
          <a:off x="1912620" y="108485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18" name="AutoShape 4" descr="Bug">
          <a:hlinkClick xmlns:r="http://schemas.openxmlformats.org/officeDocument/2006/relationships" r:id="rId1"/>
          <a:extLst>
            <a:ext uri="{FF2B5EF4-FFF2-40B4-BE49-F238E27FC236}">
              <a16:creationId xmlns:a16="http://schemas.microsoft.com/office/drawing/2014/main" id="{8BCB508F-D7DC-407F-AC93-9FC65E7906A6}"/>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19" name="AutoShape 6" descr="Bug">
          <a:hlinkClick xmlns:r="http://schemas.openxmlformats.org/officeDocument/2006/relationships" r:id="rId2"/>
          <a:extLst>
            <a:ext uri="{FF2B5EF4-FFF2-40B4-BE49-F238E27FC236}">
              <a16:creationId xmlns:a16="http://schemas.microsoft.com/office/drawing/2014/main" id="{C19E06A0-DB63-45E4-8A6A-4E24A30F713C}"/>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0" name="AutoShape 7" descr="Story">
          <a:hlinkClick xmlns:r="http://schemas.openxmlformats.org/officeDocument/2006/relationships" r:id="rId3"/>
          <a:extLst>
            <a:ext uri="{FF2B5EF4-FFF2-40B4-BE49-F238E27FC236}">
              <a16:creationId xmlns:a16="http://schemas.microsoft.com/office/drawing/2014/main" id="{11B9A31F-79E9-4F5A-A086-68E772052165}"/>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1" name="AutoShape 8" descr="Story">
          <a:hlinkClick xmlns:r="http://schemas.openxmlformats.org/officeDocument/2006/relationships" r:id="rId4"/>
          <a:extLst>
            <a:ext uri="{FF2B5EF4-FFF2-40B4-BE49-F238E27FC236}">
              <a16:creationId xmlns:a16="http://schemas.microsoft.com/office/drawing/2014/main" id="{CADA7EFF-C594-4490-862E-62D33561ADE1}"/>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2" name="AutoShape 9" descr="Story">
          <a:hlinkClick xmlns:r="http://schemas.openxmlformats.org/officeDocument/2006/relationships" r:id="rId5"/>
          <a:extLst>
            <a:ext uri="{FF2B5EF4-FFF2-40B4-BE49-F238E27FC236}">
              <a16:creationId xmlns:a16="http://schemas.microsoft.com/office/drawing/2014/main" id="{2CCA5D1B-30AF-4989-8264-5AC0A3FCD5D8}"/>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3" name="AutoShape 10" descr="Story">
          <a:hlinkClick xmlns:r="http://schemas.openxmlformats.org/officeDocument/2006/relationships" r:id="rId6"/>
          <a:extLst>
            <a:ext uri="{FF2B5EF4-FFF2-40B4-BE49-F238E27FC236}">
              <a16:creationId xmlns:a16="http://schemas.microsoft.com/office/drawing/2014/main" id="{18864014-4E56-4024-B79C-09C56BD5E7E4}"/>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4" name="AutoShape 13" descr="Story">
          <a:hlinkClick xmlns:r="http://schemas.openxmlformats.org/officeDocument/2006/relationships" r:id="rId4"/>
          <a:extLst>
            <a:ext uri="{FF2B5EF4-FFF2-40B4-BE49-F238E27FC236}">
              <a16:creationId xmlns:a16="http://schemas.microsoft.com/office/drawing/2014/main" id="{1E850D65-5FD6-4CBE-BCBD-BB818E89DB99}"/>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5" name="AutoShape 14" descr="Story">
          <a:hlinkClick xmlns:r="http://schemas.openxmlformats.org/officeDocument/2006/relationships" r:id="rId4"/>
          <a:extLst>
            <a:ext uri="{FF2B5EF4-FFF2-40B4-BE49-F238E27FC236}">
              <a16:creationId xmlns:a16="http://schemas.microsoft.com/office/drawing/2014/main" id="{DD25F81F-4596-4272-8317-D3FAB2C93C06}"/>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6" name="AutoShape 4" descr="Bug">
          <a:hlinkClick xmlns:r="http://schemas.openxmlformats.org/officeDocument/2006/relationships" r:id="rId1"/>
          <a:extLst>
            <a:ext uri="{FF2B5EF4-FFF2-40B4-BE49-F238E27FC236}">
              <a16:creationId xmlns:a16="http://schemas.microsoft.com/office/drawing/2014/main" id="{D9C15470-82DC-4989-AE1A-A7A33450462F}"/>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7" name="AutoShape 6" descr="Bug">
          <a:hlinkClick xmlns:r="http://schemas.openxmlformats.org/officeDocument/2006/relationships" r:id="rId2"/>
          <a:extLst>
            <a:ext uri="{FF2B5EF4-FFF2-40B4-BE49-F238E27FC236}">
              <a16:creationId xmlns:a16="http://schemas.microsoft.com/office/drawing/2014/main" id="{7F105B7F-89B3-473A-A579-DE9269673622}"/>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8" name="AutoShape 7" descr="Story">
          <a:hlinkClick xmlns:r="http://schemas.openxmlformats.org/officeDocument/2006/relationships" r:id="rId3"/>
          <a:extLst>
            <a:ext uri="{FF2B5EF4-FFF2-40B4-BE49-F238E27FC236}">
              <a16:creationId xmlns:a16="http://schemas.microsoft.com/office/drawing/2014/main" id="{64F31E9F-4F96-4C98-915F-F7CC103F3CAE}"/>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29" name="AutoShape 8" descr="Story">
          <a:hlinkClick xmlns:r="http://schemas.openxmlformats.org/officeDocument/2006/relationships" r:id="rId4"/>
          <a:extLst>
            <a:ext uri="{FF2B5EF4-FFF2-40B4-BE49-F238E27FC236}">
              <a16:creationId xmlns:a16="http://schemas.microsoft.com/office/drawing/2014/main" id="{1E81E11C-D8B4-46B9-BAE7-3D8C9F3649ED}"/>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30" name="AutoShape 9" descr="Story">
          <a:hlinkClick xmlns:r="http://schemas.openxmlformats.org/officeDocument/2006/relationships" r:id="rId5"/>
          <a:extLst>
            <a:ext uri="{FF2B5EF4-FFF2-40B4-BE49-F238E27FC236}">
              <a16:creationId xmlns:a16="http://schemas.microsoft.com/office/drawing/2014/main" id="{A14559E0-4711-4CD6-8889-CE470A257A1E}"/>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31" name="AutoShape 10" descr="Story">
          <a:hlinkClick xmlns:r="http://schemas.openxmlformats.org/officeDocument/2006/relationships" r:id="rId6"/>
          <a:extLst>
            <a:ext uri="{FF2B5EF4-FFF2-40B4-BE49-F238E27FC236}">
              <a16:creationId xmlns:a16="http://schemas.microsoft.com/office/drawing/2014/main" id="{ADB3A4F2-E68B-4525-877C-52C88DAAF4D4}"/>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32" name="AutoShape 13" descr="Story">
          <a:hlinkClick xmlns:r="http://schemas.openxmlformats.org/officeDocument/2006/relationships" r:id="rId4"/>
          <a:extLst>
            <a:ext uri="{FF2B5EF4-FFF2-40B4-BE49-F238E27FC236}">
              <a16:creationId xmlns:a16="http://schemas.microsoft.com/office/drawing/2014/main" id="{9A71EE7A-BEAB-4FBF-AC88-CB69358F26B8}"/>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608</xdr:row>
      <xdr:rowOff>0</xdr:rowOff>
    </xdr:from>
    <xdr:to>
      <xdr:col>1</xdr:col>
      <xdr:colOff>152400</xdr:colOff>
      <xdr:row>608</xdr:row>
      <xdr:rowOff>152400</xdr:rowOff>
    </xdr:to>
    <xdr:sp macro="" textlink="">
      <xdr:nvSpPr>
        <xdr:cNvPr id="133" name="AutoShape 14" descr="Story">
          <a:hlinkClick xmlns:r="http://schemas.openxmlformats.org/officeDocument/2006/relationships" r:id="rId4"/>
          <a:extLst>
            <a:ext uri="{FF2B5EF4-FFF2-40B4-BE49-F238E27FC236}">
              <a16:creationId xmlns:a16="http://schemas.microsoft.com/office/drawing/2014/main" id="{56447A47-85A1-4ABB-A454-679676A75C42}"/>
            </a:ext>
          </a:extLst>
        </xdr:cNvPr>
        <xdr:cNvSpPr>
          <a:spLocks noChangeAspect="1" noChangeArrowheads="1"/>
        </xdr:cNvSpPr>
      </xdr:nvSpPr>
      <xdr:spPr bwMode="auto">
        <a:xfrm>
          <a:off x="1912620" y="111594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631</xdr:row>
      <xdr:rowOff>0</xdr:rowOff>
    </xdr:from>
    <xdr:ext cx="152400" cy="152400"/>
    <xdr:sp macro="" textlink="">
      <xdr:nvSpPr>
        <xdr:cNvPr id="134" name="AutoShape 4" descr="Bug">
          <a:hlinkClick xmlns:r="http://schemas.openxmlformats.org/officeDocument/2006/relationships" r:id="rId1"/>
          <a:extLst>
            <a:ext uri="{FF2B5EF4-FFF2-40B4-BE49-F238E27FC236}">
              <a16:creationId xmlns:a16="http://schemas.microsoft.com/office/drawing/2014/main" id="{37AEDF84-E863-40C2-ABBD-2C36A99F50FD}"/>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35" name="AutoShape 6" descr="Bug">
          <a:hlinkClick xmlns:r="http://schemas.openxmlformats.org/officeDocument/2006/relationships" r:id="rId2"/>
          <a:extLst>
            <a:ext uri="{FF2B5EF4-FFF2-40B4-BE49-F238E27FC236}">
              <a16:creationId xmlns:a16="http://schemas.microsoft.com/office/drawing/2014/main" id="{4CC4C6BE-1681-4E1F-9B7E-75D1AF0D5552}"/>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36" name="AutoShape 7" descr="Story">
          <a:hlinkClick xmlns:r="http://schemas.openxmlformats.org/officeDocument/2006/relationships" r:id="rId3"/>
          <a:extLst>
            <a:ext uri="{FF2B5EF4-FFF2-40B4-BE49-F238E27FC236}">
              <a16:creationId xmlns:a16="http://schemas.microsoft.com/office/drawing/2014/main" id="{5D37C9D0-119F-4FBB-AFB9-1532D52D5CF8}"/>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37" name="AutoShape 8" descr="Story">
          <a:hlinkClick xmlns:r="http://schemas.openxmlformats.org/officeDocument/2006/relationships" r:id="rId4"/>
          <a:extLst>
            <a:ext uri="{FF2B5EF4-FFF2-40B4-BE49-F238E27FC236}">
              <a16:creationId xmlns:a16="http://schemas.microsoft.com/office/drawing/2014/main" id="{C8EEB4C4-58F9-4461-BEF7-21A335E78523}"/>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38" name="AutoShape 9" descr="Story">
          <a:hlinkClick xmlns:r="http://schemas.openxmlformats.org/officeDocument/2006/relationships" r:id="rId5"/>
          <a:extLst>
            <a:ext uri="{FF2B5EF4-FFF2-40B4-BE49-F238E27FC236}">
              <a16:creationId xmlns:a16="http://schemas.microsoft.com/office/drawing/2014/main" id="{A9EDCC0D-82D7-47D3-9778-D7FB79249C76}"/>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39" name="AutoShape 10" descr="Story">
          <a:hlinkClick xmlns:r="http://schemas.openxmlformats.org/officeDocument/2006/relationships" r:id="rId6"/>
          <a:extLst>
            <a:ext uri="{FF2B5EF4-FFF2-40B4-BE49-F238E27FC236}">
              <a16:creationId xmlns:a16="http://schemas.microsoft.com/office/drawing/2014/main" id="{F4D814F0-0BD2-4D97-9ADD-F4C700AF947B}"/>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0" name="AutoShape 13" descr="Story">
          <a:hlinkClick xmlns:r="http://schemas.openxmlformats.org/officeDocument/2006/relationships" r:id="rId4"/>
          <a:extLst>
            <a:ext uri="{FF2B5EF4-FFF2-40B4-BE49-F238E27FC236}">
              <a16:creationId xmlns:a16="http://schemas.microsoft.com/office/drawing/2014/main" id="{7691C7B0-2E75-4747-A313-825E543AF380}"/>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1" name="AutoShape 14" descr="Story">
          <a:hlinkClick xmlns:r="http://schemas.openxmlformats.org/officeDocument/2006/relationships" r:id="rId4"/>
          <a:extLst>
            <a:ext uri="{FF2B5EF4-FFF2-40B4-BE49-F238E27FC236}">
              <a16:creationId xmlns:a16="http://schemas.microsoft.com/office/drawing/2014/main" id="{C1283D90-44BB-4884-9A43-EA1EA87C4CC4}"/>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2" name="AutoShape 4" descr="Bug">
          <a:hlinkClick xmlns:r="http://schemas.openxmlformats.org/officeDocument/2006/relationships" r:id="rId1"/>
          <a:extLst>
            <a:ext uri="{FF2B5EF4-FFF2-40B4-BE49-F238E27FC236}">
              <a16:creationId xmlns:a16="http://schemas.microsoft.com/office/drawing/2014/main" id="{FB3DF6F5-B61E-4A7B-8506-F42642DDF32C}"/>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3" name="AutoShape 6" descr="Bug">
          <a:hlinkClick xmlns:r="http://schemas.openxmlformats.org/officeDocument/2006/relationships" r:id="rId2"/>
          <a:extLst>
            <a:ext uri="{FF2B5EF4-FFF2-40B4-BE49-F238E27FC236}">
              <a16:creationId xmlns:a16="http://schemas.microsoft.com/office/drawing/2014/main" id="{3CD762BC-6254-4DAE-9C53-23AD65E30E6B}"/>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4" name="AutoShape 7" descr="Story">
          <a:hlinkClick xmlns:r="http://schemas.openxmlformats.org/officeDocument/2006/relationships" r:id="rId3"/>
          <a:extLst>
            <a:ext uri="{FF2B5EF4-FFF2-40B4-BE49-F238E27FC236}">
              <a16:creationId xmlns:a16="http://schemas.microsoft.com/office/drawing/2014/main" id="{08DE00DC-7AC1-4FF7-802D-D877A5292749}"/>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5" name="AutoShape 8" descr="Story">
          <a:hlinkClick xmlns:r="http://schemas.openxmlformats.org/officeDocument/2006/relationships" r:id="rId4"/>
          <a:extLst>
            <a:ext uri="{FF2B5EF4-FFF2-40B4-BE49-F238E27FC236}">
              <a16:creationId xmlns:a16="http://schemas.microsoft.com/office/drawing/2014/main" id="{7C307393-7B80-4E6B-A2A0-59015B9582A1}"/>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6" name="AutoShape 9" descr="Story">
          <a:hlinkClick xmlns:r="http://schemas.openxmlformats.org/officeDocument/2006/relationships" r:id="rId5"/>
          <a:extLst>
            <a:ext uri="{FF2B5EF4-FFF2-40B4-BE49-F238E27FC236}">
              <a16:creationId xmlns:a16="http://schemas.microsoft.com/office/drawing/2014/main" id="{5B4AB548-3CE4-433A-8C93-29EBDB18B1D5}"/>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7" name="AutoShape 10" descr="Story">
          <a:hlinkClick xmlns:r="http://schemas.openxmlformats.org/officeDocument/2006/relationships" r:id="rId6"/>
          <a:extLst>
            <a:ext uri="{FF2B5EF4-FFF2-40B4-BE49-F238E27FC236}">
              <a16:creationId xmlns:a16="http://schemas.microsoft.com/office/drawing/2014/main" id="{3A3AEAD3-9644-489D-A614-31916636E5ED}"/>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8" name="AutoShape 13" descr="Story">
          <a:hlinkClick xmlns:r="http://schemas.openxmlformats.org/officeDocument/2006/relationships" r:id="rId4"/>
          <a:extLst>
            <a:ext uri="{FF2B5EF4-FFF2-40B4-BE49-F238E27FC236}">
              <a16:creationId xmlns:a16="http://schemas.microsoft.com/office/drawing/2014/main" id="{5F9BB4BF-A76B-46FB-B5EB-A92D6A17876C}"/>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631</xdr:row>
      <xdr:rowOff>0</xdr:rowOff>
    </xdr:from>
    <xdr:ext cx="152400" cy="152400"/>
    <xdr:sp macro="" textlink="">
      <xdr:nvSpPr>
        <xdr:cNvPr id="149" name="AutoShape 14" descr="Story">
          <a:hlinkClick xmlns:r="http://schemas.openxmlformats.org/officeDocument/2006/relationships" r:id="rId4"/>
          <a:extLst>
            <a:ext uri="{FF2B5EF4-FFF2-40B4-BE49-F238E27FC236}">
              <a16:creationId xmlns:a16="http://schemas.microsoft.com/office/drawing/2014/main" id="{F082597C-68B0-4941-8EE8-7EE8C81F68A5}"/>
            </a:ext>
          </a:extLst>
        </xdr:cNvPr>
        <xdr:cNvSpPr>
          <a:spLocks noChangeAspect="1" noChangeArrowheads="1"/>
        </xdr:cNvSpPr>
      </xdr:nvSpPr>
      <xdr:spPr bwMode="auto">
        <a:xfrm>
          <a:off x="1912620" y="1158011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0" name="AutoShape 4" descr="Bug">
          <a:hlinkClick xmlns:r="http://schemas.openxmlformats.org/officeDocument/2006/relationships" r:id="rId1"/>
          <a:extLst>
            <a:ext uri="{FF2B5EF4-FFF2-40B4-BE49-F238E27FC236}">
              <a16:creationId xmlns:a16="http://schemas.microsoft.com/office/drawing/2014/main" id="{E12954EE-E4DB-43A3-A207-C408C8F4EC83}"/>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1" name="AutoShape 6" descr="Bug">
          <a:hlinkClick xmlns:r="http://schemas.openxmlformats.org/officeDocument/2006/relationships" r:id="rId2"/>
          <a:extLst>
            <a:ext uri="{FF2B5EF4-FFF2-40B4-BE49-F238E27FC236}">
              <a16:creationId xmlns:a16="http://schemas.microsoft.com/office/drawing/2014/main" id="{E5F36E20-4FE0-4C4C-84F4-BEEBA05E8D64}"/>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2" name="AutoShape 7" descr="Story">
          <a:hlinkClick xmlns:r="http://schemas.openxmlformats.org/officeDocument/2006/relationships" r:id="rId3"/>
          <a:extLst>
            <a:ext uri="{FF2B5EF4-FFF2-40B4-BE49-F238E27FC236}">
              <a16:creationId xmlns:a16="http://schemas.microsoft.com/office/drawing/2014/main" id="{6F8D248C-2AAA-48E7-A774-87B69C1899B6}"/>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3" name="AutoShape 8" descr="Story">
          <a:hlinkClick xmlns:r="http://schemas.openxmlformats.org/officeDocument/2006/relationships" r:id="rId4"/>
          <a:extLst>
            <a:ext uri="{FF2B5EF4-FFF2-40B4-BE49-F238E27FC236}">
              <a16:creationId xmlns:a16="http://schemas.microsoft.com/office/drawing/2014/main" id="{D7051596-E0A4-4141-93F3-FF0E9020BB50}"/>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4" name="AutoShape 9" descr="Story">
          <a:hlinkClick xmlns:r="http://schemas.openxmlformats.org/officeDocument/2006/relationships" r:id="rId5"/>
          <a:extLst>
            <a:ext uri="{FF2B5EF4-FFF2-40B4-BE49-F238E27FC236}">
              <a16:creationId xmlns:a16="http://schemas.microsoft.com/office/drawing/2014/main" id="{2FF8595A-B3E6-40C5-8900-968DB8410EC5}"/>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5" name="AutoShape 10" descr="Story">
          <a:hlinkClick xmlns:r="http://schemas.openxmlformats.org/officeDocument/2006/relationships" r:id="rId6"/>
          <a:extLst>
            <a:ext uri="{FF2B5EF4-FFF2-40B4-BE49-F238E27FC236}">
              <a16:creationId xmlns:a16="http://schemas.microsoft.com/office/drawing/2014/main" id="{F7057114-A9F2-4663-A242-B09721D90E84}"/>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6" name="AutoShape 13" descr="Story">
          <a:hlinkClick xmlns:r="http://schemas.openxmlformats.org/officeDocument/2006/relationships" r:id="rId4"/>
          <a:extLst>
            <a:ext uri="{FF2B5EF4-FFF2-40B4-BE49-F238E27FC236}">
              <a16:creationId xmlns:a16="http://schemas.microsoft.com/office/drawing/2014/main" id="{7D0BDD6A-2CFF-4C69-ADB5-416AC1656CFC}"/>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7" name="AutoShape 14" descr="Story">
          <a:hlinkClick xmlns:r="http://schemas.openxmlformats.org/officeDocument/2006/relationships" r:id="rId4"/>
          <a:extLst>
            <a:ext uri="{FF2B5EF4-FFF2-40B4-BE49-F238E27FC236}">
              <a16:creationId xmlns:a16="http://schemas.microsoft.com/office/drawing/2014/main" id="{6655E8AD-4AE1-4356-B2EE-8536D1CB15BA}"/>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8" name="AutoShape 4" descr="Bug">
          <a:hlinkClick xmlns:r="http://schemas.openxmlformats.org/officeDocument/2006/relationships" r:id="rId1"/>
          <a:extLst>
            <a:ext uri="{FF2B5EF4-FFF2-40B4-BE49-F238E27FC236}">
              <a16:creationId xmlns:a16="http://schemas.microsoft.com/office/drawing/2014/main" id="{14816BAA-1E01-4B4E-92EC-5258E41F78EF}"/>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59" name="AutoShape 6" descr="Bug">
          <a:hlinkClick xmlns:r="http://schemas.openxmlformats.org/officeDocument/2006/relationships" r:id="rId2"/>
          <a:extLst>
            <a:ext uri="{FF2B5EF4-FFF2-40B4-BE49-F238E27FC236}">
              <a16:creationId xmlns:a16="http://schemas.microsoft.com/office/drawing/2014/main" id="{14D5ED28-924F-43EC-8FEC-1DAD80091C31}"/>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60" name="AutoShape 7" descr="Story">
          <a:hlinkClick xmlns:r="http://schemas.openxmlformats.org/officeDocument/2006/relationships" r:id="rId3"/>
          <a:extLst>
            <a:ext uri="{FF2B5EF4-FFF2-40B4-BE49-F238E27FC236}">
              <a16:creationId xmlns:a16="http://schemas.microsoft.com/office/drawing/2014/main" id="{2F944A32-7D81-4528-9387-8677981A8825}"/>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61" name="AutoShape 8" descr="Story">
          <a:hlinkClick xmlns:r="http://schemas.openxmlformats.org/officeDocument/2006/relationships" r:id="rId4"/>
          <a:extLst>
            <a:ext uri="{FF2B5EF4-FFF2-40B4-BE49-F238E27FC236}">
              <a16:creationId xmlns:a16="http://schemas.microsoft.com/office/drawing/2014/main" id="{9C11F564-EBAD-4F21-B355-4B04EDDFE263}"/>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62" name="AutoShape 9" descr="Story">
          <a:hlinkClick xmlns:r="http://schemas.openxmlformats.org/officeDocument/2006/relationships" r:id="rId5"/>
          <a:extLst>
            <a:ext uri="{FF2B5EF4-FFF2-40B4-BE49-F238E27FC236}">
              <a16:creationId xmlns:a16="http://schemas.microsoft.com/office/drawing/2014/main" id="{673D6A8A-F023-46CB-B991-157E4A055B8A}"/>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63" name="AutoShape 10" descr="Story">
          <a:hlinkClick xmlns:r="http://schemas.openxmlformats.org/officeDocument/2006/relationships" r:id="rId6"/>
          <a:extLst>
            <a:ext uri="{FF2B5EF4-FFF2-40B4-BE49-F238E27FC236}">
              <a16:creationId xmlns:a16="http://schemas.microsoft.com/office/drawing/2014/main" id="{2E16CA7E-5AAF-40ED-AF94-36451E2B9280}"/>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64" name="AutoShape 13" descr="Story">
          <a:hlinkClick xmlns:r="http://schemas.openxmlformats.org/officeDocument/2006/relationships" r:id="rId4"/>
          <a:extLst>
            <a:ext uri="{FF2B5EF4-FFF2-40B4-BE49-F238E27FC236}">
              <a16:creationId xmlns:a16="http://schemas.microsoft.com/office/drawing/2014/main" id="{84C6E997-086A-47A9-BB0C-BBCA2D704246}"/>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65" name="AutoShape 14" descr="Story">
          <a:hlinkClick xmlns:r="http://schemas.openxmlformats.org/officeDocument/2006/relationships" r:id="rId4"/>
          <a:extLst>
            <a:ext uri="{FF2B5EF4-FFF2-40B4-BE49-F238E27FC236}">
              <a16:creationId xmlns:a16="http://schemas.microsoft.com/office/drawing/2014/main" id="{BB4BB7F3-C5F3-4A1A-91E8-A5D68FD5A77C}"/>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66" name="AutoShape 4" descr="Bug">
          <a:hlinkClick xmlns:r="http://schemas.openxmlformats.org/officeDocument/2006/relationships" r:id="rId1"/>
          <a:extLst>
            <a:ext uri="{FF2B5EF4-FFF2-40B4-BE49-F238E27FC236}">
              <a16:creationId xmlns:a16="http://schemas.microsoft.com/office/drawing/2014/main" id="{628FB799-BB5F-4A56-89AA-8601209AA94A}"/>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67" name="AutoShape 6" descr="Bug">
          <a:hlinkClick xmlns:r="http://schemas.openxmlformats.org/officeDocument/2006/relationships" r:id="rId2"/>
          <a:extLst>
            <a:ext uri="{FF2B5EF4-FFF2-40B4-BE49-F238E27FC236}">
              <a16:creationId xmlns:a16="http://schemas.microsoft.com/office/drawing/2014/main" id="{9FC99BDF-993E-4E65-B9EB-B6B33C10E5B4}"/>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68" name="AutoShape 7" descr="Story">
          <a:hlinkClick xmlns:r="http://schemas.openxmlformats.org/officeDocument/2006/relationships" r:id="rId3"/>
          <a:extLst>
            <a:ext uri="{FF2B5EF4-FFF2-40B4-BE49-F238E27FC236}">
              <a16:creationId xmlns:a16="http://schemas.microsoft.com/office/drawing/2014/main" id="{9B6AD696-C17A-4ED4-991C-867B0B257E13}"/>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69" name="AutoShape 8" descr="Story">
          <a:hlinkClick xmlns:r="http://schemas.openxmlformats.org/officeDocument/2006/relationships" r:id="rId4"/>
          <a:extLst>
            <a:ext uri="{FF2B5EF4-FFF2-40B4-BE49-F238E27FC236}">
              <a16:creationId xmlns:a16="http://schemas.microsoft.com/office/drawing/2014/main" id="{FFC58D8F-3608-40CB-A9A4-A6DDF3B6DBF2}"/>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0" name="AutoShape 9" descr="Story">
          <a:hlinkClick xmlns:r="http://schemas.openxmlformats.org/officeDocument/2006/relationships" r:id="rId5"/>
          <a:extLst>
            <a:ext uri="{FF2B5EF4-FFF2-40B4-BE49-F238E27FC236}">
              <a16:creationId xmlns:a16="http://schemas.microsoft.com/office/drawing/2014/main" id="{B8EE61F8-CBE9-4148-B479-2DC11AE45C95}"/>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1" name="AutoShape 10" descr="Story">
          <a:hlinkClick xmlns:r="http://schemas.openxmlformats.org/officeDocument/2006/relationships" r:id="rId6"/>
          <a:extLst>
            <a:ext uri="{FF2B5EF4-FFF2-40B4-BE49-F238E27FC236}">
              <a16:creationId xmlns:a16="http://schemas.microsoft.com/office/drawing/2014/main" id="{22F4B353-86D3-474E-923E-7793307FCA1B}"/>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2" name="AutoShape 13" descr="Story">
          <a:hlinkClick xmlns:r="http://schemas.openxmlformats.org/officeDocument/2006/relationships" r:id="rId4"/>
          <a:extLst>
            <a:ext uri="{FF2B5EF4-FFF2-40B4-BE49-F238E27FC236}">
              <a16:creationId xmlns:a16="http://schemas.microsoft.com/office/drawing/2014/main" id="{AC1564A8-BE3B-472D-985E-0D4178A61A50}"/>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3" name="AutoShape 14" descr="Story">
          <a:hlinkClick xmlns:r="http://schemas.openxmlformats.org/officeDocument/2006/relationships" r:id="rId4"/>
          <a:extLst>
            <a:ext uri="{FF2B5EF4-FFF2-40B4-BE49-F238E27FC236}">
              <a16:creationId xmlns:a16="http://schemas.microsoft.com/office/drawing/2014/main" id="{6E8CFE9F-94FD-483D-9752-B0BB51B46134}"/>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4" name="AutoShape 4" descr="Bug">
          <a:hlinkClick xmlns:r="http://schemas.openxmlformats.org/officeDocument/2006/relationships" r:id="rId1"/>
          <a:extLst>
            <a:ext uri="{FF2B5EF4-FFF2-40B4-BE49-F238E27FC236}">
              <a16:creationId xmlns:a16="http://schemas.microsoft.com/office/drawing/2014/main" id="{E22F99A1-405B-4929-A7FA-50238A1A98EC}"/>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5" name="AutoShape 6" descr="Bug">
          <a:hlinkClick xmlns:r="http://schemas.openxmlformats.org/officeDocument/2006/relationships" r:id="rId2"/>
          <a:extLst>
            <a:ext uri="{FF2B5EF4-FFF2-40B4-BE49-F238E27FC236}">
              <a16:creationId xmlns:a16="http://schemas.microsoft.com/office/drawing/2014/main" id="{14208A5A-59A4-4DC8-BD2F-ADB33BE18D79}"/>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6" name="AutoShape 7" descr="Story">
          <a:hlinkClick xmlns:r="http://schemas.openxmlformats.org/officeDocument/2006/relationships" r:id="rId3"/>
          <a:extLst>
            <a:ext uri="{FF2B5EF4-FFF2-40B4-BE49-F238E27FC236}">
              <a16:creationId xmlns:a16="http://schemas.microsoft.com/office/drawing/2014/main" id="{31971402-AAF8-474F-8E50-6E9F00302772}"/>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7" name="AutoShape 8" descr="Story">
          <a:hlinkClick xmlns:r="http://schemas.openxmlformats.org/officeDocument/2006/relationships" r:id="rId4"/>
          <a:extLst>
            <a:ext uri="{FF2B5EF4-FFF2-40B4-BE49-F238E27FC236}">
              <a16:creationId xmlns:a16="http://schemas.microsoft.com/office/drawing/2014/main" id="{AFFB0B11-E501-4770-AE9F-18291EC8B799}"/>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8" name="AutoShape 9" descr="Story">
          <a:hlinkClick xmlns:r="http://schemas.openxmlformats.org/officeDocument/2006/relationships" r:id="rId5"/>
          <a:extLst>
            <a:ext uri="{FF2B5EF4-FFF2-40B4-BE49-F238E27FC236}">
              <a16:creationId xmlns:a16="http://schemas.microsoft.com/office/drawing/2014/main" id="{3D3245C1-29B3-45A6-8536-3A1A77442A67}"/>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79" name="AutoShape 10" descr="Story">
          <a:hlinkClick xmlns:r="http://schemas.openxmlformats.org/officeDocument/2006/relationships" r:id="rId6"/>
          <a:extLst>
            <a:ext uri="{FF2B5EF4-FFF2-40B4-BE49-F238E27FC236}">
              <a16:creationId xmlns:a16="http://schemas.microsoft.com/office/drawing/2014/main" id="{7E2BBC0D-F41F-4146-8C3D-92CE48F0AEFA}"/>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80" name="AutoShape 13" descr="Story">
          <a:hlinkClick xmlns:r="http://schemas.openxmlformats.org/officeDocument/2006/relationships" r:id="rId4"/>
          <a:extLst>
            <a:ext uri="{FF2B5EF4-FFF2-40B4-BE49-F238E27FC236}">
              <a16:creationId xmlns:a16="http://schemas.microsoft.com/office/drawing/2014/main" id="{55FFB8AF-9402-464D-AFFA-5F6278E9CF06}"/>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81" name="AutoShape 14" descr="Story">
          <a:hlinkClick xmlns:r="http://schemas.openxmlformats.org/officeDocument/2006/relationships" r:id="rId4"/>
          <a:extLst>
            <a:ext uri="{FF2B5EF4-FFF2-40B4-BE49-F238E27FC236}">
              <a16:creationId xmlns:a16="http://schemas.microsoft.com/office/drawing/2014/main" id="{EF25272D-29FB-458F-9AEC-22C71F2686C9}"/>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2" name="AutoShape 4" descr="Bug">
          <a:hlinkClick xmlns:r="http://schemas.openxmlformats.org/officeDocument/2006/relationships" r:id="rId1"/>
          <a:extLst>
            <a:ext uri="{FF2B5EF4-FFF2-40B4-BE49-F238E27FC236}">
              <a16:creationId xmlns:a16="http://schemas.microsoft.com/office/drawing/2014/main" id="{CBD33CB8-85DC-426E-B2DC-9585BC635E63}"/>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3" name="AutoShape 6" descr="Bug">
          <a:hlinkClick xmlns:r="http://schemas.openxmlformats.org/officeDocument/2006/relationships" r:id="rId2"/>
          <a:extLst>
            <a:ext uri="{FF2B5EF4-FFF2-40B4-BE49-F238E27FC236}">
              <a16:creationId xmlns:a16="http://schemas.microsoft.com/office/drawing/2014/main" id="{77695C23-4C72-4E54-90EC-06842AD8DA99}"/>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4" name="AutoShape 7" descr="Story">
          <a:hlinkClick xmlns:r="http://schemas.openxmlformats.org/officeDocument/2006/relationships" r:id="rId3"/>
          <a:extLst>
            <a:ext uri="{FF2B5EF4-FFF2-40B4-BE49-F238E27FC236}">
              <a16:creationId xmlns:a16="http://schemas.microsoft.com/office/drawing/2014/main" id="{34FC4840-A5F4-4A6B-BE21-EE4BB786AC7B}"/>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5" name="AutoShape 8" descr="Story">
          <a:hlinkClick xmlns:r="http://schemas.openxmlformats.org/officeDocument/2006/relationships" r:id="rId4"/>
          <a:extLst>
            <a:ext uri="{FF2B5EF4-FFF2-40B4-BE49-F238E27FC236}">
              <a16:creationId xmlns:a16="http://schemas.microsoft.com/office/drawing/2014/main" id="{097C22D2-39A3-43BB-BCE3-35BA48AC76CB}"/>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6" name="AutoShape 9" descr="Story">
          <a:hlinkClick xmlns:r="http://schemas.openxmlformats.org/officeDocument/2006/relationships" r:id="rId5"/>
          <a:extLst>
            <a:ext uri="{FF2B5EF4-FFF2-40B4-BE49-F238E27FC236}">
              <a16:creationId xmlns:a16="http://schemas.microsoft.com/office/drawing/2014/main" id="{A7FFCB1D-7CF8-477F-B86B-4620DFF75A49}"/>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7" name="AutoShape 10" descr="Story">
          <a:hlinkClick xmlns:r="http://schemas.openxmlformats.org/officeDocument/2006/relationships" r:id="rId6"/>
          <a:extLst>
            <a:ext uri="{FF2B5EF4-FFF2-40B4-BE49-F238E27FC236}">
              <a16:creationId xmlns:a16="http://schemas.microsoft.com/office/drawing/2014/main" id="{77519F24-EA30-40A1-A1A7-0467A48AD55C}"/>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8" name="AutoShape 13" descr="Story">
          <a:hlinkClick xmlns:r="http://schemas.openxmlformats.org/officeDocument/2006/relationships" r:id="rId4"/>
          <a:extLst>
            <a:ext uri="{FF2B5EF4-FFF2-40B4-BE49-F238E27FC236}">
              <a16:creationId xmlns:a16="http://schemas.microsoft.com/office/drawing/2014/main" id="{2F93E7C0-D8A6-41D2-A885-2373A6A08962}"/>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89" name="AutoShape 14" descr="Story">
          <a:hlinkClick xmlns:r="http://schemas.openxmlformats.org/officeDocument/2006/relationships" r:id="rId4"/>
          <a:extLst>
            <a:ext uri="{FF2B5EF4-FFF2-40B4-BE49-F238E27FC236}">
              <a16:creationId xmlns:a16="http://schemas.microsoft.com/office/drawing/2014/main" id="{68A4CEC8-435E-4900-BE4F-610D00A3568A}"/>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0" name="AutoShape 4" descr="Bug">
          <a:hlinkClick xmlns:r="http://schemas.openxmlformats.org/officeDocument/2006/relationships" r:id="rId1"/>
          <a:extLst>
            <a:ext uri="{FF2B5EF4-FFF2-40B4-BE49-F238E27FC236}">
              <a16:creationId xmlns:a16="http://schemas.microsoft.com/office/drawing/2014/main" id="{274B40E2-5306-4E13-918A-A8BE9D94CD69}"/>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1" name="AutoShape 6" descr="Bug">
          <a:hlinkClick xmlns:r="http://schemas.openxmlformats.org/officeDocument/2006/relationships" r:id="rId2"/>
          <a:extLst>
            <a:ext uri="{FF2B5EF4-FFF2-40B4-BE49-F238E27FC236}">
              <a16:creationId xmlns:a16="http://schemas.microsoft.com/office/drawing/2014/main" id="{0E183912-B8CC-458C-B0EB-C784343C9D79}"/>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2" name="AutoShape 7" descr="Story">
          <a:hlinkClick xmlns:r="http://schemas.openxmlformats.org/officeDocument/2006/relationships" r:id="rId3"/>
          <a:extLst>
            <a:ext uri="{FF2B5EF4-FFF2-40B4-BE49-F238E27FC236}">
              <a16:creationId xmlns:a16="http://schemas.microsoft.com/office/drawing/2014/main" id="{59E1AA8F-74A6-43D6-9AE5-85733C508067}"/>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3" name="AutoShape 8" descr="Story">
          <a:hlinkClick xmlns:r="http://schemas.openxmlformats.org/officeDocument/2006/relationships" r:id="rId4"/>
          <a:extLst>
            <a:ext uri="{FF2B5EF4-FFF2-40B4-BE49-F238E27FC236}">
              <a16:creationId xmlns:a16="http://schemas.microsoft.com/office/drawing/2014/main" id="{522E9FDB-FCD9-4F76-9D7A-980AB397F91A}"/>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4" name="AutoShape 9" descr="Story">
          <a:hlinkClick xmlns:r="http://schemas.openxmlformats.org/officeDocument/2006/relationships" r:id="rId5"/>
          <a:extLst>
            <a:ext uri="{FF2B5EF4-FFF2-40B4-BE49-F238E27FC236}">
              <a16:creationId xmlns:a16="http://schemas.microsoft.com/office/drawing/2014/main" id="{B443E8C3-FEAB-42F9-A86C-8F7F03B55DDC}"/>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5" name="AutoShape 10" descr="Story">
          <a:hlinkClick xmlns:r="http://schemas.openxmlformats.org/officeDocument/2006/relationships" r:id="rId6"/>
          <a:extLst>
            <a:ext uri="{FF2B5EF4-FFF2-40B4-BE49-F238E27FC236}">
              <a16:creationId xmlns:a16="http://schemas.microsoft.com/office/drawing/2014/main" id="{A64F0267-F819-4A47-ADAB-7C5C84BFDDCA}"/>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6" name="AutoShape 13" descr="Story">
          <a:hlinkClick xmlns:r="http://schemas.openxmlformats.org/officeDocument/2006/relationships" r:id="rId4"/>
          <a:extLst>
            <a:ext uri="{FF2B5EF4-FFF2-40B4-BE49-F238E27FC236}">
              <a16:creationId xmlns:a16="http://schemas.microsoft.com/office/drawing/2014/main" id="{1B49A7D1-A3BC-48C5-BCFB-1FDADDEDA90E}"/>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609</xdr:row>
      <xdr:rowOff>0</xdr:rowOff>
    </xdr:from>
    <xdr:ext cx="152400" cy="152400"/>
    <xdr:sp macro="" textlink="">
      <xdr:nvSpPr>
        <xdr:cNvPr id="197" name="AutoShape 14" descr="Story">
          <a:hlinkClick xmlns:r="http://schemas.openxmlformats.org/officeDocument/2006/relationships" r:id="rId4"/>
          <a:extLst>
            <a:ext uri="{FF2B5EF4-FFF2-40B4-BE49-F238E27FC236}">
              <a16:creationId xmlns:a16="http://schemas.microsoft.com/office/drawing/2014/main" id="{AE314F4F-02A6-4FFE-A8A6-E9C4B73DB908}"/>
            </a:ext>
          </a:extLst>
        </xdr:cNvPr>
        <xdr:cNvSpPr>
          <a:spLocks noChangeAspect="1" noChangeArrowheads="1"/>
        </xdr:cNvSpPr>
      </xdr:nvSpPr>
      <xdr:spPr bwMode="auto">
        <a:xfrm>
          <a:off x="1912620" y="11177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98" name="AutoShape 4" descr="Bug">
          <a:hlinkClick xmlns:r="http://schemas.openxmlformats.org/officeDocument/2006/relationships" r:id="rId1"/>
          <a:extLst>
            <a:ext uri="{FF2B5EF4-FFF2-40B4-BE49-F238E27FC236}">
              <a16:creationId xmlns:a16="http://schemas.microsoft.com/office/drawing/2014/main" id="{9BB5AAF7-A4B1-413A-AAFC-267CCEF36999}"/>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199" name="AutoShape 6" descr="Bug">
          <a:hlinkClick xmlns:r="http://schemas.openxmlformats.org/officeDocument/2006/relationships" r:id="rId2"/>
          <a:extLst>
            <a:ext uri="{FF2B5EF4-FFF2-40B4-BE49-F238E27FC236}">
              <a16:creationId xmlns:a16="http://schemas.microsoft.com/office/drawing/2014/main" id="{599FA5FC-3036-47D7-A39C-50B72D64D319}"/>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0" name="AutoShape 7" descr="Story">
          <a:hlinkClick xmlns:r="http://schemas.openxmlformats.org/officeDocument/2006/relationships" r:id="rId3"/>
          <a:extLst>
            <a:ext uri="{FF2B5EF4-FFF2-40B4-BE49-F238E27FC236}">
              <a16:creationId xmlns:a16="http://schemas.microsoft.com/office/drawing/2014/main" id="{A60E40B0-C900-4CA7-97E1-BE8F16AFAF95}"/>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1" name="AutoShape 8" descr="Story">
          <a:hlinkClick xmlns:r="http://schemas.openxmlformats.org/officeDocument/2006/relationships" r:id="rId4"/>
          <a:extLst>
            <a:ext uri="{FF2B5EF4-FFF2-40B4-BE49-F238E27FC236}">
              <a16:creationId xmlns:a16="http://schemas.microsoft.com/office/drawing/2014/main" id="{E6D2EBE8-895F-4E18-A188-9FE5591E8A33}"/>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2" name="AutoShape 9" descr="Story">
          <a:hlinkClick xmlns:r="http://schemas.openxmlformats.org/officeDocument/2006/relationships" r:id="rId5"/>
          <a:extLst>
            <a:ext uri="{FF2B5EF4-FFF2-40B4-BE49-F238E27FC236}">
              <a16:creationId xmlns:a16="http://schemas.microsoft.com/office/drawing/2014/main" id="{1568EB9B-A7CF-4E2C-B7AB-CFDD46E93FBB}"/>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3" name="AutoShape 10" descr="Story">
          <a:hlinkClick xmlns:r="http://schemas.openxmlformats.org/officeDocument/2006/relationships" r:id="rId6"/>
          <a:extLst>
            <a:ext uri="{FF2B5EF4-FFF2-40B4-BE49-F238E27FC236}">
              <a16:creationId xmlns:a16="http://schemas.microsoft.com/office/drawing/2014/main" id="{C7A96571-6C9C-47EB-9B7B-DB347C4433AE}"/>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4" name="AutoShape 13" descr="Story">
          <a:hlinkClick xmlns:r="http://schemas.openxmlformats.org/officeDocument/2006/relationships" r:id="rId4"/>
          <a:extLst>
            <a:ext uri="{FF2B5EF4-FFF2-40B4-BE49-F238E27FC236}">
              <a16:creationId xmlns:a16="http://schemas.microsoft.com/office/drawing/2014/main" id="{21EF5B5D-8438-408C-97D0-E8AC90C63D55}"/>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5" name="AutoShape 14" descr="Story">
          <a:hlinkClick xmlns:r="http://schemas.openxmlformats.org/officeDocument/2006/relationships" r:id="rId4"/>
          <a:extLst>
            <a:ext uri="{FF2B5EF4-FFF2-40B4-BE49-F238E27FC236}">
              <a16:creationId xmlns:a16="http://schemas.microsoft.com/office/drawing/2014/main" id="{9C4CEE6E-4CDA-4B10-BCC5-B7E564469700}"/>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6" name="AutoShape 4" descr="Bug">
          <a:hlinkClick xmlns:r="http://schemas.openxmlformats.org/officeDocument/2006/relationships" r:id="rId1"/>
          <a:extLst>
            <a:ext uri="{FF2B5EF4-FFF2-40B4-BE49-F238E27FC236}">
              <a16:creationId xmlns:a16="http://schemas.microsoft.com/office/drawing/2014/main" id="{08D19071-EBFD-4E37-A40D-701EDC70DBC5}"/>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7" name="AutoShape 6" descr="Bug">
          <a:hlinkClick xmlns:r="http://schemas.openxmlformats.org/officeDocument/2006/relationships" r:id="rId2"/>
          <a:extLst>
            <a:ext uri="{FF2B5EF4-FFF2-40B4-BE49-F238E27FC236}">
              <a16:creationId xmlns:a16="http://schemas.microsoft.com/office/drawing/2014/main" id="{16DB049C-802E-454D-904C-940463180745}"/>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8" name="AutoShape 7" descr="Story">
          <a:hlinkClick xmlns:r="http://schemas.openxmlformats.org/officeDocument/2006/relationships" r:id="rId3"/>
          <a:extLst>
            <a:ext uri="{FF2B5EF4-FFF2-40B4-BE49-F238E27FC236}">
              <a16:creationId xmlns:a16="http://schemas.microsoft.com/office/drawing/2014/main" id="{B7824BE0-2BF8-4F39-B106-6D804BBCCF84}"/>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09" name="AutoShape 8" descr="Story">
          <a:hlinkClick xmlns:r="http://schemas.openxmlformats.org/officeDocument/2006/relationships" r:id="rId4"/>
          <a:extLst>
            <a:ext uri="{FF2B5EF4-FFF2-40B4-BE49-F238E27FC236}">
              <a16:creationId xmlns:a16="http://schemas.microsoft.com/office/drawing/2014/main" id="{50B2F977-C70D-49E0-A85C-48DD2ADC2CC5}"/>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10" name="AutoShape 9" descr="Story">
          <a:hlinkClick xmlns:r="http://schemas.openxmlformats.org/officeDocument/2006/relationships" r:id="rId5"/>
          <a:extLst>
            <a:ext uri="{FF2B5EF4-FFF2-40B4-BE49-F238E27FC236}">
              <a16:creationId xmlns:a16="http://schemas.microsoft.com/office/drawing/2014/main" id="{854EBE3E-26AF-45F7-B9B8-0D62004F927F}"/>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11" name="AutoShape 10" descr="Story">
          <a:hlinkClick xmlns:r="http://schemas.openxmlformats.org/officeDocument/2006/relationships" r:id="rId6"/>
          <a:extLst>
            <a:ext uri="{FF2B5EF4-FFF2-40B4-BE49-F238E27FC236}">
              <a16:creationId xmlns:a16="http://schemas.microsoft.com/office/drawing/2014/main" id="{5ECB1F3F-25FB-4E74-A4A9-1C13DABEAFC9}"/>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12" name="AutoShape 13" descr="Story">
          <a:hlinkClick xmlns:r="http://schemas.openxmlformats.org/officeDocument/2006/relationships" r:id="rId4"/>
          <a:extLst>
            <a:ext uri="{FF2B5EF4-FFF2-40B4-BE49-F238E27FC236}">
              <a16:creationId xmlns:a16="http://schemas.microsoft.com/office/drawing/2014/main" id="{CBC0AA18-E86B-4367-B5A9-4EFC1B241AF4}"/>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632</xdr:row>
      <xdr:rowOff>0</xdr:rowOff>
    </xdr:from>
    <xdr:ext cx="152400" cy="152400"/>
    <xdr:sp macro="" textlink="">
      <xdr:nvSpPr>
        <xdr:cNvPr id="213" name="AutoShape 14" descr="Story">
          <a:hlinkClick xmlns:r="http://schemas.openxmlformats.org/officeDocument/2006/relationships" r:id="rId4"/>
          <a:extLst>
            <a:ext uri="{FF2B5EF4-FFF2-40B4-BE49-F238E27FC236}">
              <a16:creationId xmlns:a16="http://schemas.microsoft.com/office/drawing/2014/main" id="{BB4DABE4-4167-495F-BF52-C1A8AD257620}"/>
            </a:ext>
          </a:extLst>
        </xdr:cNvPr>
        <xdr:cNvSpPr>
          <a:spLocks noChangeAspect="1" noChangeArrowheads="1"/>
        </xdr:cNvSpPr>
      </xdr:nvSpPr>
      <xdr:spPr bwMode="auto">
        <a:xfrm>
          <a:off x="1912620" y="1159840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14" name="AutoShape 4" descr="Bug">
          <a:hlinkClick xmlns:r="http://schemas.openxmlformats.org/officeDocument/2006/relationships" r:id="rId1"/>
          <a:extLst>
            <a:ext uri="{FF2B5EF4-FFF2-40B4-BE49-F238E27FC236}">
              <a16:creationId xmlns:a16="http://schemas.microsoft.com/office/drawing/2014/main" id="{9F210737-EDB0-46A7-AEC5-1B19D039E56B}"/>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15" name="AutoShape 6" descr="Bug">
          <a:hlinkClick xmlns:r="http://schemas.openxmlformats.org/officeDocument/2006/relationships" r:id="rId2"/>
          <a:extLst>
            <a:ext uri="{FF2B5EF4-FFF2-40B4-BE49-F238E27FC236}">
              <a16:creationId xmlns:a16="http://schemas.microsoft.com/office/drawing/2014/main" id="{F3829AA6-191B-4CAD-A0B1-B71D0C7121AC}"/>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16" name="AutoShape 7" descr="Story">
          <a:hlinkClick xmlns:r="http://schemas.openxmlformats.org/officeDocument/2006/relationships" r:id="rId3"/>
          <a:extLst>
            <a:ext uri="{FF2B5EF4-FFF2-40B4-BE49-F238E27FC236}">
              <a16:creationId xmlns:a16="http://schemas.microsoft.com/office/drawing/2014/main" id="{E9337DF4-19E1-4793-900E-B1D85F3CCCFF}"/>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17" name="AutoShape 8" descr="Story">
          <a:hlinkClick xmlns:r="http://schemas.openxmlformats.org/officeDocument/2006/relationships" r:id="rId4"/>
          <a:extLst>
            <a:ext uri="{FF2B5EF4-FFF2-40B4-BE49-F238E27FC236}">
              <a16:creationId xmlns:a16="http://schemas.microsoft.com/office/drawing/2014/main" id="{43410F87-6D83-40BD-84EA-181503A4EAF7}"/>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18" name="AutoShape 9" descr="Story">
          <a:hlinkClick xmlns:r="http://schemas.openxmlformats.org/officeDocument/2006/relationships" r:id="rId5"/>
          <a:extLst>
            <a:ext uri="{FF2B5EF4-FFF2-40B4-BE49-F238E27FC236}">
              <a16:creationId xmlns:a16="http://schemas.microsoft.com/office/drawing/2014/main" id="{89360C01-8FCA-4FDF-B615-A3A46FFC4312}"/>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19" name="AutoShape 10" descr="Story">
          <a:hlinkClick xmlns:r="http://schemas.openxmlformats.org/officeDocument/2006/relationships" r:id="rId6"/>
          <a:extLst>
            <a:ext uri="{FF2B5EF4-FFF2-40B4-BE49-F238E27FC236}">
              <a16:creationId xmlns:a16="http://schemas.microsoft.com/office/drawing/2014/main" id="{7B084B2C-928D-419A-BAAF-2915D4A570D0}"/>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0" name="AutoShape 13" descr="Story">
          <a:hlinkClick xmlns:r="http://schemas.openxmlformats.org/officeDocument/2006/relationships" r:id="rId4"/>
          <a:extLst>
            <a:ext uri="{FF2B5EF4-FFF2-40B4-BE49-F238E27FC236}">
              <a16:creationId xmlns:a16="http://schemas.microsoft.com/office/drawing/2014/main" id="{1BCDC904-5E4D-4264-8D58-21B85D7F9A1B}"/>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1" name="AutoShape 14" descr="Story">
          <a:hlinkClick xmlns:r="http://schemas.openxmlformats.org/officeDocument/2006/relationships" r:id="rId4"/>
          <a:extLst>
            <a:ext uri="{FF2B5EF4-FFF2-40B4-BE49-F238E27FC236}">
              <a16:creationId xmlns:a16="http://schemas.microsoft.com/office/drawing/2014/main" id="{8204EAFD-6F0D-4EEF-A715-A9BA7C396C22}"/>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2" name="AutoShape 4" descr="Bug">
          <a:hlinkClick xmlns:r="http://schemas.openxmlformats.org/officeDocument/2006/relationships" r:id="rId1"/>
          <a:extLst>
            <a:ext uri="{FF2B5EF4-FFF2-40B4-BE49-F238E27FC236}">
              <a16:creationId xmlns:a16="http://schemas.microsoft.com/office/drawing/2014/main" id="{D745EAF7-ED6C-409C-91DE-A7A9B6FB9E95}"/>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3" name="AutoShape 6" descr="Bug">
          <a:hlinkClick xmlns:r="http://schemas.openxmlformats.org/officeDocument/2006/relationships" r:id="rId2"/>
          <a:extLst>
            <a:ext uri="{FF2B5EF4-FFF2-40B4-BE49-F238E27FC236}">
              <a16:creationId xmlns:a16="http://schemas.microsoft.com/office/drawing/2014/main" id="{1F160770-BA53-4F3A-A61A-22227A894CED}"/>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4" name="AutoShape 7" descr="Story">
          <a:hlinkClick xmlns:r="http://schemas.openxmlformats.org/officeDocument/2006/relationships" r:id="rId3"/>
          <a:extLst>
            <a:ext uri="{FF2B5EF4-FFF2-40B4-BE49-F238E27FC236}">
              <a16:creationId xmlns:a16="http://schemas.microsoft.com/office/drawing/2014/main" id="{A59E9EAB-8896-4ECA-83EF-C3514286664E}"/>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5" name="AutoShape 8" descr="Story">
          <a:hlinkClick xmlns:r="http://schemas.openxmlformats.org/officeDocument/2006/relationships" r:id="rId4"/>
          <a:extLst>
            <a:ext uri="{FF2B5EF4-FFF2-40B4-BE49-F238E27FC236}">
              <a16:creationId xmlns:a16="http://schemas.microsoft.com/office/drawing/2014/main" id="{092AF99F-8AD6-4C6A-A8B0-F6E64F0E329F}"/>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6" name="AutoShape 9" descr="Story">
          <a:hlinkClick xmlns:r="http://schemas.openxmlformats.org/officeDocument/2006/relationships" r:id="rId5"/>
          <a:extLst>
            <a:ext uri="{FF2B5EF4-FFF2-40B4-BE49-F238E27FC236}">
              <a16:creationId xmlns:a16="http://schemas.microsoft.com/office/drawing/2014/main" id="{E1D92F1B-6650-4D53-8B7C-6B1D4137DD67}"/>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7" name="AutoShape 10" descr="Story">
          <a:hlinkClick xmlns:r="http://schemas.openxmlformats.org/officeDocument/2006/relationships" r:id="rId6"/>
          <a:extLst>
            <a:ext uri="{FF2B5EF4-FFF2-40B4-BE49-F238E27FC236}">
              <a16:creationId xmlns:a16="http://schemas.microsoft.com/office/drawing/2014/main" id="{39268FE3-B5D2-44D3-A9B3-6C9BB9F6E917}"/>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8" name="AutoShape 13" descr="Story">
          <a:hlinkClick xmlns:r="http://schemas.openxmlformats.org/officeDocument/2006/relationships" r:id="rId4"/>
          <a:extLst>
            <a:ext uri="{FF2B5EF4-FFF2-40B4-BE49-F238E27FC236}">
              <a16:creationId xmlns:a16="http://schemas.microsoft.com/office/drawing/2014/main" id="{F16DCC21-2AC5-45FE-A748-272DF857962D}"/>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610</xdr:row>
      <xdr:rowOff>0</xdr:rowOff>
    </xdr:from>
    <xdr:ext cx="152400" cy="152400"/>
    <xdr:sp macro="" textlink="">
      <xdr:nvSpPr>
        <xdr:cNvPr id="229" name="AutoShape 14" descr="Story">
          <a:hlinkClick xmlns:r="http://schemas.openxmlformats.org/officeDocument/2006/relationships" r:id="rId4"/>
          <a:extLst>
            <a:ext uri="{FF2B5EF4-FFF2-40B4-BE49-F238E27FC236}">
              <a16:creationId xmlns:a16="http://schemas.microsoft.com/office/drawing/2014/main" id="{3389C228-6999-4794-A7A2-E4C990AF43B7}"/>
            </a:ext>
          </a:extLst>
        </xdr:cNvPr>
        <xdr:cNvSpPr>
          <a:spLocks noChangeAspect="1" noChangeArrowheads="1"/>
        </xdr:cNvSpPr>
      </xdr:nvSpPr>
      <xdr:spPr bwMode="auto">
        <a:xfrm>
          <a:off x="1912620" y="111960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0" name="AutoShape 4" descr="Bug">
          <a:hlinkClick xmlns:r="http://schemas.openxmlformats.org/officeDocument/2006/relationships" r:id="rId1"/>
          <a:extLst>
            <a:ext uri="{FF2B5EF4-FFF2-40B4-BE49-F238E27FC236}">
              <a16:creationId xmlns:a16="http://schemas.microsoft.com/office/drawing/2014/main" id="{8AAF2E57-48A1-4924-B96E-84EE7494C8AC}"/>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1" name="AutoShape 6" descr="Bug">
          <a:hlinkClick xmlns:r="http://schemas.openxmlformats.org/officeDocument/2006/relationships" r:id="rId2"/>
          <a:extLst>
            <a:ext uri="{FF2B5EF4-FFF2-40B4-BE49-F238E27FC236}">
              <a16:creationId xmlns:a16="http://schemas.microsoft.com/office/drawing/2014/main" id="{254AE5E1-BB58-40C1-8D7A-6ABB4A17826B}"/>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2" name="AutoShape 7" descr="Story">
          <a:hlinkClick xmlns:r="http://schemas.openxmlformats.org/officeDocument/2006/relationships" r:id="rId3"/>
          <a:extLst>
            <a:ext uri="{FF2B5EF4-FFF2-40B4-BE49-F238E27FC236}">
              <a16:creationId xmlns:a16="http://schemas.microsoft.com/office/drawing/2014/main" id="{243D4E1C-F919-4443-BC31-822D4D8452CF}"/>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3" name="AutoShape 8" descr="Story">
          <a:hlinkClick xmlns:r="http://schemas.openxmlformats.org/officeDocument/2006/relationships" r:id="rId4"/>
          <a:extLst>
            <a:ext uri="{FF2B5EF4-FFF2-40B4-BE49-F238E27FC236}">
              <a16:creationId xmlns:a16="http://schemas.microsoft.com/office/drawing/2014/main" id="{B8091BAD-2510-4A23-A574-8DC35085786A}"/>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4" name="AutoShape 9" descr="Story">
          <a:hlinkClick xmlns:r="http://schemas.openxmlformats.org/officeDocument/2006/relationships" r:id="rId5"/>
          <a:extLst>
            <a:ext uri="{FF2B5EF4-FFF2-40B4-BE49-F238E27FC236}">
              <a16:creationId xmlns:a16="http://schemas.microsoft.com/office/drawing/2014/main" id="{152856EE-A569-4EDE-BA5B-9B21714DE17F}"/>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5" name="AutoShape 10" descr="Story">
          <a:hlinkClick xmlns:r="http://schemas.openxmlformats.org/officeDocument/2006/relationships" r:id="rId6"/>
          <a:extLst>
            <a:ext uri="{FF2B5EF4-FFF2-40B4-BE49-F238E27FC236}">
              <a16:creationId xmlns:a16="http://schemas.microsoft.com/office/drawing/2014/main" id="{17C1FB5C-D7BD-49E4-BE09-857D6A62F837}"/>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6" name="AutoShape 13" descr="Story">
          <a:hlinkClick xmlns:r="http://schemas.openxmlformats.org/officeDocument/2006/relationships" r:id="rId4"/>
          <a:extLst>
            <a:ext uri="{FF2B5EF4-FFF2-40B4-BE49-F238E27FC236}">
              <a16:creationId xmlns:a16="http://schemas.microsoft.com/office/drawing/2014/main" id="{35377312-CA21-4D58-8BA4-422DB0D3091C}"/>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7" name="AutoShape 14" descr="Story">
          <a:hlinkClick xmlns:r="http://schemas.openxmlformats.org/officeDocument/2006/relationships" r:id="rId4"/>
          <a:extLst>
            <a:ext uri="{FF2B5EF4-FFF2-40B4-BE49-F238E27FC236}">
              <a16:creationId xmlns:a16="http://schemas.microsoft.com/office/drawing/2014/main" id="{934BF50D-2F0A-48F6-96FA-04A6E084F16F}"/>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8" name="AutoShape 4" descr="Bug">
          <a:hlinkClick xmlns:r="http://schemas.openxmlformats.org/officeDocument/2006/relationships" r:id="rId1"/>
          <a:extLst>
            <a:ext uri="{FF2B5EF4-FFF2-40B4-BE49-F238E27FC236}">
              <a16:creationId xmlns:a16="http://schemas.microsoft.com/office/drawing/2014/main" id="{3AF7E0DC-05A2-4BFA-87E0-B148A81F62E4}"/>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39" name="AutoShape 6" descr="Bug">
          <a:hlinkClick xmlns:r="http://schemas.openxmlformats.org/officeDocument/2006/relationships" r:id="rId2"/>
          <a:extLst>
            <a:ext uri="{FF2B5EF4-FFF2-40B4-BE49-F238E27FC236}">
              <a16:creationId xmlns:a16="http://schemas.microsoft.com/office/drawing/2014/main" id="{DD8F4608-082E-4D3C-A17D-8930DF92D994}"/>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40" name="AutoShape 7" descr="Story">
          <a:hlinkClick xmlns:r="http://schemas.openxmlformats.org/officeDocument/2006/relationships" r:id="rId3"/>
          <a:extLst>
            <a:ext uri="{FF2B5EF4-FFF2-40B4-BE49-F238E27FC236}">
              <a16:creationId xmlns:a16="http://schemas.microsoft.com/office/drawing/2014/main" id="{A465E7E6-D5E3-4E8A-A8B6-465C8C017830}"/>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41" name="AutoShape 8" descr="Story">
          <a:hlinkClick xmlns:r="http://schemas.openxmlformats.org/officeDocument/2006/relationships" r:id="rId4"/>
          <a:extLst>
            <a:ext uri="{FF2B5EF4-FFF2-40B4-BE49-F238E27FC236}">
              <a16:creationId xmlns:a16="http://schemas.microsoft.com/office/drawing/2014/main" id="{D5306DB4-BD7F-4C7B-83C4-8DE4D4E13E4D}"/>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42" name="AutoShape 9" descr="Story">
          <a:hlinkClick xmlns:r="http://schemas.openxmlformats.org/officeDocument/2006/relationships" r:id="rId5"/>
          <a:extLst>
            <a:ext uri="{FF2B5EF4-FFF2-40B4-BE49-F238E27FC236}">
              <a16:creationId xmlns:a16="http://schemas.microsoft.com/office/drawing/2014/main" id="{B5D61D44-2939-455E-A3C4-B170E78C3C6F}"/>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43" name="AutoShape 10" descr="Story">
          <a:hlinkClick xmlns:r="http://schemas.openxmlformats.org/officeDocument/2006/relationships" r:id="rId6"/>
          <a:extLst>
            <a:ext uri="{FF2B5EF4-FFF2-40B4-BE49-F238E27FC236}">
              <a16:creationId xmlns:a16="http://schemas.microsoft.com/office/drawing/2014/main" id="{AE051A0F-1090-47D9-A783-6B3F639EB7F3}"/>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44" name="AutoShape 13" descr="Story">
          <a:hlinkClick xmlns:r="http://schemas.openxmlformats.org/officeDocument/2006/relationships" r:id="rId4"/>
          <a:extLst>
            <a:ext uri="{FF2B5EF4-FFF2-40B4-BE49-F238E27FC236}">
              <a16:creationId xmlns:a16="http://schemas.microsoft.com/office/drawing/2014/main" id="{B1DCAF2F-06B7-47EE-A19F-BC9951591C08}"/>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633</xdr:row>
      <xdr:rowOff>0</xdr:rowOff>
    </xdr:from>
    <xdr:ext cx="152400" cy="152400"/>
    <xdr:sp macro="" textlink="">
      <xdr:nvSpPr>
        <xdr:cNvPr id="245" name="AutoShape 14" descr="Story">
          <a:hlinkClick xmlns:r="http://schemas.openxmlformats.org/officeDocument/2006/relationships" r:id="rId4"/>
          <a:extLst>
            <a:ext uri="{FF2B5EF4-FFF2-40B4-BE49-F238E27FC236}">
              <a16:creationId xmlns:a16="http://schemas.microsoft.com/office/drawing/2014/main" id="{B5F6F361-6295-4782-8868-33D73D105627}"/>
            </a:ext>
          </a:extLst>
        </xdr:cNvPr>
        <xdr:cNvSpPr>
          <a:spLocks noChangeAspect="1" noChangeArrowheads="1"/>
        </xdr:cNvSpPr>
      </xdr:nvSpPr>
      <xdr:spPr bwMode="auto">
        <a:xfrm>
          <a:off x="1912620" y="116166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880</xdr:row>
      <xdr:rowOff>0</xdr:rowOff>
    </xdr:from>
    <xdr:to>
      <xdr:col>1</xdr:col>
      <xdr:colOff>152400</xdr:colOff>
      <xdr:row>880</xdr:row>
      <xdr:rowOff>152400</xdr:rowOff>
    </xdr:to>
    <xdr:sp macro="" textlink="">
      <xdr:nvSpPr>
        <xdr:cNvPr id="246" name="AutoShape 4" descr="Bug">
          <a:hlinkClick xmlns:r="http://schemas.openxmlformats.org/officeDocument/2006/relationships" r:id="rId1"/>
          <a:extLst>
            <a:ext uri="{FF2B5EF4-FFF2-40B4-BE49-F238E27FC236}">
              <a16:creationId xmlns:a16="http://schemas.microsoft.com/office/drawing/2014/main" id="{FB58DD9E-6EA1-4355-8C6C-E255ECF48243}"/>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47" name="AutoShape 6" descr="Bug">
          <a:hlinkClick xmlns:r="http://schemas.openxmlformats.org/officeDocument/2006/relationships" r:id="rId2"/>
          <a:extLst>
            <a:ext uri="{FF2B5EF4-FFF2-40B4-BE49-F238E27FC236}">
              <a16:creationId xmlns:a16="http://schemas.microsoft.com/office/drawing/2014/main" id="{31361658-D626-4FD0-8B41-280F2006CC3C}"/>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48" name="AutoShape 7" descr="Story">
          <a:hlinkClick xmlns:r="http://schemas.openxmlformats.org/officeDocument/2006/relationships" r:id="rId3"/>
          <a:extLst>
            <a:ext uri="{FF2B5EF4-FFF2-40B4-BE49-F238E27FC236}">
              <a16:creationId xmlns:a16="http://schemas.microsoft.com/office/drawing/2014/main" id="{9E45F7AD-9A51-4298-8DC8-982E36409311}"/>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49" name="AutoShape 8" descr="Story">
          <a:hlinkClick xmlns:r="http://schemas.openxmlformats.org/officeDocument/2006/relationships" r:id="rId4"/>
          <a:extLst>
            <a:ext uri="{FF2B5EF4-FFF2-40B4-BE49-F238E27FC236}">
              <a16:creationId xmlns:a16="http://schemas.microsoft.com/office/drawing/2014/main" id="{2734958D-DE35-4F26-8C33-5F1637E41769}"/>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0" name="AutoShape 9" descr="Story">
          <a:hlinkClick xmlns:r="http://schemas.openxmlformats.org/officeDocument/2006/relationships" r:id="rId5"/>
          <a:extLst>
            <a:ext uri="{FF2B5EF4-FFF2-40B4-BE49-F238E27FC236}">
              <a16:creationId xmlns:a16="http://schemas.microsoft.com/office/drawing/2014/main" id="{DFA641AB-0060-4B73-8130-B99FBD1F455E}"/>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1" name="AutoShape 10" descr="Story">
          <a:hlinkClick xmlns:r="http://schemas.openxmlformats.org/officeDocument/2006/relationships" r:id="rId6"/>
          <a:extLst>
            <a:ext uri="{FF2B5EF4-FFF2-40B4-BE49-F238E27FC236}">
              <a16:creationId xmlns:a16="http://schemas.microsoft.com/office/drawing/2014/main" id="{9A84C015-93BD-4064-B66D-3CC3CA232822}"/>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2" name="AutoShape 13" descr="Story">
          <a:hlinkClick xmlns:r="http://schemas.openxmlformats.org/officeDocument/2006/relationships" r:id="rId4"/>
          <a:extLst>
            <a:ext uri="{FF2B5EF4-FFF2-40B4-BE49-F238E27FC236}">
              <a16:creationId xmlns:a16="http://schemas.microsoft.com/office/drawing/2014/main" id="{276EC01E-792A-4210-9222-3E3B5F54874D}"/>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3" name="AutoShape 14" descr="Story">
          <a:hlinkClick xmlns:r="http://schemas.openxmlformats.org/officeDocument/2006/relationships" r:id="rId4"/>
          <a:extLst>
            <a:ext uri="{FF2B5EF4-FFF2-40B4-BE49-F238E27FC236}">
              <a16:creationId xmlns:a16="http://schemas.microsoft.com/office/drawing/2014/main" id="{41DE91DE-FFA8-4D17-BB70-2DB673B2899E}"/>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4" name="AutoShape 4" descr="Bug">
          <a:hlinkClick xmlns:r="http://schemas.openxmlformats.org/officeDocument/2006/relationships" r:id="rId1"/>
          <a:extLst>
            <a:ext uri="{FF2B5EF4-FFF2-40B4-BE49-F238E27FC236}">
              <a16:creationId xmlns:a16="http://schemas.microsoft.com/office/drawing/2014/main" id="{D38BF3F4-D3FF-4C70-B99F-1532EE0C3354}"/>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5" name="AutoShape 6" descr="Bug">
          <a:hlinkClick xmlns:r="http://schemas.openxmlformats.org/officeDocument/2006/relationships" r:id="rId2"/>
          <a:extLst>
            <a:ext uri="{FF2B5EF4-FFF2-40B4-BE49-F238E27FC236}">
              <a16:creationId xmlns:a16="http://schemas.microsoft.com/office/drawing/2014/main" id="{FB582AF4-E04C-4981-B91C-E63BB4FB93CB}"/>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6" name="AutoShape 7" descr="Story">
          <a:hlinkClick xmlns:r="http://schemas.openxmlformats.org/officeDocument/2006/relationships" r:id="rId3"/>
          <a:extLst>
            <a:ext uri="{FF2B5EF4-FFF2-40B4-BE49-F238E27FC236}">
              <a16:creationId xmlns:a16="http://schemas.microsoft.com/office/drawing/2014/main" id="{FB394E87-966B-440D-B086-AF31049D3B33}"/>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7" name="AutoShape 8" descr="Story">
          <a:hlinkClick xmlns:r="http://schemas.openxmlformats.org/officeDocument/2006/relationships" r:id="rId4"/>
          <a:extLst>
            <a:ext uri="{FF2B5EF4-FFF2-40B4-BE49-F238E27FC236}">
              <a16:creationId xmlns:a16="http://schemas.microsoft.com/office/drawing/2014/main" id="{D82828BE-6784-4ED0-933D-63870BDA729C}"/>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8" name="AutoShape 9" descr="Story">
          <a:hlinkClick xmlns:r="http://schemas.openxmlformats.org/officeDocument/2006/relationships" r:id="rId5"/>
          <a:extLst>
            <a:ext uri="{FF2B5EF4-FFF2-40B4-BE49-F238E27FC236}">
              <a16:creationId xmlns:a16="http://schemas.microsoft.com/office/drawing/2014/main" id="{5F82224B-53AF-491D-9EA6-C17A5864159D}"/>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59" name="AutoShape 10" descr="Story">
          <a:hlinkClick xmlns:r="http://schemas.openxmlformats.org/officeDocument/2006/relationships" r:id="rId6"/>
          <a:extLst>
            <a:ext uri="{FF2B5EF4-FFF2-40B4-BE49-F238E27FC236}">
              <a16:creationId xmlns:a16="http://schemas.microsoft.com/office/drawing/2014/main" id="{AA2E2001-44D9-4BE4-8F49-0E8F43B040F7}"/>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60" name="AutoShape 13" descr="Story">
          <a:hlinkClick xmlns:r="http://schemas.openxmlformats.org/officeDocument/2006/relationships" r:id="rId4"/>
          <a:extLst>
            <a:ext uri="{FF2B5EF4-FFF2-40B4-BE49-F238E27FC236}">
              <a16:creationId xmlns:a16="http://schemas.microsoft.com/office/drawing/2014/main" id="{9423B9DF-640E-430B-9FA1-1D39E5717BD1}"/>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880</xdr:row>
      <xdr:rowOff>0</xdr:rowOff>
    </xdr:from>
    <xdr:to>
      <xdr:col>1</xdr:col>
      <xdr:colOff>152400</xdr:colOff>
      <xdr:row>880</xdr:row>
      <xdr:rowOff>152400</xdr:rowOff>
    </xdr:to>
    <xdr:sp macro="" textlink="">
      <xdr:nvSpPr>
        <xdr:cNvPr id="261" name="AutoShape 14" descr="Story">
          <a:hlinkClick xmlns:r="http://schemas.openxmlformats.org/officeDocument/2006/relationships" r:id="rId4"/>
          <a:extLst>
            <a:ext uri="{FF2B5EF4-FFF2-40B4-BE49-F238E27FC236}">
              <a16:creationId xmlns:a16="http://schemas.microsoft.com/office/drawing/2014/main" id="{69B5184A-DF4A-44A7-A789-0CDC62E697A2}"/>
            </a:ext>
          </a:extLst>
        </xdr:cNvPr>
        <xdr:cNvSpPr>
          <a:spLocks noChangeAspect="1" noChangeArrowheads="1"/>
        </xdr:cNvSpPr>
      </xdr:nvSpPr>
      <xdr:spPr bwMode="auto">
        <a:xfrm>
          <a:off x="1912620" y="1613763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2" name="AutoShape 4" descr="Bug">
          <a:hlinkClick xmlns:r="http://schemas.openxmlformats.org/officeDocument/2006/relationships" r:id="rId1"/>
          <a:extLst>
            <a:ext uri="{FF2B5EF4-FFF2-40B4-BE49-F238E27FC236}">
              <a16:creationId xmlns:a16="http://schemas.microsoft.com/office/drawing/2014/main" id="{668DFB98-8DBD-49E9-8605-5BE50A6403C7}"/>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3" name="AutoShape 6" descr="Bug">
          <a:hlinkClick xmlns:r="http://schemas.openxmlformats.org/officeDocument/2006/relationships" r:id="rId2"/>
          <a:extLst>
            <a:ext uri="{FF2B5EF4-FFF2-40B4-BE49-F238E27FC236}">
              <a16:creationId xmlns:a16="http://schemas.microsoft.com/office/drawing/2014/main" id="{C157B421-9932-4AC7-9E3F-73CAF494F6A5}"/>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4" name="AutoShape 7" descr="Story">
          <a:hlinkClick xmlns:r="http://schemas.openxmlformats.org/officeDocument/2006/relationships" r:id="rId3"/>
          <a:extLst>
            <a:ext uri="{FF2B5EF4-FFF2-40B4-BE49-F238E27FC236}">
              <a16:creationId xmlns:a16="http://schemas.microsoft.com/office/drawing/2014/main" id="{AA5F99A2-4287-4F4F-9B59-69ECEDB99D83}"/>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5" name="AutoShape 8" descr="Story">
          <a:hlinkClick xmlns:r="http://schemas.openxmlformats.org/officeDocument/2006/relationships" r:id="rId4"/>
          <a:extLst>
            <a:ext uri="{FF2B5EF4-FFF2-40B4-BE49-F238E27FC236}">
              <a16:creationId xmlns:a16="http://schemas.microsoft.com/office/drawing/2014/main" id="{10D65C2A-B244-46D7-9F9E-79F3FE2DFDD8}"/>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6" name="AutoShape 9" descr="Story">
          <a:hlinkClick xmlns:r="http://schemas.openxmlformats.org/officeDocument/2006/relationships" r:id="rId5"/>
          <a:extLst>
            <a:ext uri="{FF2B5EF4-FFF2-40B4-BE49-F238E27FC236}">
              <a16:creationId xmlns:a16="http://schemas.microsoft.com/office/drawing/2014/main" id="{2EACCCF7-0768-4322-BE74-D4A17F33977A}"/>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7" name="AutoShape 10" descr="Story">
          <a:hlinkClick xmlns:r="http://schemas.openxmlformats.org/officeDocument/2006/relationships" r:id="rId6"/>
          <a:extLst>
            <a:ext uri="{FF2B5EF4-FFF2-40B4-BE49-F238E27FC236}">
              <a16:creationId xmlns:a16="http://schemas.microsoft.com/office/drawing/2014/main" id="{284E8E0E-F272-436E-811F-24739DD2AB86}"/>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8" name="AutoShape 13" descr="Story">
          <a:hlinkClick xmlns:r="http://schemas.openxmlformats.org/officeDocument/2006/relationships" r:id="rId4"/>
          <a:extLst>
            <a:ext uri="{FF2B5EF4-FFF2-40B4-BE49-F238E27FC236}">
              <a16:creationId xmlns:a16="http://schemas.microsoft.com/office/drawing/2014/main" id="{2A578111-424C-41FE-A724-D51677C2A1C4}"/>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69" name="AutoShape 14" descr="Story">
          <a:hlinkClick xmlns:r="http://schemas.openxmlformats.org/officeDocument/2006/relationships" r:id="rId4"/>
          <a:extLst>
            <a:ext uri="{FF2B5EF4-FFF2-40B4-BE49-F238E27FC236}">
              <a16:creationId xmlns:a16="http://schemas.microsoft.com/office/drawing/2014/main" id="{3D1A6353-6988-49CE-9BB4-3A4BC13CB436}"/>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70" name="AutoShape 4" descr="Bug">
          <a:hlinkClick xmlns:r="http://schemas.openxmlformats.org/officeDocument/2006/relationships" r:id="rId1"/>
          <a:extLst>
            <a:ext uri="{FF2B5EF4-FFF2-40B4-BE49-F238E27FC236}">
              <a16:creationId xmlns:a16="http://schemas.microsoft.com/office/drawing/2014/main" id="{647D75D3-7D84-4A13-8F6F-B2EED1E7C472}"/>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883</xdr:row>
      <xdr:rowOff>0</xdr:rowOff>
    </xdr:from>
    <xdr:to>
      <xdr:col>1</xdr:col>
      <xdr:colOff>152400</xdr:colOff>
      <xdr:row>883</xdr:row>
      <xdr:rowOff>152400</xdr:rowOff>
    </xdr:to>
    <xdr:sp macro="" textlink="">
      <xdr:nvSpPr>
        <xdr:cNvPr id="274" name="AutoShape 9" descr="Story">
          <a:extLst>
            <a:ext uri="{FF2B5EF4-FFF2-40B4-BE49-F238E27FC236}">
              <a16:creationId xmlns:a16="http://schemas.microsoft.com/office/drawing/2014/main" id="{70ED6BCC-FB3E-46CA-AA1B-7148B1B678F8}"/>
            </a:ext>
          </a:extLst>
        </xdr:cNvPr>
        <xdr:cNvSpPr>
          <a:spLocks noChangeAspect="1" noChangeArrowheads="1"/>
        </xdr:cNvSpPr>
      </xdr:nvSpPr>
      <xdr:spPr bwMode="auto">
        <a:xfrm>
          <a:off x="1912620" y="1619250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78" name="AutoShape 4" descr="Bug">
          <a:hlinkClick xmlns:r="http://schemas.openxmlformats.org/officeDocument/2006/relationships" r:id="rId1"/>
          <a:extLst>
            <a:ext uri="{FF2B5EF4-FFF2-40B4-BE49-F238E27FC236}">
              <a16:creationId xmlns:a16="http://schemas.microsoft.com/office/drawing/2014/main" id="{18CB5BFC-B9F9-4277-9286-789D55F378B1}"/>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79" name="AutoShape 6" descr="Bug">
          <a:hlinkClick xmlns:r="http://schemas.openxmlformats.org/officeDocument/2006/relationships" r:id="rId2"/>
          <a:extLst>
            <a:ext uri="{FF2B5EF4-FFF2-40B4-BE49-F238E27FC236}">
              <a16:creationId xmlns:a16="http://schemas.microsoft.com/office/drawing/2014/main" id="{27C8EEB2-A9EE-4555-AEFD-7BBD3E25602F}"/>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0" name="AutoShape 7" descr="Story">
          <a:hlinkClick xmlns:r="http://schemas.openxmlformats.org/officeDocument/2006/relationships" r:id="rId3"/>
          <a:extLst>
            <a:ext uri="{FF2B5EF4-FFF2-40B4-BE49-F238E27FC236}">
              <a16:creationId xmlns:a16="http://schemas.microsoft.com/office/drawing/2014/main" id="{8CE7F50A-1F9B-4213-A4C7-86544A1A8AA0}"/>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1" name="AutoShape 8" descr="Story">
          <a:hlinkClick xmlns:r="http://schemas.openxmlformats.org/officeDocument/2006/relationships" r:id="rId4"/>
          <a:extLst>
            <a:ext uri="{FF2B5EF4-FFF2-40B4-BE49-F238E27FC236}">
              <a16:creationId xmlns:a16="http://schemas.microsoft.com/office/drawing/2014/main" id="{A68D0DAE-A477-4EC8-A8A4-10066AD8CDF1}"/>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2" name="AutoShape 9" descr="Story">
          <a:hlinkClick xmlns:r="http://schemas.openxmlformats.org/officeDocument/2006/relationships" r:id="rId5"/>
          <a:extLst>
            <a:ext uri="{FF2B5EF4-FFF2-40B4-BE49-F238E27FC236}">
              <a16:creationId xmlns:a16="http://schemas.microsoft.com/office/drawing/2014/main" id="{68804382-4F5D-4457-9DC2-5BAE4D267864}"/>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3" name="AutoShape 10" descr="Story">
          <a:hlinkClick xmlns:r="http://schemas.openxmlformats.org/officeDocument/2006/relationships" r:id="rId6"/>
          <a:extLst>
            <a:ext uri="{FF2B5EF4-FFF2-40B4-BE49-F238E27FC236}">
              <a16:creationId xmlns:a16="http://schemas.microsoft.com/office/drawing/2014/main" id="{0907BB2D-9544-4016-AA00-FB41D7DA5E96}"/>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4" name="AutoShape 13" descr="Story">
          <a:hlinkClick xmlns:r="http://schemas.openxmlformats.org/officeDocument/2006/relationships" r:id="rId4"/>
          <a:extLst>
            <a:ext uri="{FF2B5EF4-FFF2-40B4-BE49-F238E27FC236}">
              <a16:creationId xmlns:a16="http://schemas.microsoft.com/office/drawing/2014/main" id="{E14DCE6F-5205-4129-AE0F-481D9350D10E}"/>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5" name="AutoShape 14" descr="Story">
          <a:hlinkClick xmlns:r="http://schemas.openxmlformats.org/officeDocument/2006/relationships" r:id="rId4"/>
          <a:extLst>
            <a:ext uri="{FF2B5EF4-FFF2-40B4-BE49-F238E27FC236}">
              <a16:creationId xmlns:a16="http://schemas.microsoft.com/office/drawing/2014/main" id="{1B785DC8-559C-4D0E-8246-3AA6F7565277}"/>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6" name="AutoShape 4" descr="Bug">
          <a:hlinkClick xmlns:r="http://schemas.openxmlformats.org/officeDocument/2006/relationships" r:id="rId1"/>
          <a:extLst>
            <a:ext uri="{FF2B5EF4-FFF2-40B4-BE49-F238E27FC236}">
              <a16:creationId xmlns:a16="http://schemas.microsoft.com/office/drawing/2014/main" id="{DA1E70DE-EF44-4A0F-A350-D93CA23FEE90}"/>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7" name="AutoShape 6" descr="Bug">
          <a:hlinkClick xmlns:r="http://schemas.openxmlformats.org/officeDocument/2006/relationships" r:id="rId2"/>
          <a:extLst>
            <a:ext uri="{FF2B5EF4-FFF2-40B4-BE49-F238E27FC236}">
              <a16:creationId xmlns:a16="http://schemas.microsoft.com/office/drawing/2014/main" id="{6A63E17C-2254-4EC3-9C92-58CDC381DDD8}"/>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8" name="AutoShape 7" descr="Story">
          <a:hlinkClick xmlns:r="http://schemas.openxmlformats.org/officeDocument/2006/relationships" r:id="rId3"/>
          <a:extLst>
            <a:ext uri="{FF2B5EF4-FFF2-40B4-BE49-F238E27FC236}">
              <a16:creationId xmlns:a16="http://schemas.microsoft.com/office/drawing/2014/main" id="{7AE6E901-5218-4E3F-A2D3-BBCFDEC1F363}"/>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89" name="AutoShape 8" descr="Story">
          <a:hlinkClick xmlns:r="http://schemas.openxmlformats.org/officeDocument/2006/relationships" r:id="rId4"/>
          <a:extLst>
            <a:ext uri="{FF2B5EF4-FFF2-40B4-BE49-F238E27FC236}">
              <a16:creationId xmlns:a16="http://schemas.microsoft.com/office/drawing/2014/main" id="{ED39D52E-B5EE-4B0B-B713-285ED802EC73}"/>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90" name="AutoShape 9" descr="Story">
          <a:hlinkClick xmlns:r="http://schemas.openxmlformats.org/officeDocument/2006/relationships" r:id="rId5"/>
          <a:extLst>
            <a:ext uri="{FF2B5EF4-FFF2-40B4-BE49-F238E27FC236}">
              <a16:creationId xmlns:a16="http://schemas.microsoft.com/office/drawing/2014/main" id="{CAAE592E-761D-4AFA-9B9F-02F0F2B96979}"/>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91" name="AutoShape 10" descr="Story">
          <a:hlinkClick xmlns:r="http://schemas.openxmlformats.org/officeDocument/2006/relationships" r:id="rId6"/>
          <a:extLst>
            <a:ext uri="{FF2B5EF4-FFF2-40B4-BE49-F238E27FC236}">
              <a16:creationId xmlns:a16="http://schemas.microsoft.com/office/drawing/2014/main" id="{15C3791E-EE63-4CAF-AF9B-8034FA84D644}"/>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92" name="AutoShape 13" descr="Story">
          <a:hlinkClick xmlns:r="http://schemas.openxmlformats.org/officeDocument/2006/relationships" r:id="rId4"/>
          <a:extLst>
            <a:ext uri="{FF2B5EF4-FFF2-40B4-BE49-F238E27FC236}">
              <a16:creationId xmlns:a16="http://schemas.microsoft.com/office/drawing/2014/main" id="{3261A2AD-B735-4F6B-94D2-5F500F57B50F}"/>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659</xdr:row>
      <xdr:rowOff>0</xdr:rowOff>
    </xdr:from>
    <xdr:to>
      <xdr:col>1</xdr:col>
      <xdr:colOff>152400</xdr:colOff>
      <xdr:row>659</xdr:row>
      <xdr:rowOff>152400</xdr:rowOff>
    </xdr:to>
    <xdr:sp macro="" textlink="">
      <xdr:nvSpPr>
        <xdr:cNvPr id="293" name="AutoShape 14" descr="Story">
          <a:hlinkClick xmlns:r="http://schemas.openxmlformats.org/officeDocument/2006/relationships" r:id="rId4"/>
          <a:extLst>
            <a:ext uri="{FF2B5EF4-FFF2-40B4-BE49-F238E27FC236}">
              <a16:creationId xmlns:a16="http://schemas.microsoft.com/office/drawing/2014/main" id="{94BCE70E-583B-4864-90DC-8B6C6F8FC7C2}"/>
            </a:ext>
          </a:extLst>
        </xdr:cNvPr>
        <xdr:cNvSpPr>
          <a:spLocks noChangeAspect="1" noChangeArrowheads="1"/>
        </xdr:cNvSpPr>
      </xdr:nvSpPr>
      <xdr:spPr bwMode="auto">
        <a:xfrm>
          <a:off x="1912620" y="120921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660</xdr:row>
      <xdr:rowOff>0</xdr:rowOff>
    </xdr:from>
    <xdr:ext cx="152400" cy="152400"/>
    <xdr:sp macro="" textlink="">
      <xdr:nvSpPr>
        <xdr:cNvPr id="294" name="AutoShape 4" descr="Bug">
          <a:hlinkClick xmlns:r="http://schemas.openxmlformats.org/officeDocument/2006/relationships" r:id="rId1"/>
          <a:extLst>
            <a:ext uri="{FF2B5EF4-FFF2-40B4-BE49-F238E27FC236}">
              <a16:creationId xmlns:a16="http://schemas.microsoft.com/office/drawing/2014/main" id="{BA32B1FC-12D2-482A-99FE-2CE9C684E7CB}"/>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295" name="AutoShape 6" descr="Bug">
          <a:hlinkClick xmlns:r="http://schemas.openxmlformats.org/officeDocument/2006/relationships" r:id="rId2"/>
          <a:extLst>
            <a:ext uri="{FF2B5EF4-FFF2-40B4-BE49-F238E27FC236}">
              <a16:creationId xmlns:a16="http://schemas.microsoft.com/office/drawing/2014/main" id="{C4ADB4AA-D0EA-4E4D-ADED-43D0FA43B8D3}"/>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296" name="AutoShape 7" descr="Story">
          <a:hlinkClick xmlns:r="http://schemas.openxmlformats.org/officeDocument/2006/relationships" r:id="rId3"/>
          <a:extLst>
            <a:ext uri="{FF2B5EF4-FFF2-40B4-BE49-F238E27FC236}">
              <a16:creationId xmlns:a16="http://schemas.microsoft.com/office/drawing/2014/main" id="{F21E7D50-73AE-4C31-B161-0CF5A38EB53F}"/>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297" name="AutoShape 8" descr="Story">
          <a:hlinkClick xmlns:r="http://schemas.openxmlformats.org/officeDocument/2006/relationships" r:id="rId4"/>
          <a:extLst>
            <a:ext uri="{FF2B5EF4-FFF2-40B4-BE49-F238E27FC236}">
              <a16:creationId xmlns:a16="http://schemas.microsoft.com/office/drawing/2014/main" id="{7DE14BE4-0E9B-4058-81C0-7EB93E8D2038}"/>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298" name="AutoShape 9" descr="Story">
          <a:hlinkClick xmlns:r="http://schemas.openxmlformats.org/officeDocument/2006/relationships" r:id="rId5"/>
          <a:extLst>
            <a:ext uri="{FF2B5EF4-FFF2-40B4-BE49-F238E27FC236}">
              <a16:creationId xmlns:a16="http://schemas.microsoft.com/office/drawing/2014/main" id="{BEBFA6CC-82DE-4874-942D-065A24A44C79}"/>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299" name="AutoShape 10" descr="Story">
          <a:hlinkClick xmlns:r="http://schemas.openxmlformats.org/officeDocument/2006/relationships" r:id="rId6"/>
          <a:extLst>
            <a:ext uri="{FF2B5EF4-FFF2-40B4-BE49-F238E27FC236}">
              <a16:creationId xmlns:a16="http://schemas.microsoft.com/office/drawing/2014/main" id="{AD784C5E-4CFD-42FD-AA46-AC7439209059}"/>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0" name="AutoShape 13" descr="Story">
          <a:hlinkClick xmlns:r="http://schemas.openxmlformats.org/officeDocument/2006/relationships" r:id="rId4"/>
          <a:extLst>
            <a:ext uri="{FF2B5EF4-FFF2-40B4-BE49-F238E27FC236}">
              <a16:creationId xmlns:a16="http://schemas.microsoft.com/office/drawing/2014/main" id="{5F7ADADD-8F7B-41AB-B894-11AE2237B137}"/>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1" name="AutoShape 14" descr="Story">
          <a:hlinkClick xmlns:r="http://schemas.openxmlformats.org/officeDocument/2006/relationships" r:id="rId4"/>
          <a:extLst>
            <a:ext uri="{FF2B5EF4-FFF2-40B4-BE49-F238E27FC236}">
              <a16:creationId xmlns:a16="http://schemas.microsoft.com/office/drawing/2014/main" id="{3D5F382B-1A0C-491D-A583-2CA238D53EE0}"/>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2" name="AutoShape 4" descr="Bug">
          <a:hlinkClick xmlns:r="http://schemas.openxmlformats.org/officeDocument/2006/relationships" r:id="rId1"/>
          <a:extLst>
            <a:ext uri="{FF2B5EF4-FFF2-40B4-BE49-F238E27FC236}">
              <a16:creationId xmlns:a16="http://schemas.microsoft.com/office/drawing/2014/main" id="{6600DAD2-F923-4482-9819-D0A5D79C357C}"/>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3" name="AutoShape 6" descr="Bug">
          <a:hlinkClick xmlns:r="http://schemas.openxmlformats.org/officeDocument/2006/relationships" r:id="rId2"/>
          <a:extLst>
            <a:ext uri="{FF2B5EF4-FFF2-40B4-BE49-F238E27FC236}">
              <a16:creationId xmlns:a16="http://schemas.microsoft.com/office/drawing/2014/main" id="{CE5A86B1-186D-496D-9B78-8A95F0AE96F1}"/>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4" name="AutoShape 7" descr="Story">
          <a:hlinkClick xmlns:r="http://schemas.openxmlformats.org/officeDocument/2006/relationships" r:id="rId3"/>
          <a:extLst>
            <a:ext uri="{FF2B5EF4-FFF2-40B4-BE49-F238E27FC236}">
              <a16:creationId xmlns:a16="http://schemas.microsoft.com/office/drawing/2014/main" id="{F13CC54F-13D3-44FE-A2DA-684AAB1DEA20}"/>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5" name="AutoShape 8" descr="Story">
          <a:hlinkClick xmlns:r="http://schemas.openxmlformats.org/officeDocument/2006/relationships" r:id="rId4"/>
          <a:extLst>
            <a:ext uri="{FF2B5EF4-FFF2-40B4-BE49-F238E27FC236}">
              <a16:creationId xmlns:a16="http://schemas.microsoft.com/office/drawing/2014/main" id="{900E912C-C7C7-4094-B53B-A7DE865C5775}"/>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6" name="AutoShape 9" descr="Story">
          <a:hlinkClick xmlns:r="http://schemas.openxmlformats.org/officeDocument/2006/relationships" r:id="rId5"/>
          <a:extLst>
            <a:ext uri="{FF2B5EF4-FFF2-40B4-BE49-F238E27FC236}">
              <a16:creationId xmlns:a16="http://schemas.microsoft.com/office/drawing/2014/main" id="{26CB0725-0237-4042-960C-9DB4779492C0}"/>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7" name="AutoShape 10" descr="Story">
          <a:hlinkClick xmlns:r="http://schemas.openxmlformats.org/officeDocument/2006/relationships" r:id="rId6"/>
          <a:extLst>
            <a:ext uri="{FF2B5EF4-FFF2-40B4-BE49-F238E27FC236}">
              <a16:creationId xmlns:a16="http://schemas.microsoft.com/office/drawing/2014/main" id="{DCDEA1E2-5357-497A-8BEB-DA76B561AE16}"/>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8" name="AutoShape 13" descr="Story">
          <a:hlinkClick xmlns:r="http://schemas.openxmlformats.org/officeDocument/2006/relationships" r:id="rId4"/>
          <a:extLst>
            <a:ext uri="{FF2B5EF4-FFF2-40B4-BE49-F238E27FC236}">
              <a16:creationId xmlns:a16="http://schemas.microsoft.com/office/drawing/2014/main" id="{CF534255-62B3-4B43-8C94-45903B2E37A3}"/>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09" name="AutoShape 14" descr="Story">
          <a:hlinkClick xmlns:r="http://schemas.openxmlformats.org/officeDocument/2006/relationships" r:id="rId4"/>
          <a:extLst>
            <a:ext uri="{FF2B5EF4-FFF2-40B4-BE49-F238E27FC236}">
              <a16:creationId xmlns:a16="http://schemas.microsoft.com/office/drawing/2014/main" id="{6B47C23F-F762-400A-822D-561B9C858B31}"/>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0" name="AutoShape 4" descr="Bug">
          <a:hlinkClick xmlns:r="http://schemas.openxmlformats.org/officeDocument/2006/relationships" r:id="rId1"/>
          <a:extLst>
            <a:ext uri="{FF2B5EF4-FFF2-40B4-BE49-F238E27FC236}">
              <a16:creationId xmlns:a16="http://schemas.microsoft.com/office/drawing/2014/main" id="{9F2263A3-0AA8-4D18-8036-42E353904F14}"/>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1" name="AutoShape 6" descr="Bug">
          <a:hlinkClick xmlns:r="http://schemas.openxmlformats.org/officeDocument/2006/relationships" r:id="rId2"/>
          <a:extLst>
            <a:ext uri="{FF2B5EF4-FFF2-40B4-BE49-F238E27FC236}">
              <a16:creationId xmlns:a16="http://schemas.microsoft.com/office/drawing/2014/main" id="{87F2B9EF-A833-48AF-8C38-75A5AC0252F8}"/>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2" name="AutoShape 7" descr="Story">
          <a:hlinkClick xmlns:r="http://schemas.openxmlformats.org/officeDocument/2006/relationships" r:id="rId3"/>
          <a:extLst>
            <a:ext uri="{FF2B5EF4-FFF2-40B4-BE49-F238E27FC236}">
              <a16:creationId xmlns:a16="http://schemas.microsoft.com/office/drawing/2014/main" id="{047E4E68-7C2D-4CD4-9181-29A655BFD8C0}"/>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3" name="AutoShape 8" descr="Story">
          <a:hlinkClick xmlns:r="http://schemas.openxmlformats.org/officeDocument/2006/relationships" r:id="rId4"/>
          <a:extLst>
            <a:ext uri="{FF2B5EF4-FFF2-40B4-BE49-F238E27FC236}">
              <a16:creationId xmlns:a16="http://schemas.microsoft.com/office/drawing/2014/main" id="{08930A05-22A6-4D8D-A3A3-8B1C0BC3A354}"/>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4" name="AutoShape 9" descr="Story">
          <a:hlinkClick xmlns:r="http://schemas.openxmlformats.org/officeDocument/2006/relationships" r:id="rId5"/>
          <a:extLst>
            <a:ext uri="{FF2B5EF4-FFF2-40B4-BE49-F238E27FC236}">
              <a16:creationId xmlns:a16="http://schemas.microsoft.com/office/drawing/2014/main" id="{4C5B555E-6486-4F82-874B-9C1AA55475D9}"/>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5" name="AutoShape 10" descr="Story">
          <a:hlinkClick xmlns:r="http://schemas.openxmlformats.org/officeDocument/2006/relationships" r:id="rId6"/>
          <a:extLst>
            <a:ext uri="{FF2B5EF4-FFF2-40B4-BE49-F238E27FC236}">
              <a16:creationId xmlns:a16="http://schemas.microsoft.com/office/drawing/2014/main" id="{DA823705-6055-4432-AFAF-91154D5D6011}"/>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6" name="AutoShape 13" descr="Story">
          <a:hlinkClick xmlns:r="http://schemas.openxmlformats.org/officeDocument/2006/relationships" r:id="rId4"/>
          <a:extLst>
            <a:ext uri="{FF2B5EF4-FFF2-40B4-BE49-F238E27FC236}">
              <a16:creationId xmlns:a16="http://schemas.microsoft.com/office/drawing/2014/main" id="{99C715A1-E332-475B-BA64-DB195B398352}"/>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7" name="AutoShape 14" descr="Story">
          <a:hlinkClick xmlns:r="http://schemas.openxmlformats.org/officeDocument/2006/relationships" r:id="rId4"/>
          <a:extLst>
            <a:ext uri="{FF2B5EF4-FFF2-40B4-BE49-F238E27FC236}">
              <a16:creationId xmlns:a16="http://schemas.microsoft.com/office/drawing/2014/main" id="{D04C7F3D-9DF4-44CB-A530-7B3B1D6BD177}"/>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8" name="AutoShape 4" descr="Bug">
          <a:hlinkClick xmlns:r="http://schemas.openxmlformats.org/officeDocument/2006/relationships" r:id="rId1"/>
          <a:extLst>
            <a:ext uri="{FF2B5EF4-FFF2-40B4-BE49-F238E27FC236}">
              <a16:creationId xmlns:a16="http://schemas.microsoft.com/office/drawing/2014/main" id="{933B92C4-8083-4510-BF5C-DE4B3ECE00EB}"/>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19" name="AutoShape 6" descr="Bug">
          <a:hlinkClick xmlns:r="http://schemas.openxmlformats.org/officeDocument/2006/relationships" r:id="rId2"/>
          <a:extLst>
            <a:ext uri="{FF2B5EF4-FFF2-40B4-BE49-F238E27FC236}">
              <a16:creationId xmlns:a16="http://schemas.microsoft.com/office/drawing/2014/main" id="{E7235A6D-608F-4A48-B3BF-5F399F9FFCE8}"/>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20" name="AutoShape 7" descr="Story">
          <a:hlinkClick xmlns:r="http://schemas.openxmlformats.org/officeDocument/2006/relationships" r:id="rId3"/>
          <a:extLst>
            <a:ext uri="{FF2B5EF4-FFF2-40B4-BE49-F238E27FC236}">
              <a16:creationId xmlns:a16="http://schemas.microsoft.com/office/drawing/2014/main" id="{E9578FA1-8548-47A5-BE77-A5217F997C45}"/>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21" name="AutoShape 8" descr="Story">
          <a:hlinkClick xmlns:r="http://schemas.openxmlformats.org/officeDocument/2006/relationships" r:id="rId4"/>
          <a:extLst>
            <a:ext uri="{FF2B5EF4-FFF2-40B4-BE49-F238E27FC236}">
              <a16:creationId xmlns:a16="http://schemas.microsoft.com/office/drawing/2014/main" id="{D15B4F54-5EDB-4780-8F8E-DAA0E49AFE76}"/>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22" name="AutoShape 9" descr="Story">
          <a:hlinkClick xmlns:r="http://schemas.openxmlformats.org/officeDocument/2006/relationships" r:id="rId5"/>
          <a:extLst>
            <a:ext uri="{FF2B5EF4-FFF2-40B4-BE49-F238E27FC236}">
              <a16:creationId xmlns:a16="http://schemas.microsoft.com/office/drawing/2014/main" id="{8016744C-3CE1-4732-99DA-A0A667A36BFD}"/>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23" name="AutoShape 10" descr="Story">
          <a:hlinkClick xmlns:r="http://schemas.openxmlformats.org/officeDocument/2006/relationships" r:id="rId6"/>
          <a:extLst>
            <a:ext uri="{FF2B5EF4-FFF2-40B4-BE49-F238E27FC236}">
              <a16:creationId xmlns:a16="http://schemas.microsoft.com/office/drawing/2014/main" id="{591723FA-BB1C-4347-847F-3733D460D064}"/>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24" name="AutoShape 13" descr="Story">
          <a:hlinkClick xmlns:r="http://schemas.openxmlformats.org/officeDocument/2006/relationships" r:id="rId4"/>
          <a:extLst>
            <a:ext uri="{FF2B5EF4-FFF2-40B4-BE49-F238E27FC236}">
              <a16:creationId xmlns:a16="http://schemas.microsoft.com/office/drawing/2014/main" id="{54EEDCBC-715C-402E-A5E8-E8B3DA56B231}"/>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660</xdr:row>
      <xdr:rowOff>0</xdr:rowOff>
    </xdr:from>
    <xdr:ext cx="152400" cy="152400"/>
    <xdr:sp macro="" textlink="">
      <xdr:nvSpPr>
        <xdr:cNvPr id="325" name="AutoShape 14" descr="Story">
          <a:hlinkClick xmlns:r="http://schemas.openxmlformats.org/officeDocument/2006/relationships" r:id="rId4"/>
          <a:extLst>
            <a:ext uri="{FF2B5EF4-FFF2-40B4-BE49-F238E27FC236}">
              <a16:creationId xmlns:a16="http://schemas.microsoft.com/office/drawing/2014/main" id="{D2A90031-37A7-45BE-A6F3-ABBF152D9AAB}"/>
            </a:ext>
          </a:extLst>
        </xdr:cNvPr>
        <xdr:cNvSpPr>
          <a:spLocks noChangeAspect="1" noChangeArrowheads="1"/>
        </xdr:cNvSpPr>
      </xdr:nvSpPr>
      <xdr:spPr bwMode="auto">
        <a:xfrm>
          <a:off x="1912620" y="1211046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881</xdr:row>
      <xdr:rowOff>0</xdr:rowOff>
    </xdr:from>
    <xdr:to>
      <xdr:col>1</xdr:col>
      <xdr:colOff>152400</xdr:colOff>
      <xdr:row>881</xdr:row>
      <xdr:rowOff>152400</xdr:rowOff>
    </xdr:to>
    <xdr:sp macro="" textlink="">
      <xdr:nvSpPr>
        <xdr:cNvPr id="326" name="AutoShape 4" descr="Bug">
          <a:hlinkClick xmlns:r="http://schemas.openxmlformats.org/officeDocument/2006/relationships" r:id="rId1"/>
          <a:extLst>
            <a:ext uri="{FF2B5EF4-FFF2-40B4-BE49-F238E27FC236}">
              <a16:creationId xmlns:a16="http://schemas.microsoft.com/office/drawing/2014/main" id="{8F8917D5-D7BB-49CF-833A-E42C98F6C5EE}"/>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27" name="AutoShape 6" descr="Bug">
          <a:hlinkClick xmlns:r="http://schemas.openxmlformats.org/officeDocument/2006/relationships" r:id="rId2"/>
          <a:extLst>
            <a:ext uri="{FF2B5EF4-FFF2-40B4-BE49-F238E27FC236}">
              <a16:creationId xmlns:a16="http://schemas.microsoft.com/office/drawing/2014/main" id="{826A5759-A892-46E4-8F4B-589EEAA1B0BE}"/>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28" name="AutoShape 7" descr="Story">
          <a:hlinkClick xmlns:r="http://schemas.openxmlformats.org/officeDocument/2006/relationships" r:id="rId3"/>
          <a:extLst>
            <a:ext uri="{FF2B5EF4-FFF2-40B4-BE49-F238E27FC236}">
              <a16:creationId xmlns:a16="http://schemas.microsoft.com/office/drawing/2014/main" id="{44B35E35-AF4D-4C8C-9E9D-4136FD32BF82}"/>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29" name="AutoShape 8" descr="Story">
          <a:hlinkClick xmlns:r="http://schemas.openxmlformats.org/officeDocument/2006/relationships" r:id="rId4"/>
          <a:extLst>
            <a:ext uri="{FF2B5EF4-FFF2-40B4-BE49-F238E27FC236}">
              <a16:creationId xmlns:a16="http://schemas.microsoft.com/office/drawing/2014/main" id="{6B1B86FB-8A81-4751-A580-15A4569C92CF}"/>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30" name="AutoShape 9" descr="Story">
          <a:hlinkClick xmlns:r="http://schemas.openxmlformats.org/officeDocument/2006/relationships" r:id="rId5"/>
          <a:extLst>
            <a:ext uri="{FF2B5EF4-FFF2-40B4-BE49-F238E27FC236}">
              <a16:creationId xmlns:a16="http://schemas.microsoft.com/office/drawing/2014/main" id="{69E4DFD6-666E-45FF-8ED9-68A5F482A034}"/>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31" name="AutoShape 10" descr="Story">
          <a:hlinkClick xmlns:r="http://schemas.openxmlformats.org/officeDocument/2006/relationships" r:id="rId6"/>
          <a:extLst>
            <a:ext uri="{FF2B5EF4-FFF2-40B4-BE49-F238E27FC236}">
              <a16:creationId xmlns:a16="http://schemas.microsoft.com/office/drawing/2014/main" id="{CC6B28A6-9C8D-4790-A075-E91BF1B34CE3}"/>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32" name="AutoShape 13" descr="Story">
          <a:hlinkClick xmlns:r="http://schemas.openxmlformats.org/officeDocument/2006/relationships" r:id="rId4"/>
          <a:extLst>
            <a:ext uri="{FF2B5EF4-FFF2-40B4-BE49-F238E27FC236}">
              <a16:creationId xmlns:a16="http://schemas.microsoft.com/office/drawing/2014/main" id="{462271A5-F66D-4A60-8B31-55B5DDC983CD}"/>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33" name="AutoShape 14" descr="Story">
          <a:hlinkClick xmlns:r="http://schemas.openxmlformats.org/officeDocument/2006/relationships" r:id="rId4"/>
          <a:extLst>
            <a:ext uri="{FF2B5EF4-FFF2-40B4-BE49-F238E27FC236}">
              <a16:creationId xmlns:a16="http://schemas.microsoft.com/office/drawing/2014/main" id="{C196CF0E-189E-404C-9D51-FFF04C45A6DA}"/>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881</xdr:row>
      <xdr:rowOff>0</xdr:rowOff>
    </xdr:from>
    <xdr:to>
      <xdr:col>1</xdr:col>
      <xdr:colOff>152400</xdr:colOff>
      <xdr:row>881</xdr:row>
      <xdr:rowOff>152400</xdr:rowOff>
    </xdr:to>
    <xdr:sp macro="" textlink="">
      <xdr:nvSpPr>
        <xdr:cNvPr id="334" name="AutoShape 4" descr="Bug">
          <a:hlinkClick xmlns:r="http://schemas.openxmlformats.org/officeDocument/2006/relationships" r:id="rId1"/>
          <a:extLst>
            <a:ext uri="{FF2B5EF4-FFF2-40B4-BE49-F238E27FC236}">
              <a16:creationId xmlns:a16="http://schemas.microsoft.com/office/drawing/2014/main" id="{FACBCF3E-151F-42B4-B8B2-C6B70F14969E}"/>
            </a:ext>
          </a:extLst>
        </xdr:cNvPr>
        <xdr:cNvSpPr>
          <a:spLocks noChangeAspect="1" noChangeArrowheads="1"/>
        </xdr:cNvSpPr>
      </xdr:nvSpPr>
      <xdr:spPr bwMode="auto">
        <a:xfrm>
          <a:off x="1912620" y="1615592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2" name="AutoShape 4" descr="Bug">
          <a:hlinkClick xmlns:r="http://schemas.openxmlformats.org/officeDocument/2006/relationships" r:id="rId1"/>
          <a:extLst>
            <a:ext uri="{FF2B5EF4-FFF2-40B4-BE49-F238E27FC236}">
              <a16:creationId xmlns:a16="http://schemas.microsoft.com/office/drawing/2014/main" id="{A4BDFD39-7727-43F4-B271-AB549842E461}"/>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3" name="AutoShape 6" descr="Bug">
          <a:hlinkClick xmlns:r="http://schemas.openxmlformats.org/officeDocument/2006/relationships" r:id="rId2"/>
          <a:extLst>
            <a:ext uri="{FF2B5EF4-FFF2-40B4-BE49-F238E27FC236}">
              <a16:creationId xmlns:a16="http://schemas.microsoft.com/office/drawing/2014/main" id="{91316B80-454D-4A27-84B1-25F2A1BC22FF}"/>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4" name="AutoShape 7" descr="Story">
          <a:hlinkClick xmlns:r="http://schemas.openxmlformats.org/officeDocument/2006/relationships" r:id="rId3"/>
          <a:extLst>
            <a:ext uri="{FF2B5EF4-FFF2-40B4-BE49-F238E27FC236}">
              <a16:creationId xmlns:a16="http://schemas.microsoft.com/office/drawing/2014/main" id="{7FDF691A-12C1-4428-BACA-DFADE2EB04A5}"/>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5" name="AutoShape 8" descr="Story">
          <a:hlinkClick xmlns:r="http://schemas.openxmlformats.org/officeDocument/2006/relationships" r:id="rId4"/>
          <a:extLst>
            <a:ext uri="{FF2B5EF4-FFF2-40B4-BE49-F238E27FC236}">
              <a16:creationId xmlns:a16="http://schemas.microsoft.com/office/drawing/2014/main" id="{6E9D595B-8FD2-4351-8E35-4B4AA456922D}"/>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6" name="AutoShape 9" descr="Story">
          <a:hlinkClick xmlns:r="http://schemas.openxmlformats.org/officeDocument/2006/relationships" r:id="rId5"/>
          <a:extLst>
            <a:ext uri="{FF2B5EF4-FFF2-40B4-BE49-F238E27FC236}">
              <a16:creationId xmlns:a16="http://schemas.microsoft.com/office/drawing/2014/main" id="{888096AB-AE14-4403-8233-736CBB6464FB}"/>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7" name="AutoShape 10" descr="Story">
          <a:hlinkClick xmlns:r="http://schemas.openxmlformats.org/officeDocument/2006/relationships" r:id="rId6"/>
          <a:extLst>
            <a:ext uri="{FF2B5EF4-FFF2-40B4-BE49-F238E27FC236}">
              <a16:creationId xmlns:a16="http://schemas.microsoft.com/office/drawing/2014/main" id="{78053E70-B8AC-4EE7-BE5A-E167FAA0B8AD}"/>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8" name="AutoShape 13" descr="Story">
          <a:hlinkClick xmlns:r="http://schemas.openxmlformats.org/officeDocument/2006/relationships" r:id="rId4"/>
          <a:extLst>
            <a:ext uri="{FF2B5EF4-FFF2-40B4-BE49-F238E27FC236}">
              <a16:creationId xmlns:a16="http://schemas.microsoft.com/office/drawing/2014/main" id="{7DAAFBBD-092C-4F69-90F1-B56FC5FB7ECE}"/>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49" name="AutoShape 14" descr="Story">
          <a:hlinkClick xmlns:r="http://schemas.openxmlformats.org/officeDocument/2006/relationships" r:id="rId4"/>
          <a:extLst>
            <a:ext uri="{FF2B5EF4-FFF2-40B4-BE49-F238E27FC236}">
              <a16:creationId xmlns:a16="http://schemas.microsoft.com/office/drawing/2014/main" id="{C0A90804-6372-4957-806E-C83FF3828380}"/>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0" name="AutoShape 4" descr="Bug">
          <a:hlinkClick xmlns:r="http://schemas.openxmlformats.org/officeDocument/2006/relationships" r:id="rId1"/>
          <a:extLst>
            <a:ext uri="{FF2B5EF4-FFF2-40B4-BE49-F238E27FC236}">
              <a16:creationId xmlns:a16="http://schemas.microsoft.com/office/drawing/2014/main" id="{F149D2BE-2A66-441B-857F-8250A897EBD3}"/>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1" name="AutoShape 6" descr="Bug">
          <a:hlinkClick xmlns:r="http://schemas.openxmlformats.org/officeDocument/2006/relationships" r:id="rId2"/>
          <a:extLst>
            <a:ext uri="{FF2B5EF4-FFF2-40B4-BE49-F238E27FC236}">
              <a16:creationId xmlns:a16="http://schemas.microsoft.com/office/drawing/2014/main" id="{59F71F58-8F6E-40FD-B7C0-DFDBB634AE47}"/>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2" name="AutoShape 7" descr="Story">
          <a:hlinkClick xmlns:r="http://schemas.openxmlformats.org/officeDocument/2006/relationships" r:id="rId3"/>
          <a:extLst>
            <a:ext uri="{FF2B5EF4-FFF2-40B4-BE49-F238E27FC236}">
              <a16:creationId xmlns:a16="http://schemas.microsoft.com/office/drawing/2014/main" id="{84B67BD6-EA3C-4B53-88AD-369E40DBDB60}"/>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3" name="AutoShape 8" descr="Story">
          <a:hlinkClick xmlns:r="http://schemas.openxmlformats.org/officeDocument/2006/relationships" r:id="rId4"/>
          <a:extLst>
            <a:ext uri="{FF2B5EF4-FFF2-40B4-BE49-F238E27FC236}">
              <a16:creationId xmlns:a16="http://schemas.microsoft.com/office/drawing/2014/main" id="{C1999619-2A55-4C95-A7AC-F07D9D6D758E}"/>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4" name="AutoShape 9" descr="Story">
          <a:hlinkClick xmlns:r="http://schemas.openxmlformats.org/officeDocument/2006/relationships" r:id="rId5"/>
          <a:extLst>
            <a:ext uri="{FF2B5EF4-FFF2-40B4-BE49-F238E27FC236}">
              <a16:creationId xmlns:a16="http://schemas.microsoft.com/office/drawing/2014/main" id="{6649AFBF-2764-47C3-A2A4-74060EA92DAB}"/>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5" name="AutoShape 10" descr="Story">
          <a:hlinkClick xmlns:r="http://schemas.openxmlformats.org/officeDocument/2006/relationships" r:id="rId6"/>
          <a:extLst>
            <a:ext uri="{FF2B5EF4-FFF2-40B4-BE49-F238E27FC236}">
              <a16:creationId xmlns:a16="http://schemas.microsoft.com/office/drawing/2014/main" id="{7674752C-CCC5-4C89-88AB-DDC0FF596DF0}"/>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6" name="AutoShape 13" descr="Story">
          <a:hlinkClick xmlns:r="http://schemas.openxmlformats.org/officeDocument/2006/relationships" r:id="rId4"/>
          <a:extLst>
            <a:ext uri="{FF2B5EF4-FFF2-40B4-BE49-F238E27FC236}">
              <a16:creationId xmlns:a16="http://schemas.microsoft.com/office/drawing/2014/main" id="{67DE7517-22DE-45B6-AFB0-037E957D7D6E}"/>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726</xdr:row>
      <xdr:rowOff>0</xdr:rowOff>
    </xdr:from>
    <xdr:to>
      <xdr:col>1</xdr:col>
      <xdr:colOff>152400</xdr:colOff>
      <xdr:row>726</xdr:row>
      <xdr:rowOff>152400</xdr:rowOff>
    </xdr:to>
    <xdr:sp macro="" textlink="">
      <xdr:nvSpPr>
        <xdr:cNvPr id="357" name="AutoShape 14" descr="Story">
          <a:hlinkClick xmlns:r="http://schemas.openxmlformats.org/officeDocument/2006/relationships" r:id="rId4"/>
          <a:extLst>
            <a:ext uri="{FF2B5EF4-FFF2-40B4-BE49-F238E27FC236}">
              <a16:creationId xmlns:a16="http://schemas.microsoft.com/office/drawing/2014/main" id="{98ACFF67-E3FF-4BAD-BC47-FF6A97749974}"/>
            </a:ext>
          </a:extLst>
        </xdr:cNvPr>
        <xdr:cNvSpPr>
          <a:spLocks noChangeAspect="1" noChangeArrowheads="1"/>
        </xdr:cNvSpPr>
      </xdr:nvSpPr>
      <xdr:spPr bwMode="auto">
        <a:xfrm>
          <a:off x="1912620" y="1331747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58" name="AutoShape 4" descr="Bug">
          <a:hlinkClick xmlns:r="http://schemas.openxmlformats.org/officeDocument/2006/relationships" r:id="rId1"/>
          <a:extLst>
            <a:ext uri="{FF2B5EF4-FFF2-40B4-BE49-F238E27FC236}">
              <a16:creationId xmlns:a16="http://schemas.microsoft.com/office/drawing/2014/main" id="{60A42B08-2BEE-4317-A3C1-4D8C2D600A6A}"/>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59" name="AutoShape 6" descr="Bug">
          <a:hlinkClick xmlns:r="http://schemas.openxmlformats.org/officeDocument/2006/relationships" r:id="rId2"/>
          <a:extLst>
            <a:ext uri="{FF2B5EF4-FFF2-40B4-BE49-F238E27FC236}">
              <a16:creationId xmlns:a16="http://schemas.microsoft.com/office/drawing/2014/main" id="{D29D8789-C8D3-4038-B8ED-9A9AA4715B44}"/>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0" name="AutoShape 7" descr="Story">
          <a:hlinkClick xmlns:r="http://schemas.openxmlformats.org/officeDocument/2006/relationships" r:id="rId3"/>
          <a:extLst>
            <a:ext uri="{FF2B5EF4-FFF2-40B4-BE49-F238E27FC236}">
              <a16:creationId xmlns:a16="http://schemas.microsoft.com/office/drawing/2014/main" id="{4B4CC5A6-DD3D-46E2-8F3B-75F427E1C98F}"/>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1" name="AutoShape 8" descr="Story">
          <a:hlinkClick xmlns:r="http://schemas.openxmlformats.org/officeDocument/2006/relationships" r:id="rId4"/>
          <a:extLst>
            <a:ext uri="{FF2B5EF4-FFF2-40B4-BE49-F238E27FC236}">
              <a16:creationId xmlns:a16="http://schemas.microsoft.com/office/drawing/2014/main" id="{9E14F5BF-6E60-46CD-A71D-31A5F22DF894}"/>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2" name="AutoShape 9" descr="Story">
          <a:hlinkClick xmlns:r="http://schemas.openxmlformats.org/officeDocument/2006/relationships" r:id="rId5"/>
          <a:extLst>
            <a:ext uri="{FF2B5EF4-FFF2-40B4-BE49-F238E27FC236}">
              <a16:creationId xmlns:a16="http://schemas.microsoft.com/office/drawing/2014/main" id="{4E71BA5F-C28C-424B-940C-4D9D59E936D2}"/>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3" name="AutoShape 10" descr="Story">
          <a:hlinkClick xmlns:r="http://schemas.openxmlformats.org/officeDocument/2006/relationships" r:id="rId6"/>
          <a:extLst>
            <a:ext uri="{FF2B5EF4-FFF2-40B4-BE49-F238E27FC236}">
              <a16:creationId xmlns:a16="http://schemas.microsoft.com/office/drawing/2014/main" id="{C9BC2DC3-67D3-4F33-933B-ADE8DD2C6681}"/>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4" name="AutoShape 13" descr="Story">
          <a:hlinkClick xmlns:r="http://schemas.openxmlformats.org/officeDocument/2006/relationships" r:id="rId4"/>
          <a:extLst>
            <a:ext uri="{FF2B5EF4-FFF2-40B4-BE49-F238E27FC236}">
              <a16:creationId xmlns:a16="http://schemas.microsoft.com/office/drawing/2014/main" id="{6E8CC049-BF3C-436B-A3F1-D669131A7A79}"/>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5" name="AutoShape 14" descr="Story">
          <a:hlinkClick xmlns:r="http://schemas.openxmlformats.org/officeDocument/2006/relationships" r:id="rId4"/>
          <a:extLst>
            <a:ext uri="{FF2B5EF4-FFF2-40B4-BE49-F238E27FC236}">
              <a16:creationId xmlns:a16="http://schemas.microsoft.com/office/drawing/2014/main" id="{19C5FB19-AEF9-4CD5-BC0C-89158F3D2420}"/>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6" name="AutoShape 4" descr="Bug">
          <a:hlinkClick xmlns:r="http://schemas.openxmlformats.org/officeDocument/2006/relationships" r:id="rId1"/>
          <a:extLst>
            <a:ext uri="{FF2B5EF4-FFF2-40B4-BE49-F238E27FC236}">
              <a16:creationId xmlns:a16="http://schemas.microsoft.com/office/drawing/2014/main" id="{A6B995D2-64D8-4632-BFE4-7F51C08FC27C}"/>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7" name="AutoShape 6" descr="Bug">
          <a:hlinkClick xmlns:r="http://schemas.openxmlformats.org/officeDocument/2006/relationships" r:id="rId2"/>
          <a:extLst>
            <a:ext uri="{FF2B5EF4-FFF2-40B4-BE49-F238E27FC236}">
              <a16:creationId xmlns:a16="http://schemas.microsoft.com/office/drawing/2014/main" id="{FEDF289F-DF53-405B-816A-6CB4ACAF65C3}"/>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8" name="AutoShape 7" descr="Story">
          <a:hlinkClick xmlns:r="http://schemas.openxmlformats.org/officeDocument/2006/relationships" r:id="rId3"/>
          <a:extLst>
            <a:ext uri="{FF2B5EF4-FFF2-40B4-BE49-F238E27FC236}">
              <a16:creationId xmlns:a16="http://schemas.microsoft.com/office/drawing/2014/main" id="{CA4F5978-7F2E-4635-91DA-1ACC21B01185}"/>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69" name="AutoShape 8" descr="Story">
          <a:hlinkClick xmlns:r="http://schemas.openxmlformats.org/officeDocument/2006/relationships" r:id="rId4"/>
          <a:extLst>
            <a:ext uri="{FF2B5EF4-FFF2-40B4-BE49-F238E27FC236}">
              <a16:creationId xmlns:a16="http://schemas.microsoft.com/office/drawing/2014/main" id="{10940601-1845-472C-B33F-968F8C0D5FDD}"/>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70" name="AutoShape 9" descr="Story">
          <a:hlinkClick xmlns:r="http://schemas.openxmlformats.org/officeDocument/2006/relationships" r:id="rId5"/>
          <a:extLst>
            <a:ext uri="{FF2B5EF4-FFF2-40B4-BE49-F238E27FC236}">
              <a16:creationId xmlns:a16="http://schemas.microsoft.com/office/drawing/2014/main" id="{9D50C2C5-AF4C-45D7-ABDF-4E21A5863086}"/>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71" name="AutoShape 10" descr="Story">
          <a:hlinkClick xmlns:r="http://schemas.openxmlformats.org/officeDocument/2006/relationships" r:id="rId6"/>
          <a:extLst>
            <a:ext uri="{FF2B5EF4-FFF2-40B4-BE49-F238E27FC236}">
              <a16:creationId xmlns:a16="http://schemas.microsoft.com/office/drawing/2014/main" id="{7F5D9A1A-1019-4C30-91C4-161618AA72DC}"/>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72" name="AutoShape 13" descr="Story">
          <a:hlinkClick xmlns:r="http://schemas.openxmlformats.org/officeDocument/2006/relationships" r:id="rId4"/>
          <a:extLst>
            <a:ext uri="{FF2B5EF4-FFF2-40B4-BE49-F238E27FC236}">
              <a16:creationId xmlns:a16="http://schemas.microsoft.com/office/drawing/2014/main" id="{AD166B4C-7179-43F9-AD4D-EC5B60778C57}"/>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739</xdr:row>
      <xdr:rowOff>0</xdr:rowOff>
    </xdr:from>
    <xdr:to>
      <xdr:col>1</xdr:col>
      <xdr:colOff>152400</xdr:colOff>
      <xdr:row>739</xdr:row>
      <xdr:rowOff>152400</xdr:rowOff>
    </xdr:to>
    <xdr:sp macro="" textlink="">
      <xdr:nvSpPr>
        <xdr:cNvPr id="373" name="AutoShape 14" descr="Story">
          <a:hlinkClick xmlns:r="http://schemas.openxmlformats.org/officeDocument/2006/relationships" r:id="rId4"/>
          <a:extLst>
            <a:ext uri="{FF2B5EF4-FFF2-40B4-BE49-F238E27FC236}">
              <a16:creationId xmlns:a16="http://schemas.microsoft.com/office/drawing/2014/main" id="{789699BA-A1B2-4EC9-B8B4-C8A572DB0BA9}"/>
            </a:ext>
          </a:extLst>
        </xdr:cNvPr>
        <xdr:cNvSpPr>
          <a:spLocks noChangeAspect="1" noChangeArrowheads="1"/>
        </xdr:cNvSpPr>
      </xdr:nvSpPr>
      <xdr:spPr bwMode="auto">
        <a:xfrm>
          <a:off x="1912620" y="1355521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740</xdr:row>
      <xdr:rowOff>0</xdr:rowOff>
    </xdr:from>
    <xdr:ext cx="152400" cy="152400"/>
    <xdr:sp macro="" textlink="">
      <xdr:nvSpPr>
        <xdr:cNvPr id="374" name="AutoShape 4" descr="Bug">
          <a:hlinkClick xmlns:r="http://schemas.openxmlformats.org/officeDocument/2006/relationships" r:id="rId1"/>
          <a:extLst>
            <a:ext uri="{FF2B5EF4-FFF2-40B4-BE49-F238E27FC236}">
              <a16:creationId xmlns:a16="http://schemas.microsoft.com/office/drawing/2014/main" id="{A4738B06-345E-4E04-8E67-40E731955D78}"/>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75" name="AutoShape 6" descr="Bug">
          <a:hlinkClick xmlns:r="http://schemas.openxmlformats.org/officeDocument/2006/relationships" r:id="rId2"/>
          <a:extLst>
            <a:ext uri="{FF2B5EF4-FFF2-40B4-BE49-F238E27FC236}">
              <a16:creationId xmlns:a16="http://schemas.microsoft.com/office/drawing/2014/main" id="{3A7643A8-BC8E-4659-86D2-3FF3BE553A12}"/>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76" name="AutoShape 7" descr="Story">
          <a:hlinkClick xmlns:r="http://schemas.openxmlformats.org/officeDocument/2006/relationships" r:id="rId3"/>
          <a:extLst>
            <a:ext uri="{FF2B5EF4-FFF2-40B4-BE49-F238E27FC236}">
              <a16:creationId xmlns:a16="http://schemas.microsoft.com/office/drawing/2014/main" id="{A0F3861D-EDDB-4858-A7D0-0F56EEB39915}"/>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77" name="AutoShape 8" descr="Story">
          <a:hlinkClick xmlns:r="http://schemas.openxmlformats.org/officeDocument/2006/relationships" r:id="rId4"/>
          <a:extLst>
            <a:ext uri="{FF2B5EF4-FFF2-40B4-BE49-F238E27FC236}">
              <a16:creationId xmlns:a16="http://schemas.microsoft.com/office/drawing/2014/main" id="{1912B5B1-5E23-4AF2-A100-716DC6034B8A}"/>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78" name="AutoShape 9" descr="Story">
          <a:hlinkClick xmlns:r="http://schemas.openxmlformats.org/officeDocument/2006/relationships" r:id="rId5"/>
          <a:extLst>
            <a:ext uri="{FF2B5EF4-FFF2-40B4-BE49-F238E27FC236}">
              <a16:creationId xmlns:a16="http://schemas.microsoft.com/office/drawing/2014/main" id="{5130F00A-33E0-4933-BE28-EE97CEEC6B6E}"/>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79" name="AutoShape 10" descr="Story">
          <a:hlinkClick xmlns:r="http://schemas.openxmlformats.org/officeDocument/2006/relationships" r:id="rId6"/>
          <a:extLst>
            <a:ext uri="{FF2B5EF4-FFF2-40B4-BE49-F238E27FC236}">
              <a16:creationId xmlns:a16="http://schemas.microsoft.com/office/drawing/2014/main" id="{2DABEA51-E881-4106-A70C-DB1FF772F769}"/>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0" name="AutoShape 13" descr="Story">
          <a:hlinkClick xmlns:r="http://schemas.openxmlformats.org/officeDocument/2006/relationships" r:id="rId4"/>
          <a:extLst>
            <a:ext uri="{FF2B5EF4-FFF2-40B4-BE49-F238E27FC236}">
              <a16:creationId xmlns:a16="http://schemas.microsoft.com/office/drawing/2014/main" id="{BF8AF201-E00D-48E3-82FE-36FC06CAA9B5}"/>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1" name="AutoShape 14" descr="Story">
          <a:hlinkClick xmlns:r="http://schemas.openxmlformats.org/officeDocument/2006/relationships" r:id="rId4"/>
          <a:extLst>
            <a:ext uri="{FF2B5EF4-FFF2-40B4-BE49-F238E27FC236}">
              <a16:creationId xmlns:a16="http://schemas.microsoft.com/office/drawing/2014/main" id="{955A0653-8358-42E4-B2C4-F2A693606A2F}"/>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2" name="AutoShape 4" descr="Bug">
          <a:hlinkClick xmlns:r="http://schemas.openxmlformats.org/officeDocument/2006/relationships" r:id="rId1"/>
          <a:extLst>
            <a:ext uri="{FF2B5EF4-FFF2-40B4-BE49-F238E27FC236}">
              <a16:creationId xmlns:a16="http://schemas.microsoft.com/office/drawing/2014/main" id="{F134D1CE-7719-415A-B7BA-C8D6C9E53394}"/>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3" name="AutoShape 6" descr="Bug">
          <a:hlinkClick xmlns:r="http://schemas.openxmlformats.org/officeDocument/2006/relationships" r:id="rId2"/>
          <a:extLst>
            <a:ext uri="{FF2B5EF4-FFF2-40B4-BE49-F238E27FC236}">
              <a16:creationId xmlns:a16="http://schemas.microsoft.com/office/drawing/2014/main" id="{FDFCDBA9-E3B1-4078-A01E-6DF95AD24844}"/>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4" name="AutoShape 7" descr="Story">
          <a:hlinkClick xmlns:r="http://schemas.openxmlformats.org/officeDocument/2006/relationships" r:id="rId3"/>
          <a:extLst>
            <a:ext uri="{FF2B5EF4-FFF2-40B4-BE49-F238E27FC236}">
              <a16:creationId xmlns:a16="http://schemas.microsoft.com/office/drawing/2014/main" id="{B8EB66F9-ED05-4959-AE7E-FBB1BC67A029}"/>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5" name="AutoShape 8" descr="Story">
          <a:hlinkClick xmlns:r="http://schemas.openxmlformats.org/officeDocument/2006/relationships" r:id="rId4"/>
          <a:extLst>
            <a:ext uri="{FF2B5EF4-FFF2-40B4-BE49-F238E27FC236}">
              <a16:creationId xmlns:a16="http://schemas.microsoft.com/office/drawing/2014/main" id="{AF22FCFC-ECA3-40A0-83A0-7EE233258576}"/>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6" name="AutoShape 9" descr="Story">
          <a:hlinkClick xmlns:r="http://schemas.openxmlformats.org/officeDocument/2006/relationships" r:id="rId5"/>
          <a:extLst>
            <a:ext uri="{FF2B5EF4-FFF2-40B4-BE49-F238E27FC236}">
              <a16:creationId xmlns:a16="http://schemas.microsoft.com/office/drawing/2014/main" id="{8FCDEEF9-598E-4736-930F-BD20AB5C459B}"/>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7" name="AutoShape 10" descr="Story">
          <a:hlinkClick xmlns:r="http://schemas.openxmlformats.org/officeDocument/2006/relationships" r:id="rId6"/>
          <a:extLst>
            <a:ext uri="{FF2B5EF4-FFF2-40B4-BE49-F238E27FC236}">
              <a16:creationId xmlns:a16="http://schemas.microsoft.com/office/drawing/2014/main" id="{0F3C229B-19D2-4C0D-BC46-7F1705C6ED93}"/>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8" name="AutoShape 13" descr="Story">
          <a:hlinkClick xmlns:r="http://schemas.openxmlformats.org/officeDocument/2006/relationships" r:id="rId4"/>
          <a:extLst>
            <a:ext uri="{FF2B5EF4-FFF2-40B4-BE49-F238E27FC236}">
              <a16:creationId xmlns:a16="http://schemas.microsoft.com/office/drawing/2014/main" id="{04C8B98B-DCC7-41B7-A0E5-9363CB35FD15}"/>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89" name="AutoShape 14" descr="Story">
          <a:hlinkClick xmlns:r="http://schemas.openxmlformats.org/officeDocument/2006/relationships" r:id="rId4"/>
          <a:extLst>
            <a:ext uri="{FF2B5EF4-FFF2-40B4-BE49-F238E27FC236}">
              <a16:creationId xmlns:a16="http://schemas.microsoft.com/office/drawing/2014/main" id="{3AB6C48C-3648-4F1A-B09E-638079A3AB05}"/>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0" name="AutoShape 4" descr="Bug">
          <a:hlinkClick xmlns:r="http://schemas.openxmlformats.org/officeDocument/2006/relationships" r:id="rId1"/>
          <a:extLst>
            <a:ext uri="{FF2B5EF4-FFF2-40B4-BE49-F238E27FC236}">
              <a16:creationId xmlns:a16="http://schemas.microsoft.com/office/drawing/2014/main" id="{BF0B649A-B99B-4203-AC72-7B2F5D5FA843}"/>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1" name="AutoShape 6" descr="Bug">
          <a:hlinkClick xmlns:r="http://schemas.openxmlformats.org/officeDocument/2006/relationships" r:id="rId2"/>
          <a:extLst>
            <a:ext uri="{FF2B5EF4-FFF2-40B4-BE49-F238E27FC236}">
              <a16:creationId xmlns:a16="http://schemas.microsoft.com/office/drawing/2014/main" id="{6EB0FE14-E4EE-4159-9622-20817DE2CF19}"/>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2" name="AutoShape 7" descr="Story">
          <a:hlinkClick xmlns:r="http://schemas.openxmlformats.org/officeDocument/2006/relationships" r:id="rId3"/>
          <a:extLst>
            <a:ext uri="{FF2B5EF4-FFF2-40B4-BE49-F238E27FC236}">
              <a16:creationId xmlns:a16="http://schemas.microsoft.com/office/drawing/2014/main" id="{50E3BFDF-13D7-41CF-A002-B272270A20AD}"/>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3" name="AutoShape 8" descr="Story">
          <a:hlinkClick xmlns:r="http://schemas.openxmlformats.org/officeDocument/2006/relationships" r:id="rId4"/>
          <a:extLst>
            <a:ext uri="{FF2B5EF4-FFF2-40B4-BE49-F238E27FC236}">
              <a16:creationId xmlns:a16="http://schemas.microsoft.com/office/drawing/2014/main" id="{8D2DAC4A-1C17-491D-9935-86E8EDAFD54E}"/>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4" name="AutoShape 9" descr="Story">
          <a:hlinkClick xmlns:r="http://schemas.openxmlformats.org/officeDocument/2006/relationships" r:id="rId5"/>
          <a:extLst>
            <a:ext uri="{FF2B5EF4-FFF2-40B4-BE49-F238E27FC236}">
              <a16:creationId xmlns:a16="http://schemas.microsoft.com/office/drawing/2014/main" id="{0CBA8AA8-6A57-4538-9129-5C65E66CDD89}"/>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5" name="AutoShape 10" descr="Story">
          <a:hlinkClick xmlns:r="http://schemas.openxmlformats.org/officeDocument/2006/relationships" r:id="rId6"/>
          <a:extLst>
            <a:ext uri="{FF2B5EF4-FFF2-40B4-BE49-F238E27FC236}">
              <a16:creationId xmlns:a16="http://schemas.microsoft.com/office/drawing/2014/main" id="{152CA752-5EF0-41CF-9679-A2AB3DEE9D10}"/>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6" name="AutoShape 13" descr="Story">
          <a:hlinkClick xmlns:r="http://schemas.openxmlformats.org/officeDocument/2006/relationships" r:id="rId4"/>
          <a:extLst>
            <a:ext uri="{FF2B5EF4-FFF2-40B4-BE49-F238E27FC236}">
              <a16:creationId xmlns:a16="http://schemas.microsoft.com/office/drawing/2014/main" id="{DF22CCAB-AA29-4C47-B760-8C32234599CE}"/>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7" name="AutoShape 14" descr="Story">
          <a:hlinkClick xmlns:r="http://schemas.openxmlformats.org/officeDocument/2006/relationships" r:id="rId4"/>
          <a:extLst>
            <a:ext uri="{FF2B5EF4-FFF2-40B4-BE49-F238E27FC236}">
              <a16:creationId xmlns:a16="http://schemas.microsoft.com/office/drawing/2014/main" id="{75A29784-994A-4C63-8987-52FD23343D80}"/>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8" name="AutoShape 4" descr="Bug">
          <a:hlinkClick xmlns:r="http://schemas.openxmlformats.org/officeDocument/2006/relationships" r:id="rId1"/>
          <a:extLst>
            <a:ext uri="{FF2B5EF4-FFF2-40B4-BE49-F238E27FC236}">
              <a16:creationId xmlns:a16="http://schemas.microsoft.com/office/drawing/2014/main" id="{479AADF8-59AC-4C4E-85A0-D0E759D3D2DA}"/>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399" name="AutoShape 6" descr="Bug">
          <a:hlinkClick xmlns:r="http://schemas.openxmlformats.org/officeDocument/2006/relationships" r:id="rId2"/>
          <a:extLst>
            <a:ext uri="{FF2B5EF4-FFF2-40B4-BE49-F238E27FC236}">
              <a16:creationId xmlns:a16="http://schemas.microsoft.com/office/drawing/2014/main" id="{9AAE3BCC-1A44-446C-A1BD-FE79997DFCC2}"/>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400" name="AutoShape 7" descr="Story">
          <a:hlinkClick xmlns:r="http://schemas.openxmlformats.org/officeDocument/2006/relationships" r:id="rId3"/>
          <a:extLst>
            <a:ext uri="{FF2B5EF4-FFF2-40B4-BE49-F238E27FC236}">
              <a16:creationId xmlns:a16="http://schemas.microsoft.com/office/drawing/2014/main" id="{5B13BC4D-9008-4613-8ADD-80A538E887BF}"/>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401" name="AutoShape 8" descr="Story">
          <a:hlinkClick xmlns:r="http://schemas.openxmlformats.org/officeDocument/2006/relationships" r:id="rId4"/>
          <a:extLst>
            <a:ext uri="{FF2B5EF4-FFF2-40B4-BE49-F238E27FC236}">
              <a16:creationId xmlns:a16="http://schemas.microsoft.com/office/drawing/2014/main" id="{DF9C5C87-B3B4-41A9-9659-32A01582CE45}"/>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402" name="AutoShape 9" descr="Story">
          <a:hlinkClick xmlns:r="http://schemas.openxmlformats.org/officeDocument/2006/relationships" r:id="rId5"/>
          <a:extLst>
            <a:ext uri="{FF2B5EF4-FFF2-40B4-BE49-F238E27FC236}">
              <a16:creationId xmlns:a16="http://schemas.microsoft.com/office/drawing/2014/main" id="{F83614CB-D9E6-448C-B0A6-15BFB21E5268}"/>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403" name="AutoShape 10" descr="Story">
          <a:hlinkClick xmlns:r="http://schemas.openxmlformats.org/officeDocument/2006/relationships" r:id="rId6"/>
          <a:extLst>
            <a:ext uri="{FF2B5EF4-FFF2-40B4-BE49-F238E27FC236}">
              <a16:creationId xmlns:a16="http://schemas.microsoft.com/office/drawing/2014/main" id="{0782D740-4DD9-4BDF-B8E0-95C63D88D1CB}"/>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404" name="AutoShape 13" descr="Story">
          <a:hlinkClick xmlns:r="http://schemas.openxmlformats.org/officeDocument/2006/relationships" r:id="rId4"/>
          <a:extLst>
            <a:ext uri="{FF2B5EF4-FFF2-40B4-BE49-F238E27FC236}">
              <a16:creationId xmlns:a16="http://schemas.microsoft.com/office/drawing/2014/main" id="{9281FEF8-DC52-4B7F-8178-26F027E81F5E}"/>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740</xdr:row>
      <xdr:rowOff>0</xdr:rowOff>
    </xdr:from>
    <xdr:ext cx="152400" cy="152400"/>
    <xdr:sp macro="" textlink="">
      <xdr:nvSpPr>
        <xdr:cNvPr id="405" name="AutoShape 14" descr="Story">
          <a:hlinkClick xmlns:r="http://schemas.openxmlformats.org/officeDocument/2006/relationships" r:id="rId4"/>
          <a:extLst>
            <a:ext uri="{FF2B5EF4-FFF2-40B4-BE49-F238E27FC236}">
              <a16:creationId xmlns:a16="http://schemas.microsoft.com/office/drawing/2014/main" id="{A28F7D69-365C-4618-B2B4-15BD777FA408}"/>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06" name="AutoShape 4" descr="Bug">
          <a:hlinkClick xmlns:r="http://schemas.openxmlformats.org/officeDocument/2006/relationships" r:id="rId1"/>
          <a:extLst>
            <a:ext uri="{FF2B5EF4-FFF2-40B4-BE49-F238E27FC236}">
              <a16:creationId xmlns:a16="http://schemas.microsoft.com/office/drawing/2014/main" id="{7BBE15D1-93D1-4271-AC58-B877478808A9}"/>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07" name="AutoShape 6" descr="Bug">
          <a:hlinkClick xmlns:r="http://schemas.openxmlformats.org/officeDocument/2006/relationships" r:id="rId2"/>
          <a:extLst>
            <a:ext uri="{FF2B5EF4-FFF2-40B4-BE49-F238E27FC236}">
              <a16:creationId xmlns:a16="http://schemas.microsoft.com/office/drawing/2014/main" id="{E947521E-7BEB-470E-A237-7A34B9CDDC8A}"/>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08" name="AutoShape 7" descr="Story">
          <a:hlinkClick xmlns:r="http://schemas.openxmlformats.org/officeDocument/2006/relationships" r:id="rId3"/>
          <a:extLst>
            <a:ext uri="{FF2B5EF4-FFF2-40B4-BE49-F238E27FC236}">
              <a16:creationId xmlns:a16="http://schemas.microsoft.com/office/drawing/2014/main" id="{FD8BAC29-20CA-4F9E-AB3D-F3E38814631D}"/>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09" name="AutoShape 8" descr="Story">
          <a:hlinkClick xmlns:r="http://schemas.openxmlformats.org/officeDocument/2006/relationships" r:id="rId4"/>
          <a:extLst>
            <a:ext uri="{FF2B5EF4-FFF2-40B4-BE49-F238E27FC236}">
              <a16:creationId xmlns:a16="http://schemas.microsoft.com/office/drawing/2014/main" id="{6D0987C5-4DA8-4100-A0EF-616E57768A1D}"/>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0" name="AutoShape 9" descr="Story">
          <a:hlinkClick xmlns:r="http://schemas.openxmlformats.org/officeDocument/2006/relationships" r:id="rId5"/>
          <a:extLst>
            <a:ext uri="{FF2B5EF4-FFF2-40B4-BE49-F238E27FC236}">
              <a16:creationId xmlns:a16="http://schemas.microsoft.com/office/drawing/2014/main" id="{794D9AE0-0C54-4ACF-93D3-D6913F88CA6A}"/>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1" name="AutoShape 10" descr="Story">
          <a:hlinkClick xmlns:r="http://schemas.openxmlformats.org/officeDocument/2006/relationships" r:id="rId6"/>
          <a:extLst>
            <a:ext uri="{FF2B5EF4-FFF2-40B4-BE49-F238E27FC236}">
              <a16:creationId xmlns:a16="http://schemas.microsoft.com/office/drawing/2014/main" id="{660E5B4E-6838-44A2-9A05-279C8F14FED4}"/>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2" name="AutoShape 13" descr="Story">
          <a:hlinkClick xmlns:r="http://schemas.openxmlformats.org/officeDocument/2006/relationships" r:id="rId4"/>
          <a:extLst>
            <a:ext uri="{FF2B5EF4-FFF2-40B4-BE49-F238E27FC236}">
              <a16:creationId xmlns:a16="http://schemas.microsoft.com/office/drawing/2014/main" id="{3981BEAC-3E63-4964-81FE-A0B83C5A5023}"/>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3" name="AutoShape 14" descr="Story">
          <a:hlinkClick xmlns:r="http://schemas.openxmlformats.org/officeDocument/2006/relationships" r:id="rId4"/>
          <a:extLst>
            <a:ext uri="{FF2B5EF4-FFF2-40B4-BE49-F238E27FC236}">
              <a16:creationId xmlns:a16="http://schemas.microsoft.com/office/drawing/2014/main" id="{25886565-26DF-42DD-82A4-534D8B60DC43}"/>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4" name="AutoShape 4" descr="Bug">
          <a:hlinkClick xmlns:r="http://schemas.openxmlformats.org/officeDocument/2006/relationships" r:id="rId1"/>
          <a:extLst>
            <a:ext uri="{FF2B5EF4-FFF2-40B4-BE49-F238E27FC236}">
              <a16:creationId xmlns:a16="http://schemas.microsoft.com/office/drawing/2014/main" id="{1182CA6A-19BB-4DD2-9F98-77DCE5E7D12D}"/>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5" name="AutoShape 6" descr="Bug">
          <a:hlinkClick xmlns:r="http://schemas.openxmlformats.org/officeDocument/2006/relationships" r:id="rId2"/>
          <a:extLst>
            <a:ext uri="{FF2B5EF4-FFF2-40B4-BE49-F238E27FC236}">
              <a16:creationId xmlns:a16="http://schemas.microsoft.com/office/drawing/2014/main" id="{ED8BF4CF-A42C-47FB-B863-23CA55A28C99}"/>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6" name="AutoShape 7" descr="Story">
          <a:hlinkClick xmlns:r="http://schemas.openxmlformats.org/officeDocument/2006/relationships" r:id="rId3"/>
          <a:extLst>
            <a:ext uri="{FF2B5EF4-FFF2-40B4-BE49-F238E27FC236}">
              <a16:creationId xmlns:a16="http://schemas.microsoft.com/office/drawing/2014/main" id="{9FFBD63F-4780-4D35-9138-8A5C1AFFDEE3}"/>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7" name="AutoShape 8" descr="Story">
          <a:hlinkClick xmlns:r="http://schemas.openxmlformats.org/officeDocument/2006/relationships" r:id="rId4"/>
          <a:extLst>
            <a:ext uri="{FF2B5EF4-FFF2-40B4-BE49-F238E27FC236}">
              <a16:creationId xmlns:a16="http://schemas.microsoft.com/office/drawing/2014/main" id="{9B982918-A181-4ADE-A194-CEE5A7068720}"/>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8" name="AutoShape 9" descr="Story">
          <a:hlinkClick xmlns:r="http://schemas.openxmlformats.org/officeDocument/2006/relationships" r:id="rId5"/>
          <a:extLst>
            <a:ext uri="{FF2B5EF4-FFF2-40B4-BE49-F238E27FC236}">
              <a16:creationId xmlns:a16="http://schemas.microsoft.com/office/drawing/2014/main" id="{C5F10B1C-1ED3-4854-B527-320790E856C2}"/>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19" name="AutoShape 10" descr="Story">
          <a:hlinkClick xmlns:r="http://schemas.openxmlformats.org/officeDocument/2006/relationships" r:id="rId6"/>
          <a:extLst>
            <a:ext uri="{FF2B5EF4-FFF2-40B4-BE49-F238E27FC236}">
              <a16:creationId xmlns:a16="http://schemas.microsoft.com/office/drawing/2014/main" id="{32899A03-C3A9-41E6-8248-3538F911940F}"/>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20" name="AutoShape 13" descr="Story">
          <a:hlinkClick xmlns:r="http://schemas.openxmlformats.org/officeDocument/2006/relationships" r:id="rId4"/>
          <a:extLst>
            <a:ext uri="{FF2B5EF4-FFF2-40B4-BE49-F238E27FC236}">
              <a16:creationId xmlns:a16="http://schemas.microsoft.com/office/drawing/2014/main" id="{6E111C78-224B-47ED-9FF7-4A373ECFFC6F}"/>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741</xdr:row>
      <xdr:rowOff>0</xdr:rowOff>
    </xdr:from>
    <xdr:ext cx="152400" cy="152400"/>
    <xdr:sp macro="" textlink="">
      <xdr:nvSpPr>
        <xdr:cNvPr id="421" name="AutoShape 14" descr="Story">
          <a:hlinkClick xmlns:r="http://schemas.openxmlformats.org/officeDocument/2006/relationships" r:id="rId4"/>
          <a:extLst>
            <a:ext uri="{FF2B5EF4-FFF2-40B4-BE49-F238E27FC236}">
              <a16:creationId xmlns:a16="http://schemas.microsoft.com/office/drawing/2014/main" id="{474CD409-9FF7-4F7C-A390-25E62E8A5DA2}"/>
            </a:ext>
          </a:extLst>
        </xdr:cNvPr>
        <xdr:cNvSpPr>
          <a:spLocks noChangeAspect="1" noChangeArrowheads="1"/>
        </xdr:cNvSpPr>
      </xdr:nvSpPr>
      <xdr:spPr bwMode="auto">
        <a:xfrm>
          <a:off x="1912620" y="1359179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740</xdr:row>
      <xdr:rowOff>0</xdr:rowOff>
    </xdr:from>
    <xdr:to>
      <xdr:col>1</xdr:col>
      <xdr:colOff>152400</xdr:colOff>
      <xdr:row>740</xdr:row>
      <xdr:rowOff>152400</xdr:rowOff>
    </xdr:to>
    <xdr:sp macro="" textlink="">
      <xdr:nvSpPr>
        <xdr:cNvPr id="422" name="AutoShape 4" descr="Bug">
          <a:hlinkClick xmlns:r="http://schemas.openxmlformats.org/officeDocument/2006/relationships" r:id="rId1"/>
          <a:extLst>
            <a:ext uri="{FF2B5EF4-FFF2-40B4-BE49-F238E27FC236}">
              <a16:creationId xmlns:a16="http://schemas.microsoft.com/office/drawing/2014/main" id="{22347651-69C2-41AC-873F-DB7C718E1098}"/>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23" name="AutoShape 6" descr="Bug">
          <a:hlinkClick xmlns:r="http://schemas.openxmlformats.org/officeDocument/2006/relationships" r:id="rId2"/>
          <a:extLst>
            <a:ext uri="{FF2B5EF4-FFF2-40B4-BE49-F238E27FC236}">
              <a16:creationId xmlns:a16="http://schemas.microsoft.com/office/drawing/2014/main" id="{36142D9C-7128-47CF-A46B-A0B45F1D33D4}"/>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24" name="AutoShape 7" descr="Story">
          <a:hlinkClick xmlns:r="http://schemas.openxmlformats.org/officeDocument/2006/relationships" r:id="rId3"/>
          <a:extLst>
            <a:ext uri="{FF2B5EF4-FFF2-40B4-BE49-F238E27FC236}">
              <a16:creationId xmlns:a16="http://schemas.microsoft.com/office/drawing/2014/main" id="{387F42C4-9F40-4F52-B6B5-96347BE9DC05}"/>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25" name="AutoShape 8" descr="Story">
          <a:hlinkClick xmlns:r="http://schemas.openxmlformats.org/officeDocument/2006/relationships" r:id="rId4"/>
          <a:extLst>
            <a:ext uri="{FF2B5EF4-FFF2-40B4-BE49-F238E27FC236}">
              <a16:creationId xmlns:a16="http://schemas.microsoft.com/office/drawing/2014/main" id="{5E271763-8C77-464A-96EA-92F599188973}"/>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26" name="AutoShape 9" descr="Story">
          <a:hlinkClick xmlns:r="http://schemas.openxmlformats.org/officeDocument/2006/relationships" r:id="rId5"/>
          <a:extLst>
            <a:ext uri="{FF2B5EF4-FFF2-40B4-BE49-F238E27FC236}">
              <a16:creationId xmlns:a16="http://schemas.microsoft.com/office/drawing/2014/main" id="{C7EFA65D-57F2-4436-9A7B-269C1081EC2A}"/>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27" name="AutoShape 10" descr="Story">
          <a:hlinkClick xmlns:r="http://schemas.openxmlformats.org/officeDocument/2006/relationships" r:id="rId6"/>
          <a:extLst>
            <a:ext uri="{FF2B5EF4-FFF2-40B4-BE49-F238E27FC236}">
              <a16:creationId xmlns:a16="http://schemas.microsoft.com/office/drawing/2014/main" id="{FE05CE0B-8A62-41CB-926B-299C5AAACA98}"/>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28" name="AutoShape 13" descr="Story">
          <a:hlinkClick xmlns:r="http://schemas.openxmlformats.org/officeDocument/2006/relationships" r:id="rId4"/>
          <a:extLst>
            <a:ext uri="{FF2B5EF4-FFF2-40B4-BE49-F238E27FC236}">
              <a16:creationId xmlns:a16="http://schemas.microsoft.com/office/drawing/2014/main" id="{C35BB6B9-FA39-4D33-8D02-578778D8ABC4}"/>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29" name="AutoShape 14" descr="Story">
          <a:hlinkClick xmlns:r="http://schemas.openxmlformats.org/officeDocument/2006/relationships" r:id="rId4"/>
          <a:extLst>
            <a:ext uri="{FF2B5EF4-FFF2-40B4-BE49-F238E27FC236}">
              <a16:creationId xmlns:a16="http://schemas.microsoft.com/office/drawing/2014/main" id="{D1F7733B-B49D-4238-9268-0652807F3E12}"/>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0" name="AutoShape 4" descr="Bug">
          <a:hlinkClick xmlns:r="http://schemas.openxmlformats.org/officeDocument/2006/relationships" r:id="rId1"/>
          <a:extLst>
            <a:ext uri="{FF2B5EF4-FFF2-40B4-BE49-F238E27FC236}">
              <a16:creationId xmlns:a16="http://schemas.microsoft.com/office/drawing/2014/main" id="{EACD8F8E-9FA5-4FA9-B856-7BD5FE922720}"/>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1" name="AutoShape 6" descr="Bug">
          <a:hlinkClick xmlns:r="http://schemas.openxmlformats.org/officeDocument/2006/relationships" r:id="rId2"/>
          <a:extLst>
            <a:ext uri="{FF2B5EF4-FFF2-40B4-BE49-F238E27FC236}">
              <a16:creationId xmlns:a16="http://schemas.microsoft.com/office/drawing/2014/main" id="{894B338D-9B39-4FC7-BD36-A369E6BEDAAA}"/>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2" name="AutoShape 7" descr="Story">
          <a:hlinkClick xmlns:r="http://schemas.openxmlformats.org/officeDocument/2006/relationships" r:id="rId3"/>
          <a:extLst>
            <a:ext uri="{FF2B5EF4-FFF2-40B4-BE49-F238E27FC236}">
              <a16:creationId xmlns:a16="http://schemas.microsoft.com/office/drawing/2014/main" id="{AB1F6D7A-3E03-46BD-B17C-CAAE7C933116}"/>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3" name="AutoShape 8" descr="Story">
          <a:hlinkClick xmlns:r="http://schemas.openxmlformats.org/officeDocument/2006/relationships" r:id="rId4"/>
          <a:extLst>
            <a:ext uri="{FF2B5EF4-FFF2-40B4-BE49-F238E27FC236}">
              <a16:creationId xmlns:a16="http://schemas.microsoft.com/office/drawing/2014/main" id="{FF35ECEB-9D83-458A-912F-4F48FD1BDC53}"/>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4" name="AutoShape 9" descr="Story">
          <a:hlinkClick xmlns:r="http://schemas.openxmlformats.org/officeDocument/2006/relationships" r:id="rId5"/>
          <a:extLst>
            <a:ext uri="{FF2B5EF4-FFF2-40B4-BE49-F238E27FC236}">
              <a16:creationId xmlns:a16="http://schemas.microsoft.com/office/drawing/2014/main" id="{A9F84B65-FC65-4759-8E5B-5F9F6D3C7A74}"/>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5" name="AutoShape 10" descr="Story">
          <a:hlinkClick xmlns:r="http://schemas.openxmlformats.org/officeDocument/2006/relationships" r:id="rId6"/>
          <a:extLst>
            <a:ext uri="{FF2B5EF4-FFF2-40B4-BE49-F238E27FC236}">
              <a16:creationId xmlns:a16="http://schemas.microsoft.com/office/drawing/2014/main" id="{DF6EE6F9-79BD-4301-9E73-F7B3026530D8}"/>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6" name="AutoShape 13" descr="Story">
          <a:hlinkClick xmlns:r="http://schemas.openxmlformats.org/officeDocument/2006/relationships" r:id="rId4"/>
          <a:extLst>
            <a:ext uri="{FF2B5EF4-FFF2-40B4-BE49-F238E27FC236}">
              <a16:creationId xmlns:a16="http://schemas.microsoft.com/office/drawing/2014/main" id="{524B701B-7315-44B3-870B-2F48706BD045}"/>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740</xdr:row>
      <xdr:rowOff>0</xdr:rowOff>
    </xdr:from>
    <xdr:to>
      <xdr:col>1</xdr:col>
      <xdr:colOff>152400</xdr:colOff>
      <xdr:row>740</xdr:row>
      <xdr:rowOff>152400</xdr:rowOff>
    </xdr:to>
    <xdr:sp macro="" textlink="">
      <xdr:nvSpPr>
        <xdr:cNvPr id="437" name="AutoShape 14" descr="Story">
          <a:hlinkClick xmlns:r="http://schemas.openxmlformats.org/officeDocument/2006/relationships" r:id="rId4"/>
          <a:extLst>
            <a:ext uri="{FF2B5EF4-FFF2-40B4-BE49-F238E27FC236}">
              <a16:creationId xmlns:a16="http://schemas.microsoft.com/office/drawing/2014/main" id="{4E31AF53-8DB9-4F68-801D-248ED9204A2B}"/>
            </a:ext>
          </a:extLst>
        </xdr:cNvPr>
        <xdr:cNvSpPr>
          <a:spLocks noChangeAspect="1" noChangeArrowheads="1"/>
        </xdr:cNvSpPr>
      </xdr:nvSpPr>
      <xdr:spPr bwMode="auto">
        <a:xfrm>
          <a:off x="1912620" y="1357350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38" name="AutoShape 4" descr="Bug">
          <a:hlinkClick xmlns:r="http://schemas.openxmlformats.org/officeDocument/2006/relationships" r:id="rId1"/>
          <a:extLst>
            <a:ext uri="{FF2B5EF4-FFF2-40B4-BE49-F238E27FC236}">
              <a16:creationId xmlns:a16="http://schemas.microsoft.com/office/drawing/2014/main" id="{57573E0B-5D85-4ECC-BCA1-6A77BBB17CAC}"/>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39" name="AutoShape 6" descr="Bug">
          <a:hlinkClick xmlns:r="http://schemas.openxmlformats.org/officeDocument/2006/relationships" r:id="rId2"/>
          <a:extLst>
            <a:ext uri="{FF2B5EF4-FFF2-40B4-BE49-F238E27FC236}">
              <a16:creationId xmlns:a16="http://schemas.microsoft.com/office/drawing/2014/main" id="{967001F2-D51C-4AAB-9251-8AD2364C87A9}"/>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0" name="AutoShape 7" descr="Story">
          <a:hlinkClick xmlns:r="http://schemas.openxmlformats.org/officeDocument/2006/relationships" r:id="rId3"/>
          <a:extLst>
            <a:ext uri="{FF2B5EF4-FFF2-40B4-BE49-F238E27FC236}">
              <a16:creationId xmlns:a16="http://schemas.microsoft.com/office/drawing/2014/main" id="{2993BF1C-5D20-44F0-BD76-A78F675CDE83}"/>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1" name="AutoShape 8" descr="Story">
          <a:hlinkClick xmlns:r="http://schemas.openxmlformats.org/officeDocument/2006/relationships" r:id="rId4"/>
          <a:extLst>
            <a:ext uri="{FF2B5EF4-FFF2-40B4-BE49-F238E27FC236}">
              <a16:creationId xmlns:a16="http://schemas.microsoft.com/office/drawing/2014/main" id="{D49B6F0E-392F-4DE0-91C2-3161632C5D3D}"/>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2" name="AutoShape 9" descr="Story">
          <a:hlinkClick xmlns:r="http://schemas.openxmlformats.org/officeDocument/2006/relationships" r:id="rId5"/>
          <a:extLst>
            <a:ext uri="{FF2B5EF4-FFF2-40B4-BE49-F238E27FC236}">
              <a16:creationId xmlns:a16="http://schemas.microsoft.com/office/drawing/2014/main" id="{DDB4BB4D-0B83-4B28-8BCD-CADD2036B5AA}"/>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3" name="AutoShape 10" descr="Story">
          <a:hlinkClick xmlns:r="http://schemas.openxmlformats.org/officeDocument/2006/relationships" r:id="rId6"/>
          <a:extLst>
            <a:ext uri="{FF2B5EF4-FFF2-40B4-BE49-F238E27FC236}">
              <a16:creationId xmlns:a16="http://schemas.microsoft.com/office/drawing/2014/main" id="{9A5BB809-6F1F-4C92-9946-5685BCE32C2C}"/>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4" name="AutoShape 13" descr="Story">
          <a:hlinkClick xmlns:r="http://schemas.openxmlformats.org/officeDocument/2006/relationships" r:id="rId4"/>
          <a:extLst>
            <a:ext uri="{FF2B5EF4-FFF2-40B4-BE49-F238E27FC236}">
              <a16:creationId xmlns:a16="http://schemas.microsoft.com/office/drawing/2014/main" id="{ED53F124-82AF-49B9-A44B-23DF35BC032B}"/>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5" name="AutoShape 14" descr="Story">
          <a:hlinkClick xmlns:r="http://schemas.openxmlformats.org/officeDocument/2006/relationships" r:id="rId4"/>
          <a:extLst>
            <a:ext uri="{FF2B5EF4-FFF2-40B4-BE49-F238E27FC236}">
              <a16:creationId xmlns:a16="http://schemas.microsoft.com/office/drawing/2014/main" id="{FEAC74C4-66AA-410F-9742-132364A632ED}"/>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6" name="AutoShape 4" descr="Bug">
          <a:hlinkClick xmlns:r="http://schemas.openxmlformats.org/officeDocument/2006/relationships" r:id="rId1"/>
          <a:extLst>
            <a:ext uri="{FF2B5EF4-FFF2-40B4-BE49-F238E27FC236}">
              <a16:creationId xmlns:a16="http://schemas.microsoft.com/office/drawing/2014/main" id="{B4AADCA2-5018-46D9-A0A5-E2188AF5E50C}"/>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7" name="AutoShape 6" descr="Bug">
          <a:hlinkClick xmlns:r="http://schemas.openxmlformats.org/officeDocument/2006/relationships" r:id="rId2"/>
          <a:extLst>
            <a:ext uri="{FF2B5EF4-FFF2-40B4-BE49-F238E27FC236}">
              <a16:creationId xmlns:a16="http://schemas.microsoft.com/office/drawing/2014/main" id="{417AFDDE-77A3-4BE7-90B8-3C5BA0084A7D}"/>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8" name="AutoShape 7" descr="Story">
          <a:hlinkClick xmlns:r="http://schemas.openxmlformats.org/officeDocument/2006/relationships" r:id="rId3"/>
          <a:extLst>
            <a:ext uri="{FF2B5EF4-FFF2-40B4-BE49-F238E27FC236}">
              <a16:creationId xmlns:a16="http://schemas.microsoft.com/office/drawing/2014/main" id="{1CB1668B-BB08-455D-A41A-1947C12BE199}"/>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49" name="AutoShape 8" descr="Story">
          <a:hlinkClick xmlns:r="http://schemas.openxmlformats.org/officeDocument/2006/relationships" r:id="rId4"/>
          <a:extLst>
            <a:ext uri="{FF2B5EF4-FFF2-40B4-BE49-F238E27FC236}">
              <a16:creationId xmlns:a16="http://schemas.microsoft.com/office/drawing/2014/main" id="{0D3CF655-432C-44AB-9EC7-85B3B653E4E4}"/>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50" name="AutoShape 9" descr="Story">
          <a:hlinkClick xmlns:r="http://schemas.openxmlformats.org/officeDocument/2006/relationships" r:id="rId5"/>
          <a:extLst>
            <a:ext uri="{FF2B5EF4-FFF2-40B4-BE49-F238E27FC236}">
              <a16:creationId xmlns:a16="http://schemas.microsoft.com/office/drawing/2014/main" id="{6CA6A4A5-8CD8-4B7E-BC0E-0B3CAD027881}"/>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51" name="AutoShape 10" descr="Story">
          <a:hlinkClick xmlns:r="http://schemas.openxmlformats.org/officeDocument/2006/relationships" r:id="rId6"/>
          <a:extLst>
            <a:ext uri="{FF2B5EF4-FFF2-40B4-BE49-F238E27FC236}">
              <a16:creationId xmlns:a16="http://schemas.microsoft.com/office/drawing/2014/main" id="{587CCA94-92BB-4D93-AD5A-0C54CCDA4BCE}"/>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52" name="AutoShape 13" descr="Story">
          <a:hlinkClick xmlns:r="http://schemas.openxmlformats.org/officeDocument/2006/relationships" r:id="rId4"/>
          <a:extLst>
            <a:ext uri="{FF2B5EF4-FFF2-40B4-BE49-F238E27FC236}">
              <a16:creationId xmlns:a16="http://schemas.microsoft.com/office/drawing/2014/main" id="{0F1BB834-1293-4043-9270-90BB1D237144}"/>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744</xdr:row>
      <xdr:rowOff>0</xdr:rowOff>
    </xdr:from>
    <xdr:to>
      <xdr:col>1</xdr:col>
      <xdr:colOff>152400</xdr:colOff>
      <xdr:row>744</xdr:row>
      <xdr:rowOff>152400</xdr:rowOff>
    </xdr:to>
    <xdr:sp macro="" textlink="">
      <xdr:nvSpPr>
        <xdr:cNvPr id="453" name="AutoShape 14" descr="Story">
          <a:hlinkClick xmlns:r="http://schemas.openxmlformats.org/officeDocument/2006/relationships" r:id="rId4"/>
          <a:extLst>
            <a:ext uri="{FF2B5EF4-FFF2-40B4-BE49-F238E27FC236}">
              <a16:creationId xmlns:a16="http://schemas.microsoft.com/office/drawing/2014/main" id="{87EA7C03-99B5-43C1-A156-F22EA692BC60}"/>
            </a:ext>
          </a:extLst>
        </xdr:cNvPr>
        <xdr:cNvSpPr>
          <a:spLocks noChangeAspect="1" noChangeArrowheads="1"/>
        </xdr:cNvSpPr>
      </xdr:nvSpPr>
      <xdr:spPr bwMode="auto">
        <a:xfrm>
          <a:off x="1912620" y="1364665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54" name="AutoShape 4" descr="Bug">
          <a:hlinkClick xmlns:r="http://schemas.openxmlformats.org/officeDocument/2006/relationships" r:id="rId1"/>
          <a:extLst>
            <a:ext uri="{FF2B5EF4-FFF2-40B4-BE49-F238E27FC236}">
              <a16:creationId xmlns:a16="http://schemas.microsoft.com/office/drawing/2014/main" id="{4FB6FDA7-D62A-403A-9578-D2C8FA9B47E6}"/>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55" name="AutoShape 6" descr="Bug">
          <a:hlinkClick xmlns:r="http://schemas.openxmlformats.org/officeDocument/2006/relationships" r:id="rId2"/>
          <a:extLst>
            <a:ext uri="{FF2B5EF4-FFF2-40B4-BE49-F238E27FC236}">
              <a16:creationId xmlns:a16="http://schemas.microsoft.com/office/drawing/2014/main" id="{6843F5BA-17C0-4088-B5EE-CE1804CEE623}"/>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56" name="AutoShape 7" descr="Story">
          <a:hlinkClick xmlns:r="http://schemas.openxmlformats.org/officeDocument/2006/relationships" r:id="rId3"/>
          <a:extLst>
            <a:ext uri="{FF2B5EF4-FFF2-40B4-BE49-F238E27FC236}">
              <a16:creationId xmlns:a16="http://schemas.microsoft.com/office/drawing/2014/main" id="{B6C1A29E-EB10-401A-BDB6-A53A4447DC18}"/>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57" name="AutoShape 8" descr="Story">
          <a:hlinkClick xmlns:r="http://schemas.openxmlformats.org/officeDocument/2006/relationships" r:id="rId4"/>
          <a:extLst>
            <a:ext uri="{FF2B5EF4-FFF2-40B4-BE49-F238E27FC236}">
              <a16:creationId xmlns:a16="http://schemas.microsoft.com/office/drawing/2014/main" id="{3457C60B-90DF-42E9-BDAF-AFF3BB70A3D1}"/>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58" name="AutoShape 9" descr="Story">
          <a:hlinkClick xmlns:r="http://schemas.openxmlformats.org/officeDocument/2006/relationships" r:id="rId5"/>
          <a:extLst>
            <a:ext uri="{FF2B5EF4-FFF2-40B4-BE49-F238E27FC236}">
              <a16:creationId xmlns:a16="http://schemas.microsoft.com/office/drawing/2014/main" id="{F5CC2398-F8A5-4692-8D50-FD5566B8ED63}"/>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59" name="AutoShape 10" descr="Story">
          <a:hlinkClick xmlns:r="http://schemas.openxmlformats.org/officeDocument/2006/relationships" r:id="rId6"/>
          <a:extLst>
            <a:ext uri="{FF2B5EF4-FFF2-40B4-BE49-F238E27FC236}">
              <a16:creationId xmlns:a16="http://schemas.microsoft.com/office/drawing/2014/main" id="{20DCF0AA-FFFA-4699-9B23-CDAE0AE0938A}"/>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0" name="AutoShape 13" descr="Story">
          <a:hlinkClick xmlns:r="http://schemas.openxmlformats.org/officeDocument/2006/relationships" r:id="rId4"/>
          <a:extLst>
            <a:ext uri="{FF2B5EF4-FFF2-40B4-BE49-F238E27FC236}">
              <a16:creationId xmlns:a16="http://schemas.microsoft.com/office/drawing/2014/main" id="{7E2B1E02-5272-4C29-B545-CC8B5BAD8497}"/>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1" name="AutoShape 14" descr="Story">
          <a:hlinkClick xmlns:r="http://schemas.openxmlformats.org/officeDocument/2006/relationships" r:id="rId4"/>
          <a:extLst>
            <a:ext uri="{FF2B5EF4-FFF2-40B4-BE49-F238E27FC236}">
              <a16:creationId xmlns:a16="http://schemas.microsoft.com/office/drawing/2014/main" id="{C8FCF8DB-8B76-403C-9A8F-E03F5472AB8E}"/>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2" name="AutoShape 4" descr="Bug">
          <a:hlinkClick xmlns:r="http://schemas.openxmlformats.org/officeDocument/2006/relationships" r:id="rId1"/>
          <a:extLst>
            <a:ext uri="{FF2B5EF4-FFF2-40B4-BE49-F238E27FC236}">
              <a16:creationId xmlns:a16="http://schemas.microsoft.com/office/drawing/2014/main" id="{C5B91DDE-6BC3-4CA1-84A3-D5320A6E7E3C}"/>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3" name="AutoShape 6" descr="Bug">
          <a:hlinkClick xmlns:r="http://schemas.openxmlformats.org/officeDocument/2006/relationships" r:id="rId2"/>
          <a:extLst>
            <a:ext uri="{FF2B5EF4-FFF2-40B4-BE49-F238E27FC236}">
              <a16:creationId xmlns:a16="http://schemas.microsoft.com/office/drawing/2014/main" id="{916AF844-089A-4B82-A535-F8A8B1BC917F}"/>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4" name="AutoShape 7" descr="Story">
          <a:hlinkClick xmlns:r="http://schemas.openxmlformats.org/officeDocument/2006/relationships" r:id="rId3"/>
          <a:extLst>
            <a:ext uri="{FF2B5EF4-FFF2-40B4-BE49-F238E27FC236}">
              <a16:creationId xmlns:a16="http://schemas.microsoft.com/office/drawing/2014/main" id="{D6A1E425-BAE7-490A-B277-ADFC51F2DF2C}"/>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5" name="AutoShape 8" descr="Story">
          <a:hlinkClick xmlns:r="http://schemas.openxmlformats.org/officeDocument/2006/relationships" r:id="rId4"/>
          <a:extLst>
            <a:ext uri="{FF2B5EF4-FFF2-40B4-BE49-F238E27FC236}">
              <a16:creationId xmlns:a16="http://schemas.microsoft.com/office/drawing/2014/main" id="{95AB613A-7749-4DB6-B583-24DAAEF06F8F}"/>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6" name="AutoShape 9" descr="Story">
          <a:hlinkClick xmlns:r="http://schemas.openxmlformats.org/officeDocument/2006/relationships" r:id="rId5"/>
          <a:extLst>
            <a:ext uri="{FF2B5EF4-FFF2-40B4-BE49-F238E27FC236}">
              <a16:creationId xmlns:a16="http://schemas.microsoft.com/office/drawing/2014/main" id="{6793E168-6B64-419D-87E0-E5E9B46305D0}"/>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7" name="AutoShape 10" descr="Story">
          <a:hlinkClick xmlns:r="http://schemas.openxmlformats.org/officeDocument/2006/relationships" r:id="rId6"/>
          <a:extLst>
            <a:ext uri="{FF2B5EF4-FFF2-40B4-BE49-F238E27FC236}">
              <a16:creationId xmlns:a16="http://schemas.microsoft.com/office/drawing/2014/main" id="{93526D0C-2F90-4CA1-A409-C05DBC71B4D8}"/>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8" name="AutoShape 13" descr="Story">
          <a:hlinkClick xmlns:r="http://schemas.openxmlformats.org/officeDocument/2006/relationships" r:id="rId4"/>
          <a:extLst>
            <a:ext uri="{FF2B5EF4-FFF2-40B4-BE49-F238E27FC236}">
              <a16:creationId xmlns:a16="http://schemas.microsoft.com/office/drawing/2014/main" id="{C466CBED-6E6B-46A2-9343-E5BF46EFADA1}"/>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742</xdr:row>
      <xdr:rowOff>0</xdr:rowOff>
    </xdr:from>
    <xdr:to>
      <xdr:col>1</xdr:col>
      <xdr:colOff>152400</xdr:colOff>
      <xdr:row>742</xdr:row>
      <xdr:rowOff>152400</xdr:rowOff>
    </xdr:to>
    <xdr:sp macro="" textlink="">
      <xdr:nvSpPr>
        <xdr:cNvPr id="469" name="AutoShape 14" descr="Story">
          <a:hlinkClick xmlns:r="http://schemas.openxmlformats.org/officeDocument/2006/relationships" r:id="rId4"/>
          <a:extLst>
            <a:ext uri="{FF2B5EF4-FFF2-40B4-BE49-F238E27FC236}">
              <a16:creationId xmlns:a16="http://schemas.microsoft.com/office/drawing/2014/main" id="{79A2FD1A-8DAF-4F88-B3A6-A94F222ED093}"/>
            </a:ext>
          </a:extLst>
        </xdr:cNvPr>
        <xdr:cNvSpPr>
          <a:spLocks noChangeAspect="1" noChangeArrowheads="1"/>
        </xdr:cNvSpPr>
      </xdr:nvSpPr>
      <xdr:spPr bwMode="auto">
        <a:xfrm>
          <a:off x="1912620" y="1361008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0" name="AutoShape 4" descr="Bug">
          <a:hlinkClick xmlns:r="http://schemas.openxmlformats.org/officeDocument/2006/relationships" r:id="rId1"/>
          <a:extLst>
            <a:ext uri="{FF2B5EF4-FFF2-40B4-BE49-F238E27FC236}">
              <a16:creationId xmlns:a16="http://schemas.microsoft.com/office/drawing/2014/main" id="{37597961-C27E-4106-AEF7-6D7A9E01EEDA}"/>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1" name="AutoShape 6" descr="Bug">
          <a:hlinkClick xmlns:r="http://schemas.openxmlformats.org/officeDocument/2006/relationships" r:id="rId2"/>
          <a:extLst>
            <a:ext uri="{FF2B5EF4-FFF2-40B4-BE49-F238E27FC236}">
              <a16:creationId xmlns:a16="http://schemas.microsoft.com/office/drawing/2014/main" id="{7A0A2668-A7C8-425B-8A5E-60F3B3FD5B86}"/>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2" name="AutoShape 7" descr="Story">
          <a:hlinkClick xmlns:r="http://schemas.openxmlformats.org/officeDocument/2006/relationships" r:id="rId3"/>
          <a:extLst>
            <a:ext uri="{FF2B5EF4-FFF2-40B4-BE49-F238E27FC236}">
              <a16:creationId xmlns:a16="http://schemas.microsoft.com/office/drawing/2014/main" id="{4A86749E-EEA6-4D28-825B-CF74CD0F7747}"/>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3" name="AutoShape 8" descr="Story">
          <a:hlinkClick xmlns:r="http://schemas.openxmlformats.org/officeDocument/2006/relationships" r:id="rId4"/>
          <a:extLst>
            <a:ext uri="{FF2B5EF4-FFF2-40B4-BE49-F238E27FC236}">
              <a16:creationId xmlns:a16="http://schemas.microsoft.com/office/drawing/2014/main" id="{3E20DD0B-CF79-4C58-9541-9F352858C60C}"/>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4" name="AutoShape 9" descr="Story">
          <a:hlinkClick xmlns:r="http://schemas.openxmlformats.org/officeDocument/2006/relationships" r:id="rId5"/>
          <a:extLst>
            <a:ext uri="{FF2B5EF4-FFF2-40B4-BE49-F238E27FC236}">
              <a16:creationId xmlns:a16="http://schemas.microsoft.com/office/drawing/2014/main" id="{2A7A3AD0-5B05-4632-981B-ED445D6671EA}"/>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5" name="AutoShape 10" descr="Story">
          <a:hlinkClick xmlns:r="http://schemas.openxmlformats.org/officeDocument/2006/relationships" r:id="rId6"/>
          <a:extLst>
            <a:ext uri="{FF2B5EF4-FFF2-40B4-BE49-F238E27FC236}">
              <a16:creationId xmlns:a16="http://schemas.microsoft.com/office/drawing/2014/main" id="{E5A29CBA-DB98-4340-848A-D5A54C434E70}"/>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6" name="AutoShape 13" descr="Story">
          <a:hlinkClick xmlns:r="http://schemas.openxmlformats.org/officeDocument/2006/relationships" r:id="rId4"/>
          <a:extLst>
            <a:ext uri="{FF2B5EF4-FFF2-40B4-BE49-F238E27FC236}">
              <a16:creationId xmlns:a16="http://schemas.microsoft.com/office/drawing/2014/main" id="{1E48FF5A-C1A0-4C59-B5BE-FEBF30FC2C71}"/>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7" name="AutoShape 14" descr="Story">
          <a:hlinkClick xmlns:r="http://schemas.openxmlformats.org/officeDocument/2006/relationships" r:id="rId4"/>
          <a:extLst>
            <a:ext uri="{FF2B5EF4-FFF2-40B4-BE49-F238E27FC236}">
              <a16:creationId xmlns:a16="http://schemas.microsoft.com/office/drawing/2014/main" id="{D709A57E-572F-4210-8235-9D7ECEF1D73F}"/>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8" name="AutoShape 4" descr="Bug">
          <a:hlinkClick xmlns:r="http://schemas.openxmlformats.org/officeDocument/2006/relationships" r:id="rId1"/>
          <a:extLst>
            <a:ext uri="{FF2B5EF4-FFF2-40B4-BE49-F238E27FC236}">
              <a16:creationId xmlns:a16="http://schemas.microsoft.com/office/drawing/2014/main" id="{30A57971-DC12-4B92-9BD1-96386035AC75}"/>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79" name="AutoShape 6" descr="Bug">
          <a:hlinkClick xmlns:r="http://schemas.openxmlformats.org/officeDocument/2006/relationships" r:id="rId2"/>
          <a:extLst>
            <a:ext uri="{FF2B5EF4-FFF2-40B4-BE49-F238E27FC236}">
              <a16:creationId xmlns:a16="http://schemas.microsoft.com/office/drawing/2014/main" id="{EF7CD3CE-314A-46AD-A478-BE256EC8C26E}"/>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80" name="AutoShape 7" descr="Story">
          <a:hlinkClick xmlns:r="http://schemas.openxmlformats.org/officeDocument/2006/relationships" r:id="rId3"/>
          <a:extLst>
            <a:ext uri="{FF2B5EF4-FFF2-40B4-BE49-F238E27FC236}">
              <a16:creationId xmlns:a16="http://schemas.microsoft.com/office/drawing/2014/main" id="{B1AA3156-FD2C-4537-91DA-327E7A14BF1C}"/>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81" name="AutoShape 8" descr="Story">
          <a:hlinkClick xmlns:r="http://schemas.openxmlformats.org/officeDocument/2006/relationships" r:id="rId4"/>
          <a:extLst>
            <a:ext uri="{FF2B5EF4-FFF2-40B4-BE49-F238E27FC236}">
              <a16:creationId xmlns:a16="http://schemas.microsoft.com/office/drawing/2014/main" id="{AAF77F75-1640-4744-8848-BD9C6875F2C0}"/>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82" name="AutoShape 9" descr="Story">
          <a:hlinkClick xmlns:r="http://schemas.openxmlformats.org/officeDocument/2006/relationships" r:id="rId5"/>
          <a:extLst>
            <a:ext uri="{FF2B5EF4-FFF2-40B4-BE49-F238E27FC236}">
              <a16:creationId xmlns:a16="http://schemas.microsoft.com/office/drawing/2014/main" id="{607F5D3B-C127-4E1A-9FBE-53BFADF4DDC4}"/>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83" name="AutoShape 10" descr="Story">
          <a:hlinkClick xmlns:r="http://schemas.openxmlformats.org/officeDocument/2006/relationships" r:id="rId6"/>
          <a:extLst>
            <a:ext uri="{FF2B5EF4-FFF2-40B4-BE49-F238E27FC236}">
              <a16:creationId xmlns:a16="http://schemas.microsoft.com/office/drawing/2014/main" id="{BE51AF5E-D70E-455B-83F0-2350B3BA7DDF}"/>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84" name="AutoShape 13" descr="Story">
          <a:hlinkClick xmlns:r="http://schemas.openxmlformats.org/officeDocument/2006/relationships" r:id="rId4"/>
          <a:extLst>
            <a:ext uri="{FF2B5EF4-FFF2-40B4-BE49-F238E27FC236}">
              <a16:creationId xmlns:a16="http://schemas.microsoft.com/office/drawing/2014/main" id="{4CF88932-53CD-4E4C-887D-16076159D1F0}"/>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747</xdr:row>
      <xdr:rowOff>0</xdr:rowOff>
    </xdr:from>
    <xdr:to>
      <xdr:col>1</xdr:col>
      <xdr:colOff>152400</xdr:colOff>
      <xdr:row>747</xdr:row>
      <xdr:rowOff>152400</xdr:rowOff>
    </xdr:to>
    <xdr:sp macro="" textlink="">
      <xdr:nvSpPr>
        <xdr:cNvPr id="485" name="AutoShape 14" descr="Story">
          <a:hlinkClick xmlns:r="http://schemas.openxmlformats.org/officeDocument/2006/relationships" r:id="rId4"/>
          <a:extLst>
            <a:ext uri="{FF2B5EF4-FFF2-40B4-BE49-F238E27FC236}">
              <a16:creationId xmlns:a16="http://schemas.microsoft.com/office/drawing/2014/main" id="{16335F6C-C17F-4AE9-9154-1935FE4FE3E4}"/>
            </a:ext>
          </a:extLst>
        </xdr:cNvPr>
        <xdr:cNvSpPr>
          <a:spLocks noChangeAspect="1" noChangeArrowheads="1"/>
        </xdr:cNvSpPr>
      </xdr:nvSpPr>
      <xdr:spPr bwMode="auto">
        <a:xfrm>
          <a:off x="1912620" y="137015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86" name="AutoShape 4" descr="Bug">
          <a:hlinkClick xmlns:r="http://schemas.openxmlformats.org/officeDocument/2006/relationships" r:id="rId1"/>
          <a:extLst>
            <a:ext uri="{FF2B5EF4-FFF2-40B4-BE49-F238E27FC236}">
              <a16:creationId xmlns:a16="http://schemas.microsoft.com/office/drawing/2014/main" id="{500C51E8-EDFF-4329-A04A-F5EAAB85B9B9}"/>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87" name="AutoShape 6" descr="Bug">
          <a:hlinkClick xmlns:r="http://schemas.openxmlformats.org/officeDocument/2006/relationships" r:id="rId2"/>
          <a:extLst>
            <a:ext uri="{FF2B5EF4-FFF2-40B4-BE49-F238E27FC236}">
              <a16:creationId xmlns:a16="http://schemas.microsoft.com/office/drawing/2014/main" id="{0DFA7B46-32C7-4A47-97CA-B03F5587F80A}"/>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88" name="AutoShape 7" descr="Story">
          <a:hlinkClick xmlns:r="http://schemas.openxmlformats.org/officeDocument/2006/relationships" r:id="rId3"/>
          <a:extLst>
            <a:ext uri="{FF2B5EF4-FFF2-40B4-BE49-F238E27FC236}">
              <a16:creationId xmlns:a16="http://schemas.microsoft.com/office/drawing/2014/main" id="{17DCDBEB-086E-48EA-85F4-63AAFFE57911}"/>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89" name="AutoShape 8" descr="Story">
          <a:hlinkClick xmlns:r="http://schemas.openxmlformats.org/officeDocument/2006/relationships" r:id="rId4"/>
          <a:extLst>
            <a:ext uri="{FF2B5EF4-FFF2-40B4-BE49-F238E27FC236}">
              <a16:creationId xmlns:a16="http://schemas.microsoft.com/office/drawing/2014/main" id="{604DEF05-D465-4FA6-A18E-4DD191C90D2E}"/>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0" name="AutoShape 9" descr="Story">
          <a:hlinkClick xmlns:r="http://schemas.openxmlformats.org/officeDocument/2006/relationships" r:id="rId5"/>
          <a:extLst>
            <a:ext uri="{FF2B5EF4-FFF2-40B4-BE49-F238E27FC236}">
              <a16:creationId xmlns:a16="http://schemas.microsoft.com/office/drawing/2014/main" id="{E445B205-67D8-45C1-8CE2-F7AAEC5AC7B3}"/>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1" name="AutoShape 10" descr="Story">
          <a:hlinkClick xmlns:r="http://schemas.openxmlformats.org/officeDocument/2006/relationships" r:id="rId6"/>
          <a:extLst>
            <a:ext uri="{FF2B5EF4-FFF2-40B4-BE49-F238E27FC236}">
              <a16:creationId xmlns:a16="http://schemas.microsoft.com/office/drawing/2014/main" id="{F7589D43-A836-4958-A83B-DA2CEC650176}"/>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2" name="AutoShape 13" descr="Story">
          <a:hlinkClick xmlns:r="http://schemas.openxmlformats.org/officeDocument/2006/relationships" r:id="rId4"/>
          <a:extLst>
            <a:ext uri="{FF2B5EF4-FFF2-40B4-BE49-F238E27FC236}">
              <a16:creationId xmlns:a16="http://schemas.microsoft.com/office/drawing/2014/main" id="{984C2B4F-F428-4F81-9F1A-8CBF379552DB}"/>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3" name="AutoShape 14" descr="Story">
          <a:hlinkClick xmlns:r="http://schemas.openxmlformats.org/officeDocument/2006/relationships" r:id="rId4"/>
          <a:extLst>
            <a:ext uri="{FF2B5EF4-FFF2-40B4-BE49-F238E27FC236}">
              <a16:creationId xmlns:a16="http://schemas.microsoft.com/office/drawing/2014/main" id="{29C4E7C7-E265-4E3C-AEDE-EC607E754712}"/>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4" name="AutoShape 4" descr="Bug">
          <a:hlinkClick xmlns:r="http://schemas.openxmlformats.org/officeDocument/2006/relationships" r:id="rId1"/>
          <a:extLst>
            <a:ext uri="{FF2B5EF4-FFF2-40B4-BE49-F238E27FC236}">
              <a16:creationId xmlns:a16="http://schemas.microsoft.com/office/drawing/2014/main" id="{29DF649D-5CD0-4E5D-838C-68508A604841}"/>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5" name="AutoShape 6" descr="Bug">
          <a:hlinkClick xmlns:r="http://schemas.openxmlformats.org/officeDocument/2006/relationships" r:id="rId2"/>
          <a:extLst>
            <a:ext uri="{FF2B5EF4-FFF2-40B4-BE49-F238E27FC236}">
              <a16:creationId xmlns:a16="http://schemas.microsoft.com/office/drawing/2014/main" id="{1198D444-86A5-40C2-96B1-04C443A2C1A5}"/>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6" name="AutoShape 7" descr="Story">
          <a:hlinkClick xmlns:r="http://schemas.openxmlformats.org/officeDocument/2006/relationships" r:id="rId3"/>
          <a:extLst>
            <a:ext uri="{FF2B5EF4-FFF2-40B4-BE49-F238E27FC236}">
              <a16:creationId xmlns:a16="http://schemas.microsoft.com/office/drawing/2014/main" id="{2F52E2BB-674D-4D01-83A7-8098C7993C76}"/>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7" name="AutoShape 8" descr="Story">
          <a:hlinkClick xmlns:r="http://schemas.openxmlformats.org/officeDocument/2006/relationships" r:id="rId4"/>
          <a:extLst>
            <a:ext uri="{FF2B5EF4-FFF2-40B4-BE49-F238E27FC236}">
              <a16:creationId xmlns:a16="http://schemas.microsoft.com/office/drawing/2014/main" id="{972F691B-5416-4026-A756-B70DAC893043}"/>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8" name="AutoShape 9" descr="Story">
          <a:hlinkClick xmlns:r="http://schemas.openxmlformats.org/officeDocument/2006/relationships" r:id="rId5"/>
          <a:extLst>
            <a:ext uri="{FF2B5EF4-FFF2-40B4-BE49-F238E27FC236}">
              <a16:creationId xmlns:a16="http://schemas.microsoft.com/office/drawing/2014/main" id="{81A945E4-A55E-42F8-9182-4C94D45BDF29}"/>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499" name="AutoShape 10" descr="Story">
          <a:hlinkClick xmlns:r="http://schemas.openxmlformats.org/officeDocument/2006/relationships" r:id="rId6"/>
          <a:extLst>
            <a:ext uri="{FF2B5EF4-FFF2-40B4-BE49-F238E27FC236}">
              <a16:creationId xmlns:a16="http://schemas.microsoft.com/office/drawing/2014/main" id="{55B5A80C-D8CF-4F74-9306-4F33613146F6}"/>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500" name="AutoShape 13" descr="Story">
          <a:hlinkClick xmlns:r="http://schemas.openxmlformats.org/officeDocument/2006/relationships" r:id="rId4"/>
          <a:extLst>
            <a:ext uri="{FF2B5EF4-FFF2-40B4-BE49-F238E27FC236}">
              <a16:creationId xmlns:a16="http://schemas.microsoft.com/office/drawing/2014/main" id="{311B05DC-0D9C-4FAF-8BA3-6BCBC4C324C3}"/>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751</xdr:row>
      <xdr:rowOff>0</xdr:rowOff>
    </xdr:from>
    <xdr:to>
      <xdr:col>1</xdr:col>
      <xdr:colOff>152400</xdr:colOff>
      <xdr:row>751</xdr:row>
      <xdr:rowOff>152400</xdr:rowOff>
    </xdr:to>
    <xdr:sp macro="" textlink="">
      <xdr:nvSpPr>
        <xdr:cNvPr id="501" name="AutoShape 14" descr="Story">
          <a:hlinkClick xmlns:r="http://schemas.openxmlformats.org/officeDocument/2006/relationships" r:id="rId4"/>
          <a:extLst>
            <a:ext uri="{FF2B5EF4-FFF2-40B4-BE49-F238E27FC236}">
              <a16:creationId xmlns:a16="http://schemas.microsoft.com/office/drawing/2014/main" id="{9EA44BB6-AC1D-48D2-862C-A05388FA0394}"/>
            </a:ext>
          </a:extLst>
        </xdr:cNvPr>
        <xdr:cNvSpPr>
          <a:spLocks noChangeAspect="1" noChangeArrowheads="1"/>
        </xdr:cNvSpPr>
      </xdr:nvSpPr>
      <xdr:spPr bwMode="auto">
        <a:xfrm>
          <a:off x="1912620" y="137784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752</xdr:row>
      <xdr:rowOff>0</xdr:rowOff>
    </xdr:from>
    <xdr:ext cx="152400" cy="152400"/>
    <xdr:sp macro="" textlink="">
      <xdr:nvSpPr>
        <xdr:cNvPr id="502" name="AutoShape 4" descr="Bug">
          <a:hlinkClick xmlns:r="http://schemas.openxmlformats.org/officeDocument/2006/relationships" r:id="rId1"/>
          <a:extLst>
            <a:ext uri="{FF2B5EF4-FFF2-40B4-BE49-F238E27FC236}">
              <a16:creationId xmlns:a16="http://schemas.microsoft.com/office/drawing/2014/main" id="{8E22B3E1-5541-44CE-9E5C-7C6B8D22AC0E}"/>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03" name="AutoShape 6" descr="Bug">
          <a:hlinkClick xmlns:r="http://schemas.openxmlformats.org/officeDocument/2006/relationships" r:id="rId2"/>
          <a:extLst>
            <a:ext uri="{FF2B5EF4-FFF2-40B4-BE49-F238E27FC236}">
              <a16:creationId xmlns:a16="http://schemas.microsoft.com/office/drawing/2014/main" id="{850AA1AF-1D04-45D9-AA35-3A28BA8426BE}"/>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04" name="AutoShape 7" descr="Story">
          <a:hlinkClick xmlns:r="http://schemas.openxmlformats.org/officeDocument/2006/relationships" r:id="rId3"/>
          <a:extLst>
            <a:ext uri="{FF2B5EF4-FFF2-40B4-BE49-F238E27FC236}">
              <a16:creationId xmlns:a16="http://schemas.microsoft.com/office/drawing/2014/main" id="{B9E40994-E7F5-4C11-B504-05C8110C10C2}"/>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05" name="AutoShape 8" descr="Story">
          <a:hlinkClick xmlns:r="http://schemas.openxmlformats.org/officeDocument/2006/relationships" r:id="rId4"/>
          <a:extLst>
            <a:ext uri="{FF2B5EF4-FFF2-40B4-BE49-F238E27FC236}">
              <a16:creationId xmlns:a16="http://schemas.microsoft.com/office/drawing/2014/main" id="{ACD95ED5-E1CF-43BE-B0CA-61C3182DEA52}"/>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06" name="AutoShape 9" descr="Story">
          <a:hlinkClick xmlns:r="http://schemas.openxmlformats.org/officeDocument/2006/relationships" r:id="rId5"/>
          <a:extLst>
            <a:ext uri="{FF2B5EF4-FFF2-40B4-BE49-F238E27FC236}">
              <a16:creationId xmlns:a16="http://schemas.microsoft.com/office/drawing/2014/main" id="{6EA826C0-E989-41D8-8B38-A151B4974B4B}"/>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07" name="AutoShape 10" descr="Story">
          <a:hlinkClick xmlns:r="http://schemas.openxmlformats.org/officeDocument/2006/relationships" r:id="rId6"/>
          <a:extLst>
            <a:ext uri="{FF2B5EF4-FFF2-40B4-BE49-F238E27FC236}">
              <a16:creationId xmlns:a16="http://schemas.microsoft.com/office/drawing/2014/main" id="{7112DB33-27ED-4710-A87F-43CC8ED170A6}"/>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08" name="AutoShape 13" descr="Story">
          <a:hlinkClick xmlns:r="http://schemas.openxmlformats.org/officeDocument/2006/relationships" r:id="rId4"/>
          <a:extLst>
            <a:ext uri="{FF2B5EF4-FFF2-40B4-BE49-F238E27FC236}">
              <a16:creationId xmlns:a16="http://schemas.microsoft.com/office/drawing/2014/main" id="{DB62D4ED-0BAB-4043-8F03-73AC6500C64C}"/>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09" name="AutoShape 14" descr="Story">
          <a:hlinkClick xmlns:r="http://schemas.openxmlformats.org/officeDocument/2006/relationships" r:id="rId4"/>
          <a:extLst>
            <a:ext uri="{FF2B5EF4-FFF2-40B4-BE49-F238E27FC236}">
              <a16:creationId xmlns:a16="http://schemas.microsoft.com/office/drawing/2014/main" id="{9F38FE41-62B0-472B-A4AE-5E9A26220033}"/>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0" name="AutoShape 4" descr="Bug">
          <a:hlinkClick xmlns:r="http://schemas.openxmlformats.org/officeDocument/2006/relationships" r:id="rId1"/>
          <a:extLst>
            <a:ext uri="{FF2B5EF4-FFF2-40B4-BE49-F238E27FC236}">
              <a16:creationId xmlns:a16="http://schemas.microsoft.com/office/drawing/2014/main" id="{BA9E444F-FFC4-48A0-99B2-AFAA9AE078A6}"/>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1" name="AutoShape 6" descr="Bug">
          <a:hlinkClick xmlns:r="http://schemas.openxmlformats.org/officeDocument/2006/relationships" r:id="rId2"/>
          <a:extLst>
            <a:ext uri="{FF2B5EF4-FFF2-40B4-BE49-F238E27FC236}">
              <a16:creationId xmlns:a16="http://schemas.microsoft.com/office/drawing/2014/main" id="{8649BFDB-7594-4B59-BCAD-608AF68447C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2" name="AutoShape 7" descr="Story">
          <a:hlinkClick xmlns:r="http://schemas.openxmlformats.org/officeDocument/2006/relationships" r:id="rId3"/>
          <a:extLst>
            <a:ext uri="{FF2B5EF4-FFF2-40B4-BE49-F238E27FC236}">
              <a16:creationId xmlns:a16="http://schemas.microsoft.com/office/drawing/2014/main" id="{883F16C1-7C5E-4F74-8F53-50B51ADEADC0}"/>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3" name="AutoShape 8" descr="Story">
          <a:hlinkClick xmlns:r="http://schemas.openxmlformats.org/officeDocument/2006/relationships" r:id="rId4"/>
          <a:extLst>
            <a:ext uri="{FF2B5EF4-FFF2-40B4-BE49-F238E27FC236}">
              <a16:creationId xmlns:a16="http://schemas.microsoft.com/office/drawing/2014/main" id="{3617F66A-9B61-4945-8195-A1146488CA16}"/>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4" name="AutoShape 9" descr="Story">
          <a:hlinkClick xmlns:r="http://schemas.openxmlformats.org/officeDocument/2006/relationships" r:id="rId5"/>
          <a:extLst>
            <a:ext uri="{FF2B5EF4-FFF2-40B4-BE49-F238E27FC236}">
              <a16:creationId xmlns:a16="http://schemas.microsoft.com/office/drawing/2014/main" id="{8FD6EEDF-F8F8-42DF-8F49-293C27167776}"/>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5" name="AutoShape 10" descr="Story">
          <a:hlinkClick xmlns:r="http://schemas.openxmlformats.org/officeDocument/2006/relationships" r:id="rId6"/>
          <a:extLst>
            <a:ext uri="{FF2B5EF4-FFF2-40B4-BE49-F238E27FC236}">
              <a16:creationId xmlns:a16="http://schemas.microsoft.com/office/drawing/2014/main" id="{190072DB-91B0-4B67-9E65-366ED1B09692}"/>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6" name="AutoShape 13" descr="Story">
          <a:hlinkClick xmlns:r="http://schemas.openxmlformats.org/officeDocument/2006/relationships" r:id="rId4"/>
          <a:extLst>
            <a:ext uri="{FF2B5EF4-FFF2-40B4-BE49-F238E27FC236}">
              <a16:creationId xmlns:a16="http://schemas.microsoft.com/office/drawing/2014/main" id="{84941C9F-9CC3-40CA-872F-0D1A13AA9419}"/>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7" name="AutoShape 14" descr="Story">
          <a:hlinkClick xmlns:r="http://schemas.openxmlformats.org/officeDocument/2006/relationships" r:id="rId4"/>
          <a:extLst>
            <a:ext uri="{FF2B5EF4-FFF2-40B4-BE49-F238E27FC236}">
              <a16:creationId xmlns:a16="http://schemas.microsoft.com/office/drawing/2014/main" id="{299E0392-039F-4B82-A4DE-C50760CB2D2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8" name="AutoShape 4" descr="Bug">
          <a:hlinkClick xmlns:r="http://schemas.openxmlformats.org/officeDocument/2006/relationships" r:id="rId1"/>
          <a:extLst>
            <a:ext uri="{FF2B5EF4-FFF2-40B4-BE49-F238E27FC236}">
              <a16:creationId xmlns:a16="http://schemas.microsoft.com/office/drawing/2014/main" id="{9B752923-F1A4-411A-BA03-52782198F579}"/>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19" name="AutoShape 6" descr="Bug">
          <a:hlinkClick xmlns:r="http://schemas.openxmlformats.org/officeDocument/2006/relationships" r:id="rId2"/>
          <a:extLst>
            <a:ext uri="{FF2B5EF4-FFF2-40B4-BE49-F238E27FC236}">
              <a16:creationId xmlns:a16="http://schemas.microsoft.com/office/drawing/2014/main" id="{7B6C2DFB-0C47-459E-95A8-5A3DDF5D0831}"/>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0" name="AutoShape 7" descr="Story">
          <a:hlinkClick xmlns:r="http://schemas.openxmlformats.org/officeDocument/2006/relationships" r:id="rId3"/>
          <a:extLst>
            <a:ext uri="{FF2B5EF4-FFF2-40B4-BE49-F238E27FC236}">
              <a16:creationId xmlns:a16="http://schemas.microsoft.com/office/drawing/2014/main" id="{AACF963F-43CA-4BA2-BD9D-CAF6FC01D64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1" name="AutoShape 8" descr="Story">
          <a:hlinkClick xmlns:r="http://schemas.openxmlformats.org/officeDocument/2006/relationships" r:id="rId4"/>
          <a:extLst>
            <a:ext uri="{FF2B5EF4-FFF2-40B4-BE49-F238E27FC236}">
              <a16:creationId xmlns:a16="http://schemas.microsoft.com/office/drawing/2014/main" id="{E6E33276-BC99-4636-B697-3754E2C0868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2" name="AutoShape 9" descr="Story">
          <a:hlinkClick xmlns:r="http://schemas.openxmlformats.org/officeDocument/2006/relationships" r:id="rId5"/>
          <a:extLst>
            <a:ext uri="{FF2B5EF4-FFF2-40B4-BE49-F238E27FC236}">
              <a16:creationId xmlns:a16="http://schemas.microsoft.com/office/drawing/2014/main" id="{F7C66C14-948F-4953-B48F-0DC17F144F70}"/>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3" name="AutoShape 10" descr="Story">
          <a:hlinkClick xmlns:r="http://schemas.openxmlformats.org/officeDocument/2006/relationships" r:id="rId6"/>
          <a:extLst>
            <a:ext uri="{FF2B5EF4-FFF2-40B4-BE49-F238E27FC236}">
              <a16:creationId xmlns:a16="http://schemas.microsoft.com/office/drawing/2014/main" id="{34D60CF4-6C03-44DF-9261-BB5B3191410C}"/>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4" name="AutoShape 13" descr="Story">
          <a:hlinkClick xmlns:r="http://schemas.openxmlformats.org/officeDocument/2006/relationships" r:id="rId4"/>
          <a:extLst>
            <a:ext uri="{FF2B5EF4-FFF2-40B4-BE49-F238E27FC236}">
              <a16:creationId xmlns:a16="http://schemas.microsoft.com/office/drawing/2014/main" id="{7A2F8CEF-81FF-445F-A026-FF1586441699}"/>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5" name="AutoShape 14" descr="Story">
          <a:hlinkClick xmlns:r="http://schemas.openxmlformats.org/officeDocument/2006/relationships" r:id="rId4"/>
          <a:extLst>
            <a:ext uri="{FF2B5EF4-FFF2-40B4-BE49-F238E27FC236}">
              <a16:creationId xmlns:a16="http://schemas.microsoft.com/office/drawing/2014/main" id="{26AC1A1E-69A2-44E1-B988-A95076FF568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6" name="AutoShape 4" descr="Bug">
          <a:hlinkClick xmlns:r="http://schemas.openxmlformats.org/officeDocument/2006/relationships" r:id="rId1"/>
          <a:extLst>
            <a:ext uri="{FF2B5EF4-FFF2-40B4-BE49-F238E27FC236}">
              <a16:creationId xmlns:a16="http://schemas.microsoft.com/office/drawing/2014/main" id="{7861ADCB-57E7-4BEF-BB3B-2BE1BAF8E3A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7" name="AutoShape 6" descr="Bug">
          <a:hlinkClick xmlns:r="http://schemas.openxmlformats.org/officeDocument/2006/relationships" r:id="rId2"/>
          <a:extLst>
            <a:ext uri="{FF2B5EF4-FFF2-40B4-BE49-F238E27FC236}">
              <a16:creationId xmlns:a16="http://schemas.microsoft.com/office/drawing/2014/main" id="{0A8448AB-1F63-4EE2-96A1-1884E979838F}"/>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8" name="AutoShape 7" descr="Story">
          <a:hlinkClick xmlns:r="http://schemas.openxmlformats.org/officeDocument/2006/relationships" r:id="rId3"/>
          <a:extLst>
            <a:ext uri="{FF2B5EF4-FFF2-40B4-BE49-F238E27FC236}">
              <a16:creationId xmlns:a16="http://schemas.microsoft.com/office/drawing/2014/main" id="{56D480D5-BEE4-4BB8-BD17-8196EC23435A}"/>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29" name="AutoShape 8" descr="Story">
          <a:hlinkClick xmlns:r="http://schemas.openxmlformats.org/officeDocument/2006/relationships" r:id="rId4"/>
          <a:extLst>
            <a:ext uri="{FF2B5EF4-FFF2-40B4-BE49-F238E27FC236}">
              <a16:creationId xmlns:a16="http://schemas.microsoft.com/office/drawing/2014/main" id="{3FE58FDE-2CB4-465E-8757-78C646C73D09}"/>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30" name="AutoShape 9" descr="Story">
          <a:hlinkClick xmlns:r="http://schemas.openxmlformats.org/officeDocument/2006/relationships" r:id="rId5"/>
          <a:extLst>
            <a:ext uri="{FF2B5EF4-FFF2-40B4-BE49-F238E27FC236}">
              <a16:creationId xmlns:a16="http://schemas.microsoft.com/office/drawing/2014/main" id="{92A42F90-C161-41B1-9376-99C6058C9231}"/>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31" name="AutoShape 10" descr="Story">
          <a:hlinkClick xmlns:r="http://schemas.openxmlformats.org/officeDocument/2006/relationships" r:id="rId6"/>
          <a:extLst>
            <a:ext uri="{FF2B5EF4-FFF2-40B4-BE49-F238E27FC236}">
              <a16:creationId xmlns:a16="http://schemas.microsoft.com/office/drawing/2014/main" id="{A35CFE51-21D9-464D-A985-5389EFEB476E}"/>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32" name="AutoShape 13" descr="Story">
          <a:hlinkClick xmlns:r="http://schemas.openxmlformats.org/officeDocument/2006/relationships" r:id="rId4"/>
          <a:extLst>
            <a:ext uri="{FF2B5EF4-FFF2-40B4-BE49-F238E27FC236}">
              <a16:creationId xmlns:a16="http://schemas.microsoft.com/office/drawing/2014/main" id="{B0A95CE0-8183-43C6-A49B-BC11BBD8AB77}"/>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752</xdr:row>
      <xdr:rowOff>0</xdr:rowOff>
    </xdr:from>
    <xdr:ext cx="152400" cy="152400"/>
    <xdr:sp macro="" textlink="">
      <xdr:nvSpPr>
        <xdr:cNvPr id="533" name="AutoShape 14" descr="Story">
          <a:hlinkClick xmlns:r="http://schemas.openxmlformats.org/officeDocument/2006/relationships" r:id="rId4"/>
          <a:extLst>
            <a:ext uri="{FF2B5EF4-FFF2-40B4-BE49-F238E27FC236}">
              <a16:creationId xmlns:a16="http://schemas.microsoft.com/office/drawing/2014/main" id="{B2F46C3B-67C1-4CD8-9221-D281B4240EB3}"/>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34" name="AutoShape 4" descr="Bug">
          <a:hlinkClick xmlns:r="http://schemas.openxmlformats.org/officeDocument/2006/relationships" r:id="rId1"/>
          <a:extLst>
            <a:ext uri="{FF2B5EF4-FFF2-40B4-BE49-F238E27FC236}">
              <a16:creationId xmlns:a16="http://schemas.microsoft.com/office/drawing/2014/main" id="{CE12228A-CE46-4C86-9405-0038B3D1B627}"/>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35" name="AutoShape 6" descr="Bug">
          <a:hlinkClick xmlns:r="http://schemas.openxmlformats.org/officeDocument/2006/relationships" r:id="rId2"/>
          <a:extLst>
            <a:ext uri="{FF2B5EF4-FFF2-40B4-BE49-F238E27FC236}">
              <a16:creationId xmlns:a16="http://schemas.microsoft.com/office/drawing/2014/main" id="{C9A01397-18E1-41A8-86BB-10A1412CD32F}"/>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36" name="AutoShape 7" descr="Story">
          <a:hlinkClick xmlns:r="http://schemas.openxmlformats.org/officeDocument/2006/relationships" r:id="rId3"/>
          <a:extLst>
            <a:ext uri="{FF2B5EF4-FFF2-40B4-BE49-F238E27FC236}">
              <a16:creationId xmlns:a16="http://schemas.microsoft.com/office/drawing/2014/main" id="{1C7951B7-11A3-408F-9E07-8C6AD64314A0}"/>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37" name="AutoShape 8" descr="Story">
          <a:hlinkClick xmlns:r="http://schemas.openxmlformats.org/officeDocument/2006/relationships" r:id="rId4"/>
          <a:extLst>
            <a:ext uri="{FF2B5EF4-FFF2-40B4-BE49-F238E27FC236}">
              <a16:creationId xmlns:a16="http://schemas.microsoft.com/office/drawing/2014/main" id="{0A2D3FD2-8761-4025-A322-AFE3DA9FBB3E}"/>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38" name="AutoShape 9" descr="Story">
          <a:hlinkClick xmlns:r="http://schemas.openxmlformats.org/officeDocument/2006/relationships" r:id="rId5"/>
          <a:extLst>
            <a:ext uri="{FF2B5EF4-FFF2-40B4-BE49-F238E27FC236}">
              <a16:creationId xmlns:a16="http://schemas.microsoft.com/office/drawing/2014/main" id="{ECBABA55-0549-49F4-B2AB-C7AA431A35A6}"/>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39" name="AutoShape 10" descr="Story">
          <a:hlinkClick xmlns:r="http://schemas.openxmlformats.org/officeDocument/2006/relationships" r:id="rId6"/>
          <a:extLst>
            <a:ext uri="{FF2B5EF4-FFF2-40B4-BE49-F238E27FC236}">
              <a16:creationId xmlns:a16="http://schemas.microsoft.com/office/drawing/2014/main" id="{BA2F7635-FCFD-44E8-B2F0-05A42D4D1BB8}"/>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0" name="AutoShape 13" descr="Story">
          <a:hlinkClick xmlns:r="http://schemas.openxmlformats.org/officeDocument/2006/relationships" r:id="rId4"/>
          <a:extLst>
            <a:ext uri="{FF2B5EF4-FFF2-40B4-BE49-F238E27FC236}">
              <a16:creationId xmlns:a16="http://schemas.microsoft.com/office/drawing/2014/main" id="{1F157A32-7562-438D-80E5-9BAB6AA81B61}"/>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1" name="AutoShape 14" descr="Story">
          <a:hlinkClick xmlns:r="http://schemas.openxmlformats.org/officeDocument/2006/relationships" r:id="rId4"/>
          <a:extLst>
            <a:ext uri="{FF2B5EF4-FFF2-40B4-BE49-F238E27FC236}">
              <a16:creationId xmlns:a16="http://schemas.microsoft.com/office/drawing/2014/main" id="{A43AC6FF-02A2-4E96-BF3B-C2A927E0A12E}"/>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2" name="AutoShape 4" descr="Bug">
          <a:hlinkClick xmlns:r="http://schemas.openxmlformats.org/officeDocument/2006/relationships" r:id="rId1"/>
          <a:extLst>
            <a:ext uri="{FF2B5EF4-FFF2-40B4-BE49-F238E27FC236}">
              <a16:creationId xmlns:a16="http://schemas.microsoft.com/office/drawing/2014/main" id="{51155563-F47B-4C0C-BA6F-5E9483A536EB}"/>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3" name="AutoShape 6" descr="Bug">
          <a:hlinkClick xmlns:r="http://schemas.openxmlformats.org/officeDocument/2006/relationships" r:id="rId2"/>
          <a:extLst>
            <a:ext uri="{FF2B5EF4-FFF2-40B4-BE49-F238E27FC236}">
              <a16:creationId xmlns:a16="http://schemas.microsoft.com/office/drawing/2014/main" id="{327E5139-7DC3-4313-ABA0-979E599B7676}"/>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4" name="AutoShape 7" descr="Story">
          <a:hlinkClick xmlns:r="http://schemas.openxmlformats.org/officeDocument/2006/relationships" r:id="rId3"/>
          <a:extLst>
            <a:ext uri="{FF2B5EF4-FFF2-40B4-BE49-F238E27FC236}">
              <a16:creationId xmlns:a16="http://schemas.microsoft.com/office/drawing/2014/main" id="{B3256900-FB67-4A55-A26C-1F5F3AF0F381}"/>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5" name="AutoShape 8" descr="Story">
          <a:hlinkClick xmlns:r="http://schemas.openxmlformats.org/officeDocument/2006/relationships" r:id="rId4"/>
          <a:extLst>
            <a:ext uri="{FF2B5EF4-FFF2-40B4-BE49-F238E27FC236}">
              <a16:creationId xmlns:a16="http://schemas.microsoft.com/office/drawing/2014/main" id="{D93BBE4F-CE3B-4208-B3A4-E788653E6299}"/>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6" name="AutoShape 9" descr="Story">
          <a:hlinkClick xmlns:r="http://schemas.openxmlformats.org/officeDocument/2006/relationships" r:id="rId5"/>
          <a:extLst>
            <a:ext uri="{FF2B5EF4-FFF2-40B4-BE49-F238E27FC236}">
              <a16:creationId xmlns:a16="http://schemas.microsoft.com/office/drawing/2014/main" id="{4CAC9BF6-030E-47CD-805B-BB5D72385878}"/>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7" name="AutoShape 10" descr="Story">
          <a:hlinkClick xmlns:r="http://schemas.openxmlformats.org/officeDocument/2006/relationships" r:id="rId6"/>
          <a:extLst>
            <a:ext uri="{FF2B5EF4-FFF2-40B4-BE49-F238E27FC236}">
              <a16:creationId xmlns:a16="http://schemas.microsoft.com/office/drawing/2014/main" id="{B192CA57-1A7D-4954-A7A9-89A6B07E439E}"/>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8" name="AutoShape 13" descr="Story">
          <a:hlinkClick xmlns:r="http://schemas.openxmlformats.org/officeDocument/2006/relationships" r:id="rId4"/>
          <a:extLst>
            <a:ext uri="{FF2B5EF4-FFF2-40B4-BE49-F238E27FC236}">
              <a16:creationId xmlns:a16="http://schemas.microsoft.com/office/drawing/2014/main" id="{1EF0F838-3FCD-45BC-8CDD-52F503FD8427}"/>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753</xdr:row>
      <xdr:rowOff>0</xdr:rowOff>
    </xdr:from>
    <xdr:ext cx="152400" cy="152400"/>
    <xdr:sp macro="" textlink="">
      <xdr:nvSpPr>
        <xdr:cNvPr id="549" name="AutoShape 14" descr="Story">
          <a:hlinkClick xmlns:r="http://schemas.openxmlformats.org/officeDocument/2006/relationships" r:id="rId4"/>
          <a:extLst>
            <a:ext uri="{FF2B5EF4-FFF2-40B4-BE49-F238E27FC236}">
              <a16:creationId xmlns:a16="http://schemas.microsoft.com/office/drawing/2014/main" id="{16B0FBB9-D6F2-4C6C-A602-ABA238216BF5}"/>
            </a:ext>
          </a:extLst>
        </xdr:cNvPr>
        <xdr:cNvSpPr>
          <a:spLocks noChangeAspect="1" noChangeArrowheads="1"/>
        </xdr:cNvSpPr>
      </xdr:nvSpPr>
      <xdr:spPr bwMode="auto">
        <a:xfrm>
          <a:off x="1912620" y="138150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752</xdr:row>
      <xdr:rowOff>0</xdr:rowOff>
    </xdr:from>
    <xdr:to>
      <xdr:col>1</xdr:col>
      <xdr:colOff>152400</xdr:colOff>
      <xdr:row>752</xdr:row>
      <xdr:rowOff>152400</xdr:rowOff>
    </xdr:to>
    <xdr:sp macro="" textlink="">
      <xdr:nvSpPr>
        <xdr:cNvPr id="550" name="AutoShape 4" descr="Bug">
          <a:hlinkClick xmlns:r="http://schemas.openxmlformats.org/officeDocument/2006/relationships" r:id="rId1"/>
          <a:extLst>
            <a:ext uri="{FF2B5EF4-FFF2-40B4-BE49-F238E27FC236}">
              <a16:creationId xmlns:a16="http://schemas.microsoft.com/office/drawing/2014/main" id="{2E0A2431-D880-44EA-AB6F-BFAED78BF134}"/>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1" name="AutoShape 6" descr="Bug">
          <a:hlinkClick xmlns:r="http://schemas.openxmlformats.org/officeDocument/2006/relationships" r:id="rId2"/>
          <a:extLst>
            <a:ext uri="{FF2B5EF4-FFF2-40B4-BE49-F238E27FC236}">
              <a16:creationId xmlns:a16="http://schemas.microsoft.com/office/drawing/2014/main" id="{A86FB06A-BE79-4523-BFDD-94FCFCE24FF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2" name="AutoShape 7" descr="Story">
          <a:hlinkClick xmlns:r="http://schemas.openxmlformats.org/officeDocument/2006/relationships" r:id="rId3"/>
          <a:extLst>
            <a:ext uri="{FF2B5EF4-FFF2-40B4-BE49-F238E27FC236}">
              <a16:creationId xmlns:a16="http://schemas.microsoft.com/office/drawing/2014/main" id="{37171695-A8B3-48D5-8844-B0074CC29A5F}"/>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3" name="AutoShape 8" descr="Story">
          <a:hlinkClick xmlns:r="http://schemas.openxmlformats.org/officeDocument/2006/relationships" r:id="rId4"/>
          <a:extLst>
            <a:ext uri="{FF2B5EF4-FFF2-40B4-BE49-F238E27FC236}">
              <a16:creationId xmlns:a16="http://schemas.microsoft.com/office/drawing/2014/main" id="{E5FF843A-63FD-49E8-AC7D-143A541D8387}"/>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4" name="AutoShape 9" descr="Story">
          <a:hlinkClick xmlns:r="http://schemas.openxmlformats.org/officeDocument/2006/relationships" r:id="rId5"/>
          <a:extLst>
            <a:ext uri="{FF2B5EF4-FFF2-40B4-BE49-F238E27FC236}">
              <a16:creationId xmlns:a16="http://schemas.microsoft.com/office/drawing/2014/main" id="{2071D4DC-22CC-4B79-9492-59CCEDB55E60}"/>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5" name="AutoShape 10" descr="Story">
          <a:hlinkClick xmlns:r="http://schemas.openxmlformats.org/officeDocument/2006/relationships" r:id="rId6"/>
          <a:extLst>
            <a:ext uri="{FF2B5EF4-FFF2-40B4-BE49-F238E27FC236}">
              <a16:creationId xmlns:a16="http://schemas.microsoft.com/office/drawing/2014/main" id="{7F1C94F4-3E4C-478B-87E2-3675B5D247F3}"/>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6" name="AutoShape 13" descr="Story">
          <a:hlinkClick xmlns:r="http://schemas.openxmlformats.org/officeDocument/2006/relationships" r:id="rId4"/>
          <a:extLst>
            <a:ext uri="{FF2B5EF4-FFF2-40B4-BE49-F238E27FC236}">
              <a16:creationId xmlns:a16="http://schemas.microsoft.com/office/drawing/2014/main" id="{6273F947-4CD4-4574-AF78-B135224B5754}"/>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7" name="AutoShape 14" descr="Story">
          <a:hlinkClick xmlns:r="http://schemas.openxmlformats.org/officeDocument/2006/relationships" r:id="rId4"/>
          <a:extLst>
            <a:ext uri="{FF2B5EF4-FFF2-40B4-BE49-F238E27FC236}">
              <a16:creationId xmlns:a16="http://schemas.microsoft.com/office/drawing/2014/main" id="{B664B683-681C-4BBE-9832-E8297366AF59}"/>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8" name="AutoShape 4" descr="Bug">
          <a:hlinkClick xmlns:r="http://schemas.openxmlformats.org/officeDocument/2006/relationships" r:id="rId1"/>
          <a:extLst>
            <a:ext uri="{FF2B5EF4-FFF2-40B4-BE49-F238E27FC236}">
              <a16:creationId xmlns:a16="http://schemas.microsoft.com/office/drawing/2014/main" id="{28D80709-D264-4845-B63D-B34F2B7D45AF}"/>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59" name="AutoShape 6" descr="Bug">
          <a:hlinkClick xmlns:r="http://schemas.openxmlformats.org/officeDocument/2006/relationships" r:id="rId2"/>
          <a:extLst>
            <a:ext uri="{FF2B5EF4-FFF2-40B4-BE49-F238E27FC236}">
              <a16:creationId xmlns:a16="http://schemas.microsoft.com/office/drawing/2014/main" id="{BDAC4699-ECB7-4248-86AA-F98849597EF0}"/>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60" name="AutoShape 7" descr="Story">
          <a:hlinkClick xmlns:r="http://schemas.openxmlformats.org/officeDocument/2006/relationships" r:id="rId3"/>
          <a:extLst>
            <a:ext uri="{FF2B5EF4-FFF2-40B4-BE49-F238E27FC236}">
              <a16:creationId xmlns:a16="http://schemas.microsoft.com/office/drawing/2014/main" id="{C80C4DB0-59DC-4ABB-817F-2F6D3879D741}"/>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61" name="AutoShape 8" descr="Story">
          <a:hlinkClick xmlns:r="http://schemas.openxmlformats.org/officeDocument/2006/relationships" r:id="rId4"/>
          <a:extLst>
            <a:ext uri="{FF2B5EF4-FFF2-40B4-BE49-F238E27FC236}">
              <a16:creationId xmlns:a16="http://schemas.microsoft.com/office/drawing/2014/main" id="{FCF10AB3-11F8-4A5F-9811-7E85FC5D3A18}"/>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62" name="AutoShape 9" descr="Story">
          <a:hlinkClick xmlns:r="http://schemas.openxmlformats.org/officeDocument/2006/relationships" r:id="rId5"/>
          <a:extLst>
            <a:ext uri="{FF2B5EF4-FFF2-40B4-BE49-F238E27FC236}">
              <a16:creationId xmlns:a16="http://schemas.microsoft.com/office/drawing/2014/main" id="{97AC379E-840F-4B4B-9FC6-5FC70499B3FD}"/>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63" name="AutoShape 10" descr="Story">
          <a:hlinkClick xmlns:r="http://schemas.openxmlformats.org/officeDocument/2006/relationships" r:id="rId6"/>
          <a:extLst>
            <a:ext uri="{FF2B5EF4-FFF2-40B4-BE49-F238E27FC236}">
              <a16:creationId xmlns:a16="http://schemas.microsoft.com/office/drawing/2014/main" id="{A9C1D17C-B094-42A1-A5DC-024EE4FAFB7F}"/>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64" name="AutoShape 13" descr="Story">
          <a:hlinkClick xmlns:r="http://schemas.openxmlformats.org/officeDocument/2006/relationships" r:id="rId4"/>
          <a:extLst>
            <a:ext uri="{FF2B5EF4-FFF2-40B4-BE49-F238E27FC236}">
              <a16:creationId xmlns:a16="http://schemas.microsoft.com/office/drawing/2014/main" id="{9D7786C9-8D0E-475A-A89E-ADCB2EB8A281}"/>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752</xdr:row>
      <xdr:rowOff>0</xdr:rowOff>
    </xdr:from>
    <xdr:to>
      <xdr:col>1</xdr:col>
      <xdr:colOff>152400</xdr:colOff>
      <xdr:row>752</xdr:row>
      <xdr:rowOff>152400</xdr:rowOff>
    </xdr:to>
    <xdr:sp macro="" textlink="">
      <xdr:nvSpPr>
        <xdr:cNvPr id="565" name="AutoShape 14" descr="Story">
          <a:hlinkClick xmlns:r="http://schemas.openxmlformats.org/officeDocument/2006/relationships" r:id="rId4"/>
          <a:extLst>
            <a:ext uri="{FF2B5EF4-FFF2-40B4-BE49-F238E27FC236}">
              <a16:creationId xmlns:a16="http://schemas.microsoft.com/office/drawing/2014/main" id="{7F785DBC-720B-4BC1-BBB8-9CCB434EBE0B}"/>
            </a:ext>
          </a:extLst>
        </xdr:cNvPr>
        <xdr:cNvSpPr>
          <a:spLocks noChangeAspect="1" noChangeArrowheads="1"/>
        </xdr:cNvSpPr>
      </xdr:nvSpPr>
      <xdr:spPr bwMode="auto">
        <a:xfrm>
          <a:off x="1912620" y="137967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754</xdr:row>
      <xdr:rowOff>0</xdr:rowOff>
    </xdr:from>
    <xdr:to>
      <xdr:col>4</xdr:col>
      <xdr:colOff>304800</xdr:colOff>
      <xdr:row>755</xdr:row>
      <xdr:rowOff>129540</xdr:rowOff>
    </xdr:to>
    <xdr:sp macro="" textlink="">
      <xdr:nvSpPr>
        <xdr:cNvPr id="566" name="AutoShape 4" descr="Profil resmi.">
          <a:extLst>
            <a:ext uri="{FF2B5EF4-FFF2-40B4-BE49-F238E27FC236}">
              <a16:creationId xmlns:a16="http://schemas.microsoft.com/office/drawing/2014/main" id="{7E5A8B04-11E2-413B-9028-B5A7258A23EF}"/>
            </a:ext>
          </a:extLst>
        </xdr:cNvPr>
        <xdr:cNvSpPr>
          <a:spLocks noChangeAspect="1" noChangeArrowheads="1"/>
        </xdr:cNvSpPr>
      </xdr:nvSpPr>
      <xdr:spPr bwMode="auto">
        <a:xfrm>
          <a:off x="10195560" y="138333480"/>
          <a:ext cx="304800" cy="3124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67" name="AutoShape 4" descr="Bug">
          <a:hlinkClick xmlns:r="http://schemas.openxmlformats.org/officeDocument/2006/relationships" r:id="rId1"/>
          <a:extLst>
            <a:ext uri="{FF2B5EF4-FFF2-40B4-BE49-F238E27FC236}">
              <a16:creationId xmlns:a16="http://schemas.microsoft.com/office/drawing/2014/main" id="{451052F5-AD44-42D2-AF01-0EBD40364439}"/>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68" name="AutoShape 6" descr="Bug">
          <a:hlinkClick xmlns:r="http://schemas.openxmlformats.org/officeDocument/2006/relationships" r:id="rId2"/>
          <a:extLst>
            <a:ext uri="{FF2B5EF4-FFF2-40B4-BE49-F238E27FC236}">
              <a16:creationId xmlns:a16="http://schemas.microsoft.com/office/drawing/2014/main" id="{92F36955-C97D-4C9D-916C-7455CF50DE44}"/>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69" name="AutoShape 7" descr="Story">
          <a:hlinkClick xmlns:r="http://schemas.openxmlformats.org/officeDocument/2006/relationships" r:id="rId3"/>
          <a:extLst>
            <a:ext uri="{FF2B5EF4-FFF2-40B4-BE49-F238E27FC236}">
              <a16:creationId xmlns:a16="http://schemas.microsoft.com/office/drawing/2014/main" id="{8C872EBE-39DF-48D5-99A7-772F3B1FEF66}"/>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0" name="AutoShape 8" descr="Story">
          <a:hlinkClick xmlns:r="http://schemas.openxmlformats.org/officeDocument/2006/relationships" r:id="rId4"/>
          <a:extLst>
            <a:ext uri="{FF2B5EF4-FFF2-40B4-BE49-F238E27FC236}">
              <a16:creationId xmlns:a16="http://schemas.microsoft.com/office/drawing/2014/main" id="{E0EB564A-2940-4DB0-BA01-E401BA3DB538}"/>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1" name="AutoShape 9" descr="Story">
          <a:hlinkClick xmlns:r="http://schemas.openxmlformats.org/officeDocument/2006/relationships" r:id="rId5"/>
          <a:extLst>
            <a:ext uri="{FF2B5EF4-FFF2-40B4-BE49-F238E27FC236}">
              <a16:creationId xmlns:a16="http://schemas.microsoft.com/office/drawing/2014/main" id="{015B3CC0-901A-4AC0-9AF6-AE58ECA2570F}"/>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2" name="AutoShape 10" descr="Story">
          <a:hlinkClick xmlns:r="http://schemas.openxmlformats.org/officeDocument/2006/relationships" r:id="rId6"/>
          <a:extLst>
            <a:ext uri="{FF2B5EF4-FFF2-40B4-BE49-F238E27FC236}">
              <a16:creationId xmlns:a16="http://schemas.microsoft.com/office/drawing/2014/main" id="{98089CDA-9228-470C-BD35-29AF01F0758A}"/>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3" name="AutoShape 13" descr="Story">
          <a:hlinkClick xmlns:r="http://schemas.openxmlformats.org/officeDocument/2006/relationships" r:id="rId4"/>
          <a:extLst>
            <a:ext uri="{FF2B5EF4-FFF2-40B4-BE49-F238E27FC236}">
              <a16:creationId xmlns:a16="http://schemas.microsoft.com/office/drawing/2014/main" id="{9F62E0A3-13DC-4985-BFE0-BCB052BFE3AA}"/>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4" name="AutoShape 14" descr="Story">
          <a:hlinkClick xmlns:r="http://schemas.openxmlformats.org/officeDocument/2006/relationships" r:id="rId4"/>
          <a:extLst>
            <a:ext uri="{FF2B5EF4-FFF2-40B4-BE49-F238E27FC236}">
              <a16:creationId xmlns:a16="http://schemas.microsoft.com/office/drawing/2014/main" id="{7569EA76-B0C9-4CA7-91E0-7ED048D0D858}"/>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5" name="AutoShape 4" descr="Bug">
          <a:hlinkClick xmlns:r="http://schemas.openxmlformats.org/officeDocument/2006/relationships" r:id="rId1"/>
          <a:extLst>
            <a:ext uri="{FF2B5EF4-FFF2-40B4-BE49-F238E27FC236}">
              <a16:creationId xmlns:a16="http://schemas.microsoft.com/office/drawing/2014/main" id="{E8B3C43A-B5FB-4FE1-BBE8-7C23880C3DFA}"/>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6" name="AutoShape 6" descr="Bug">
          <a:hlinkClick xmlns:r="http://schemas.openxmlformats.org/officeDocument/2006/relationships" r:id="rId2"/>
          <a:extLst>
            <a:ext uri="{FF2B5EF4-FFF2-40B4-BE49-F238E27FC236}">
              <a16:creationId xmlns:a16="http://schemas.microsoft.com/office/drawing/2014/main" id="{24C0BAA0-49B5-402B-802E-36B5B90D482B}"/>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7" name="AutoShape 7" descr="Story">
          <a:hlinkClick xmlns:r="http://schemas.openxmlformats.org/officeDocument/2006/relationships" r:id="rId3"/>
          <a:extLst>
            <a:ext uri="{FF2B5EF4-FFF2-40B4-BE49-F238E27FC236}">
              <a16:creationId xmlns:a16="http://schemas.microsoft.com/office/drawing/2014/main" id="{FD8256DA-D8BA-4D56-968E-2AB8E88B0F17}"/>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8" name="AutoShape 8" descr="Story">
          <a:hlinkClick xmlns:r="http://schemas.openxmlformats.org/officeDocument/2006/relationships" r:id="rId4"/>
          <a:extLst>
            <a:ext uri="{FF2B5EF4-FFF2-40B4-BE49-F238E27FC236}">
              <a16:creationId xmlns:a16="http://schemas.microsoft.com/office/drawing/2014/main" id="{41E539DC-6AC9-4577-BB23-0A46C4C8B465}"/>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79" name="AutoShape 9" descr="Story">
          <a:hlinkClick xmlns:r="http://schemas.openxmlformats.org/officeDocument/2006/relationships" r:id="rId5"/>
          <a:extLst>
            <a:ext uri="{FF2B5EF4-FFF2-40B4-BE49-F238E27FC236}">
              <a16:creationId xmlns:a16="http://schemas.microsoft.com/office/drawing/2014/main" id="{9F608373-00E2-4471-96EC-390D6EDB32F6}"/>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80" name="AutoShape 10" descr="Story">
          <a:hlinkClick xmlns:r="http://schemas.openxmlformats.org/officeDocument/2006/relationships" r:id="rId6"/>
          <a:extLst>
            <a:ext uri="{FF2B5EF4-FFF2-40B4-BE49-F238E27FC236}">
              <a16:creationId xmlns:a16="http://schemas.microsoft.com/office/drawing/2014/main" id="{99DD9C92-45C8-4D52-98DD-46655EC27C9A}"/>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81" name="AutoShape 13" descr="Story">
          <a:hlinkClick xmlns:r="http://schemas.openxmlformats.org/officeDocument/2006/relationships" r:id="rId4"/>
          <a:extLst>
            <a:ext uri="{FF2B5EF4-FFF2-40B4-BE49-F238E27FC236}">
              <a16:creationId xmlns:a16="http://schemas.microsoft.com/office/drawing/2014/main" id="{673B869C-DEA4-414E-9026-7F734C3C0674}"/>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720</xdr:row>
      <xdr:rowOff>0</xdr:rowOff>
    </xdr:from>
    <xdr:to>
      <xdr:col>1</xdr:col>
      <xdr:colOff>152400</xdr:colOff>
      <xdr:row>720</xdr:row>
      <xdr:rowOff>152400</xdr:rowOff>
    </xdr:to>
    <xdr:sp macro="" textlink="">
      <xdr:nvSpPr>
        <xdr:cNvPr id="582" name="AutoShape 14" descr="Story">
          <a:hlinkClick xmlns:r="http://schemas.openxmlformats.org/officeDocument/2006/relationships" r:id="rId4"/>
          <a:extLst>
            <a:ext uri="{FF2B5EF4-FFF2-40B4-BE49-F238E27FC236}">
              <a16:creationId xmlns:a16="http://schemas.microsoft.com/office/drawing/2014/main" id="{CF962D63-DFE8-43A5-96EC-FF98D665E376}"/>
            </a:ext>
          </a:extLst>
        </xdr:cNvPr>
        <xdr:cNvSpPr>
          <a:spLocks noChangeAspect="1" noChangeArrowheads="1"/>
        </xdr:cNvSpPr>
      </xdr:nvSpPr>
      <xdr:spPr bwMode="auto">
        <a:xfrm>
          <a:off x="1912620" y="1320774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737</xdr:row>
      <xdr:rowOff>0</xdr:rowOff>
    </xdr:from>
    <xdr:ext cx="152400" cy="152400"/>
    <xdr:sp macro="" textlink="">
      <xdr:nvSpPr>
        <xdr:cNvPr id="583" name="AutoShape 4" descr="Bug">
          <a:hlinkClick xmlns:r="http://schemas.openxmlformats.org/officeDocument/2006/relationships" r:id="rId1"/>
          <a:extLst>
            <a:ext uri="{FF2B5EF4-FFF2-40B4-BE49-F238E27FC236}">
              <a16:creationId xmlns:a16="http://schemas.microsoft.com/office/drawing/2014/main" id="{FB2E3976-9013-4A62-AD60-DBE601D737B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84" name="AutoShape 6" descr="Bug">
          <a:hlinkClick xmlns:r="http://schemas.openxmlformats.org/officeDocument/2006/relationships" r:id="rId2"/>
          <a:extLst>
            <a:ext uri="{FF2B5EF4-FFF2-40B4-BE49-F238E27FC236}">
              <a16:creationId xmlns:a16="http://schemas.microsoft.com/office/drawing/2014/main" id="{E59ECD2A-1960-49A0-9384-9D618F9EB955}"/>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85" name="AutoShape 7" descr="Story">
          <a:hlinkClick xmlns:r="http://schemas.openxmlformats.org/officeDocument/2006/relationships" r:id="rId3"/>
          <a:extLst>
            <a:ext uri="{FF2B5EF4-FFF2-40B4-BE49-F238E27FC236}">
              <a16:creationId xmlns:a16="http://schemas.microsoft.com/office/drawing/2014/main" id="{35E4914E-B554-4F97-A22D-800EF0446E28}"/>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86" name="AutoShape 8" descr="Story">
          <a:hlinkClick xmlns:r="http://schemas.openxmlformats.org/officeDocument/2006/relationships" r:id="rId4"/>
          <a:extLst>
            <a:ext uri="{FF2B5EF4-FFF2-40B4-BE49-F238E27FC236}">
              <a16:creationId xmlns:a16="http://schemas.microsoft.com/office/drawing/2014/main" id="{094B181F-CD94-422E-B2D4-3FB6515E454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87" name="AutoShape 9" descr="Story">
          <a:hlinkClick xmlns:r="http://schemas.openxmlformats.org/officeDocument/2006/relationships" r:id="rId5"/>
          <a:extLst>
            <a:ext uri="{FF2B5EF4-FFF2-40B4-BE49-F238E27FC236}">
              <a16:creationId xmlns:a16="http://schemas.microsoft.com/office/drawing/2014/main" id="{F7539983-917D-43BE-996B-E2DAB7870981}"/>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88" name="AutoShape 10" descr="Story">
          <a:hlinkClick xmlns:r="http://schemas.openxmlformats.org/officeDocument/2006/relationships" r:id="rId6"/>
          <a:extLst>
            <a:ext uri="{FF2B5EF4-FFF2-40B4-BE49-F238E27FC236}">
              <a16:creationId xmlns:a16="http://schemas.microsoft.com/office/drawing/2014/main" id="{6D4D6BEE-3E28-4C99-AA75-46FED6703372}"/>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89" name="AutoShape 13" descr="Story">
          <a:hlinkClick xmlns:r="http://schemas.openxmlformats.org/officeDocument/2006/relationships" r:id="rId4"/>
          <a:extLst>
            <a:ext uri="{FF2B5EF4-FFF2-40B4-BE49-F238E27FC236}">
              <a16:creationId xmlns:a16="http://schemas.microsoft.com/office/drawing/2014/main" id="{7149B98B-A83E-48DC-AB5A-463ACD8641D7}"/>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0" name="AutoShape 14" descr="Story">
          <a:hlinkClick xmlns:r="http://schemas.openxmlformats.org/officeDocument/2006/relationships" r:id="rId4"/>
          <a:extLst>
            <a:ext uri="{FF2B5EF4-FFF2-40B4-BE49-F238E27FC236}">
              <a16:creationId xmlns:a16="http://schemas.microsoft.com/office/drawing/2014/main" id="{CAA5A6F4-3B09-442F-A5CC-3B52254A26FB}"/>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1" name="AutoShape 4" descr="Bug">
          <a:hlinkClick xmlns:r="http://schemas.openxmlformats.org/officeDocument/2006/relationships" r:id="rId1"/>
          <a:extLst>
            <a:ext uri="{FF2B5EF4-FFF2-40B4-BE49-F238E27FC236}">
              <a16:creationId xmlns:a16="http://schemas.microsoft.com/office/drawing/2014/main" id="{EFF406AC-C32C-40BD-A18E-702CCC0AF899}"/>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2" name="AutoShape 6" descr="Bug">
          <a:hlinkClick xmlns:r="http://schemas.openxmlformats.org/officeDocument/2006/relationships" r:id="rId2"/>
          <a:extLst>
            <a:ext uri="{FF2B5EF4-FFF2-40B4-BE49-F238E27FC236}">
              <a16:creationId xmlns:a16="http://schemas.microsoft.com/office/drawing/2014/main" id="{635BD0C0-13EF-49D1-823E-EABC81C9CDD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3" name="AutoShape 7" descr="Story">
          <a:hlinkClick xmlns:r="http://schemas.openxmlformats.org/officeDocument/2006/relationships" r:id="rId3"/>
          <a:extLst>
            <a:ext uri="{FF2B5EF4-FFF2-40B4-BE49-F238E27FC236}">
              <a16:creationId xmlns:a16="http://schemas.microsoft.com/office/drawing/2014/main" id="{613AD1C0-DB11-4FFD-BEE5-7F6BE3F724C7}"/>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4" name="AutoShape 8" descr="Story">
          <a:hlinkClick xmlns:r="http://schemas.openxmlformats.org/officeDocument/2006/relationships" r:id="rId4"/>
          <a:extLst>
            <a:ext uri="{FF2B5EF4-FFF2-40B4-BE49-F238E27FC236}">
              <a16:creationId xmlns:a16="http://schemas.microsoft.com/office/drawing/2014/main" id="{5F461F3F-6ACE-476D-B6BC-8B283E0D4AE4}"/>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5" name="AutoShape 9" descr="Story">
          <a:hlinkClick xmlns:r="http://schemas.openxmlformats.org/officeDocument/2006/relationships" r:id="rId5"/>
          <a:extLst>
            <a:ext uri="{FF2B5EF4-FFF2-40B4-BE49-F238E27FC236}">
              <a16:creationId xmlns:a16="http://schemas.microsoft.com/office/drawing/2014/main" id="{3D6347A0-18DF-4E46-A250-E9ED0170DF4C}"/>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6" name="AutoShape 10" descr="Story">
          <a:hlinkClick xmlns:r="http://schemas.openxmlformats.org/officeDocument/2006/relationships" r:id="rId6"/>
          <a:extLst>
            <a:ext uri="{FF2B5EF4-FFF2-40B4-BE49-F238E27FC236}">
              <a16:creationId xmlns:a16="http://schemas.microsoft.com/office/drawing/2014/main" id="{36BD1EB1-2F5D-4C7A-B823-D6F3A68046B8}"/>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7" name="AutoShape 13" descr="Story">
          <a:hlinkClick xmlns:r="http://schemas.openxmlformats.org/officeDocument/2006/relationships" r:id="rId4"/>
          <a:extLst>
            <a:ext uri="{FF2B5EF4-FFF2-40B4-BE49-F238E27FC236}">
              <a16:creationId xmlns:a16="http://schemas.microsoft.com/office/drawing/2014/main" id="{3C7B8770-5699-4793-A75F-5FED3DC15A3A}"/>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598" name="AutoShape 14" descr="Story">
          <a:hlinkClick xmlns:r="http://schemas.openxmlformats.org/officeDocument/2006/relationships" r:id="rId4"/>
          <a:extLst>
            <a:ext uri="{FF2B5EF4-FFF2-40B4-BE49-F238E27FC236}">
              <a16:creationId xmlns:a16="http://schemas.microsoft.com/office/drawing/2014/main" id="{68959A93-0EDB-47CB-BCD2-7921B871DA31}"/>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599" name="AutoShape 4" descr="Bug">
          <a:hlinkClick xmlns:r="http://schemas.openxmlformats.org/officeDocument/2006/relationships" r:id="rId1"/>
          <a:extLst>
            <a:ext uri="{FF2B5EF4-FFF2-40B4-BE49-F238E27FC236}">
              <a16:creationId xmlns:a16="http://schemas.microsoft.com/office/drawing/2014/main" id="{86EE55A9-ABAE-4EA9-93EE-06DC57D73CDF}"/>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0" name="AutoShape 6" descr="Bug">
          <a:hlinkClick xmlns:r="http://schemas.openxmlformats.org/officeDocument/2006/relationships" r:id="rId2"/>
          <a:extLst>
            <a:ext uri="{FF2B5EF4-FFF2-40B4-BE49-F238E27FC236}">
              <a16:creationId xmlns:a16="http://schemas.microsoft.com/office/drawing/2014/main" id="{4C558769-CEB6-4547-A41F-1D76337F3F8D}"/>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1" name="AutoShape 7" descr="Story">
          <a:hlinkClick xmlns:r="http://schemas.openxmlformats.org/officeDocument/2006/relationships" r:id="rId3"/>
          <a:extLst>
            <a:ext uri="{FF2B5EF4-FFF2-40B4-BE49-F238E27FC236}">
              <a16:creationId xmlns:a16="http://schemas.microsoft.com/office/drawing/2014/main" id="{E7462EB9-F882-4EE5-8937-36B118F26E04}"/>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2" name="AutoShape 8" descr="Story">
          <a:hlinkClick xmlns:r="http://schemas.openxmlformats.org/officeDocument/2006/relationships" r:id="rId4"/>
          <a:extLst>
            <a:ext uri="{FF2B5EF4-FFF2-40B4-BE49-F238E27FC236}">
              <a16:creationId xmlns:a16="http://schemas.microsoft.com/office/drawing/2014/main" id="{F5385351-D3A6-4090-804F-A9C25EB1908A}"/>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3" name="AutoShape 9" descr="Story">
          <a:hlinkClick xmlns:r="http://schemas.openxmlformats.org/officeDocument/2006/relationships" r:id="rId5"/>
          <a:extLst>
            <a:ext uri="{FF2B5EF4-FFF2-40B4-BE49-F238E27FC236}">
              <a16:creationId xmlns:a16="http://schemas.microsoft.com/office/drawing/2014/main" id="{1A94E89B-1B2A-44BF-8B44-FD547D5827BE}"/>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4" name="AutoShape 10" descr="Story">
          <a:hlinkClick xmlns:r="http://schemas.openxmlformats.org/officeDocument/2006/relationships" r:id="rId6"/>
          <a:extLst>
            <a:ext uri="{FF2B5EF4-FFF2-40B4-BE49-F238E27FC236}">
              <a16:creationId xmlns:a16="http://schemas.microsoft.com/office/drawing/2014/main" id="{2224CB72-67AE-4062-8A22-1B4BC0B48090}"/>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5" name="AutoShape 13" descr="Story">
          <a:hlinkClick xmlns:r="http://schemas.openxmlformats.org/officeDocument/2006/relationships" r:id="rId4"/>
          <a:extLst>
            <a:ext uri="{FF2B5EF4-FFF2-40B4-BE49-F238E27FC236}">
              <a16:creationId xmlns:a16="http://schemas.microsoft.com/office/drawing/2014/main" id="{EA809D2A-E5A6-452A-B529-51C0D753ACD2}"/>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6" name="AutoShape 14" descr="Story">
          <a:hlinkClick xmlns:r="http://schemas.openxmlformats.org/officeDocument/2006/relationships" r:id="rId4"/>
          <a:extLst>
            <a:ext uri="{FF2B5EF4-FFF2-40B4-BE49-F238E27FC236}">
              <a16:creationId xmlns:a16="http://schemas.microsoft.com/office/drawing/2014/main" id="{D1A8E62D-3C57-4318-A088-CA389EBA25AE}"/>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7" name="AutoShape 4" descr="Bug">
          <a:hlinkClick xmlns:r="http://schemas.openxmlformats.org/officeDocument/2006/relationships" r:id="rId1"/>
          <a:extLst>
            <a:ext uri="{FF2B5EF4-FFF2-40B4-BE49-F238E27FC236}">
              <a16:creationId xmlns:a16="http://schemas.microsoft.com/office/drawing/2014/main" id="{EB43C0B3-0464-49D8-96C9-15B2B756E467}"/>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8" name="AutoShape 6" descr="Bug">
          <a:hlinkClick xmlns:r="http://schemas.openxmlformats.org/officeDocument/2006/relationships" r:id="rId2"/>
          <a:extLst>
            <a:ext uri="{FF2B5EF4-FFF2-40B4-BE49-F238E27FC236}">
              <a16:creationId xmlns:a16="http://schemas.microsoft.com/office/drawing/2014/main" id="{D76DCDA5-65B2-42CF-8A1F-0253B4D7B2C7}"/>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09" name="AutoShape 7" descr="Story">
          <a:hlinkClick xmlns:r="http://schemas.openxmlformats.org/officeDocument/2006/relationships" r:id="rId3"/>
          <a:extLst>
            <a:ext uri="{FF2B5EF4-FFF2-40B4-BE49-F238E27FC236}">
              <a16:creationId xmlns:a16="http://schemas.microsoft.com/office/drawing/2014/main" id="{3F63DE53-0C90-46C6-B855-1822BF84C08B}"/>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10" name="AutoShape 8" descr="Story">
          <a:hlinkClick xmlns:r="http://schemas.openxmlformats.org/officeDocument/2006/relationships" r:id="rId4"/>
          <a:extLst>
            <a:ext uri="{FF2B5EF4-FFF2-40B4-BE49-F238E27FC236}">
              <a16:creationId xmlns:a16="http://schemas.microsoft.com/office/drawing/2014/main" id="{285B9729-A509-4C4F-B166-234CAA127EA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11" name="AutoShape 9" descr="Story">
          <a:hlinkClick xmlns:r="http://schemas.openxmlformats.org/officeDocument/2006/relationships" r:id="rId5"/>
          <a:extLst>
            <a:ext uri="{FF2B5EF4-FFF2-40B4-BE49-F238E27FC236}">
              <a16:creationId xmlns:a16="http://schemas.microsoft.com/office/drawing/2014/main" id="{C94162C8-779D-4575-A268-BD4C352B89C1}"/>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12" name="AutoShape 10" descr="Story">
          <a:hlinkClick xmlns:r="http://schemas.openxmlformats.org/officeDocument/2006/relationships" r:id="rId6"/>
          <a:extLst>
            <a:ext uri="{FF2B5EF4-FFF2-40B4-BE49-F238E27FC236}">
              <a16:creationId xmlns:a16="http://schemas.microsoft.com/office/drawing/2014/main" id="{CEC0F7FA-E5FD-4BE8-BFFF-DC4D609539B7}"/>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13" name="AutoShape 13" descr="Story">
          <a:hlinkClick xmlns:r="http://schemas.openxmlformats.org/officeDocument/2006/relationships" r:id="rId4"/>
          <a:extLst>
            <a:ext uri="{FF2B5EF4-FFF2-40B4-BE49-F238E27FC236}">
              <a16:creationId xmlns:a16="http://schemas.microsoft.com/office/drawing/2014/main" id="{58940144-A965-43A1-9DD9-0E5CF6A22AF7}"/>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14" name="AutoShape 14" descr="Story">
          <a:hlinkClick xmlns:r="http://schemas.openxmlformats.org/officeDocument/2006/relationships" r:id="rId4"/>
          <a:extLst>
            <a:ext uri="{FF2B5EF4-FFF2-40B4-BE49-F238E27FC236}">
              <a16:creationId xmlns:a16="http://schemas.microsoft.com/office/drawing/2014/main" id="{7DA1FC7A-A3D5-4692-986F-D17D345A5186}"/>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15" name="AutoShape 4" descr="Bug">
          <a:hlinkClick xmlns:r="http://schemas.openxmlformats.org/officeDocument/2006/relationships" r:id="rId1"/>
          <a:extLst>
            <a:ext uri="{FF2B5EF4-FFF2-40B4-BE49-F238E27FC236}">
              <a16:creationId xmlns:a16="http://schemas.microsoft.com/office/drawing/2014/main" id="{50BF237E-11DD-4F98-951D-70C1BAA8CDD3}"/>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16" name="AutoShape 6" descr="Bug">
          <a:hlinkClick xmlns:r="http://schemas.openxmlformats.org/officeDocument/2006/relationships" r:id="rId2"/>
          <a:extLst>
            <a:ext uri="{FF2B5EF4-FFF2-40B4-BE49-F238E27FC236}">
              <a16:creationId xmlns:a16="http://schemas.microsoft.com/office/drawing/2014/main" id="{69EBC046-5B7C-4D15-AD8C-E48254289070}"/>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17" name="AutoShape 7" descr="Story">
          <a:hlinkClick xmlns:r="http://schemas.openxmlformats.org/officeDocument/2006/relationships" r:id="rId3"/>
          <a:extLst>
            <a:ext uri="{FF2B5EF4-FFF2-40B4-BE49-F238E27FC236}">
              <a16:creationId xmlns:a16="http://schemas.microsoft.com/office/drawing/2014/main" id="{6142A85B-BE8D-4885-81BE-14157DC41CB7}"/>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18" name="AutoShape 8" descr="Story">
          <a:hlinkClick xmlns:r="http://schemas.openxmlformats.org/officeDocument/2006/relationships" r:id="rId4"/>
          <a:extLst>
            <a:ext uri="{FF2B5EF4-FFF2-40B4-BE49-F238E27FC236}">
              <a16:creationId xmlns:a16="http://schemas.microsoft.com/office/drawing/2014/main" id="{55000407-7E4B-4490-AD53-E965FDBAB105}"/>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19" name="AutoShape 9" descr="Story">
          <a:hlinkClick xmlns:r="http://schemas.openxmlformats.org/officeDocument/2006/relationships" r:id="rId5"/>
          <a:extLst>
            <a:ext uri="{FF2B5EF4-FFF2-40B4-BE49-F238E27FC236}">
              <a16:creationId xmlns:a16="http://schemas.microsoft.com/office/drawing/2014/main" id="{0453E99D-3F7A-4CCA-85A5-C74F04FFB26D}"/>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0" name="AutoShape 10" descr="Story">
          <a:hlinkClick xmlns:r="http://schemas.openxmlformats.org/officeDocument/2006/relationships" r:id="rId6"/>
          <a:extLst>
            <a:ext uri="{FF2B5EF4-FFF2-40B4-BE49-F238E27FC236}">
              <a16:creationId xmlns:a16="http://schemas.microsoft.com/office/drawing/2014/main" id="{3FEDBCD0-A266-42C4-B9F0-18DE7AFACB24}"/>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1" name="AutoShape 13" descr="Story">
          <a:hlinkClick xmlns:r="http://schemas.openxmlformats.org/officeDocument/2006/relationships" r:id="rId4"/>
          <a:extLst>
            <a:ext uri="{FF2B5EF4-FFF2-40B4-BE49-F238E27FC236}">
              <a16:creationId xmlns:a16="http://schemas.microsoft.com/office/drawing/2014/main" id="{1C9D1BEB-C9F9-42B3-9429-3CBB6C36CE7B}"/>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2" name="AutoShape 14" descr="Story">
          <a:hlinkClick xmlns:r="http://schemas.openxmlformats.org/officeDocument/2006/relationships" r:id="rId4"/>
          <a:extLst>
            <a:ext uri="{FF2B5EF4-FFF2-40B4-BE49-F238E27FC236}">
              <a16:creationId xmlns:a16="http://schemas.microsoft.com/office/drawing/2014/main" id="{1610DAAD-D996-40AF-AC4A-68957669CA3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3" name="AutoShape 4" descr="Bug">
          <a:hlinkClick xmlns:r="http://schemas.openxmlformats.org/officeDocument/2006/relationships" r:id="rId1"/>
          <a:extLst>
            <a:ext uri="{FF2B5EF4-FFF2-40B4-BE49-F238E27FC236}">
              <a16:creationId xmlns:a16="http://schemas.microsoft.com/office/drawing/2014/main" id="{B72C1BEA-3F54-4DA5-9B9C-A4CF36B6459D}"/>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4" name="AutoShape 6" descr="Bug">
          <a:hlinkClick xmlns:r="http://schemas.openxmlformats.org/officeDocument/2006/relationships" r:id="rId2"/>
          <a:extLst>
            <a:ext uri="{FF2B5EF4-FFF2-40B4-BE49-F238E27FC236}">
              <a16:creationId xmlns:a16="http://schemas.microsoft.com/office/drawing/2014/main" id="{43628C13-AF03-456D-9096-1F1123567CB8}"/>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5" name="AutoShape 7" descr="Story">
          <a:hlinkClick xmlns:r="http://schemas.openxmlformats.org/officeDocument/2006/relationships" r:id="rId3"/>
          <a:extLst>
            <a:ext uri="{FF2B5EF4-FFF2-40B4-BE49-F238E27FC236}">
              <a16:creationId xmlns:a16="http://schemas.microsoft.com/office/drawing/2014/main" id="{AECC9B41-F31B-4E0B-836B-D0379B03A4C7}"/>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6" name="AutoShape 8" descr="Story">
          <a:hlinkClick xmlns:r="http://schemas.openxmlformats.org/officeDocument/2006/relationships" r:id="rId4"/>
          <a:extLst>
            <a:ext uri="{FF2B5EF4-FFF2-40B4-BE49-F238E27FC236}">
              <a16:creationId xmlns:a16="http://schemas.microsoft.com/office/drawing/2014/main" id="{DEEF0EA5-3855-4DE5-A758-17167BB8A666}"/>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7" name="AutoShape 9" descr="Story">
          <a:hlinkClick xmlns:r="http://schemas.openxmlformats.org/officeDocument/2006/relationships" r:id="rId5"/>
          <a:extLst>
            <a:ext uri="{FF2B5EF4-FFF2-40B4-BE49-F238E27FC236}">
              <a16:creationId xmlns:a16="http://schemas.microsoft.com/office/drawing/2014/main" id="{CCB7855C-B476-4376-8AFA-65A22D8D1A8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8" name="AutoShape 10" descr="Story">
          <a:hlinkClick xmlns:r="http://schemas.openxmlformats.org/officeDocument/2006/relationships" r:id="rId6"/>
          <a:extLst>
            <a:ext uri="{FF2B5EF4-FFF2-40B4-BE49-F238E27FC236}">
              <a16:creationId xmlns:a16="http://schemas.microsoft.com/office/drawing/2014/main" id="{9B941256-933F-48D7-BA40-D542DF452E4D}"/>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29" name="AutoShape 13" descr="Story">
          <a:hlinkClick xmlns:r="http://schemas.openxmlformats.org/officeDocument/2006/relationships" r:id="rId4"/>
          <a:extLst>
            <a:ext uri="{FF2B5EF4-FFF2-40B4-BE49-F238E27FC236}">
              <a16:creationId xmlns:a16="http://schemas.microsoft.com/office/drawing/2014/main" id="{AD08D053-985C-4C02-A388-FDB75C2F692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30" name="AutoShape 14" descr="Story">
          <a:hlinkClick xmlns:r="http://schemas.openxmlformats.org/officeDocument/2006/relationships" r:id="rId4"/>
          <a:extLst>
            <a:ext uri="{FF2B5EF4-FFF2-40B4-BE49-F238E27FC236}">
              <a16:creationId xmlns:a16="http://schemas.microsoft.com/office/drawing/2014/main" id="{5B580194-5675-4E4B-B904-B8EABA612F7C}"/>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1" name="AutoShape 4" descr="Bug">
          <a:hlinkClick xmlns:r="http://schemas.openxmlformats.org/officeDocument/2006/relationships" r:id="rId1"/>
          <a:extLst>
            <a:ext uri="{FF2B5EF4-FFF2-40B4-BE49-F238E27FC236}">
              <a16:creationId xmlns:a16="http://schemas.microsoft.com/office/drawing/2014/main" id="{139376A1-6D78-4FDD-89C4-D3092608CEBD}"/>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2" name="AutoShape 6" descr="Bug">
          <a:hlinkClick xmlns:r="http://schemas.openxmlformats.org/officeDocument/2006/relationships" r:id="rId2"/>
          <a:extLst>
            <a:ext uri="{FF2B5EF4-FFF2-40B4-BE49-F238E27FC236}">
              <a16:creationId xmlns:a16="http://schemas.microsoft.com/office/drawing/2014/main" id="{3D2EC35B-619C-4380-B882-5AE8B19D1DC1}"/>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3" name="AutoShape 7" descr="Story">
          <a:hlinkClick xmlns:r="http://schemas.openxmlformats.org/officeDocument/2006/relationships" r:id="rId3"/>
          <a:extLst>
            <a:ext uri="{FF2B5EF4-FFF2-40B4-BE49-F238E27FC236}">
              <a16:creationId xmlns:a16="http://schemas.microsoft.com/office/drawing/2014/main" id="{98953CB6-4104-4268-ABBD-5A3A382F3CAD}"/>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4" name="AutoShape 8" descr="Story">
          <a:hlinkClick xmlns:r="http://schemas.openxmlformats.org/officeDocument/2006/relationships" r:id="rId4"/>
          <a:extLst>
            <a:ext uri="{FF2B5EF4-FFF2-40B4-BE49-F238E27FC236}">
              <a16:creationId xmlns:a16="http://schemas.microsoft.com/office/drawing/2014/main" id="{2ACF3928-EB0E-4A0F-8960-830B085D2257}"/>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5" name="AutoShape 9" descr="Story">
          <a:hlinkClick xmlns:r="http://schemas.openxmlformats.org/officeDocument/2006/relationships" r:id="rId5"/>
          <a:extLst>
            <a:ext uri="{FF2B5EF4-FFF2-40B4-BE49-F238E27FC236}">
              <a16:creationId xmlns:a16="http://schemas.microsoft.com/office/drawing/2014/main" id="{724CF932-5E4A-4AAA-BAD1-A07103B0D14B}"/>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6" name="AutoShape 10" descr="Story">
          <a:hlinkClick xmlns:r="http://schemas.openxmlformats.org/officeDocument/2006/relationships" r:id="rId6"/>
          <a:extLst>
            <a:ext uri="{FF2B5EF4-FFF2-40B4-BE49-F238E27FC236}">
              <a16:creationId xmlns:a16="http://schemas.microsoft.com/office/drawing/2014/main" id="{4A7BBF9E-389A-4FBE-A010-F8173C5A7C99}"/>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7" name="AutoShape 13" descr="Story">
          <a:hlinkClick xmlns:r="http://schemas.openxmlformats.org/officeDocument/2006/relationships" r:id="rId4"/>
          <a:extLst>
            <a:ext uri="{FF2B5EF4-FFF2-40B4-BE49-F238E27FC236}">
              <a16:creationId xmlns:a16="http://schemas.microsoft.com/office/drawing/2014/main" id="{35B15124-C2F8-4E78-B8FD-3DC4174C0C2C}"/>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8" name="AutoShape 14" descr="Story">
          <a:hlinkClick xmlns:r="http://schemas.openxmlformats.org/officeDocument/2006/relationships" r:id="rId4"/>
          <a:extLst>
            <a:ext uri="{FF2B5EF4-FFF2-40B4-BE49-F238E27FC236}">
              <a16:creationId xmlns:a16="http://schemas.microsoft.com/office/drawing/2014/main" id="{B19CF495-0EC0-4CED-900B-793B075D4DB2}"/>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39" name="AutoShape 4" descr="Bug">
          <a:hlinkClick xmlns:r="http://schemas.openxmlformats.org/officeDocument/2006/relationships" r:id="rId1"/>
          <a:extLst>
            <a:ext uri="{FF2B5EF4-FFF2-40B4-BE49-F238E27FC236}">
              <a16:creationId xmlns:a16="http://schemas.microsoft.com/office/drawing/2014/main" id="{F0C92703-D6E0-4221-9CDC-C80E43FD0B46}"/>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40" name="AutoShape 6" descr="Bug">
          <a:hlinkClick xmlns:r="http://schemas.openxmlformats.org/officeDocument/2006/relationships" r:id="rId2"/>
          <a:extLst>
            <a:ext uri="{FF2B5EF4-FFF2-40B4-BE49-F238E27FC236}">
              <a16:creationId xmlns:a16="http://schemas.microsoft.com/office/drawing/2014/main" id="{9EE6D07D-D509-4264-931C-D92713B1A99B}"/>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41" name="AutoShape 7" descr="Story">
          <a:hlinkClick xmlns:r="http://schemas.openxmlformats.org/officeDocument/2006/relationships" r:id="rId3"/>
          <a:extLst>
            <a:ext uri="{FF2B5EF4-FFF2-40B4-BE49-F238E27FC236}">
              <a16:creationId xmlns:a16="http://schemas.microsoft.com/office/drawing/2014/main" id="{42E4247B-44FF-4AD8-B9F9-CB5843FC952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42" name="AutoShape 8" descr="Story">
          <a:hlinkClick xmlns:r="http://schemas.openxmlformats.org/officeDocument/2006/relationships" r:id="rId4"/>
          <a:extLst>
            <a:ext uri="{FF2B5EF4-FFF2-40B4-BE49-F238E27FC236}">
              <a16:creationId xmlns:a16="http://schemas.microsoft.com/office/drawing/2014/main" id="{355CE48B-5638-456B-8B68-C5417EFB606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43" name="AutoShape 9" descr="Story">
          <a:hlinkClick xmlns:r="http://schemas.openxmlformats.org/officeDocument/2006/relationships" r:id="rId5"/>
          <a:extLst>
            <a:ext uri="{FF2B5EF4-FFF2-40B4-BE49-F238E27FC236}">
              <a16:creationId xmlns:a16="http://schemas.microsoft.com/office/drawing/2014/main" id="{C653D397-2A81-4A70-A602-78AAE9FD275E}"/>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44" name="AutoShape 10" descr="Story">
          <a:hlinkClick xmlns:r="http://schemas.openxmlformats.org/officeDocument/2006/relationships" r:id="rId6"/>
          <a:extLst>
            <a:ext uri="{FF2B5EF4-FFF2-40B4-BE49-F238E27FC236}">
              <a16:creationId xmlns:a16="http://schemas.microsoft.com/office/drawing/2014/main" id="{7B812B14-38AC-4E0A-94B2-31C639DBD7C3}"/>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45" name="AutoShape 13" descr="Story">
          <a:hlinkClick xmlns:r="http://schemas.openxmlformats.org/officeDocument/2006/relationships" r:id="rId4"/>
          <a:extLst>
            <a:ext uri="{FF2B5EF4-FFF2-40B4-BE49-F238E27FC236}">
              <a16:creationId xmlns:a16="http://schemas.microsoft.com/office/drawing/2014/main" id="{9FDE9228-0CEB-406F-97A0-EBB5278CEB12}"/>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721</xdr:row>
      <xdr:rowOff>0</xdr:rowOff>
    </xdr:from>
    <xdr:ext cx="152400" cy="152400"/>
    <xdr:sp macro="" textlink="">
      <xdr:nvSpPr>
        <xdr:cNvPr id="646" name="AutoShape 14" descr="Story">
          <a:hlinkClick xmlns:r="http://schemas.openxmlformats.org/officeDocument/2006/relationships" r:id="rId4"/>
          <a:extLst>
            <a:ext uri="{FF2B5EF4-FFF2-40B4-BE49-F238E27FC236}">
              <a16:creationId xmlns:a16="http://schemas.microsoft.com/office/drawing/2014/main" id="{BEC102AB-79C6-4879-B048-5DBA1EAC1084}"/>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47" name="AutoShape 4" descr="Bug">
          <a:hlinkClick xmlns:r="http://schemas.openxmlformats.org/officeDocument/2006/relationships" r:id="rId1"/>
          <a:extLst>
            <a:ext uri="{FF2B5EF4-FFF2-40B4-BE49-F238E27FC236}">
              <a16:creationId xmlns:a16="http://schemas.microsoft.com/office/drawing/2014/main" id="{1A7DDBE2-4EA5-4FDE-B2EA-54456F1E0BE4}"/>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48" name="AutoShape 6" descr="Bug">
          <a:hlinkClick xmlns:r="http://schemas.openxmlformats.org/officeDocument/2006/relationships" r:id="rId2"/>
          <a:extLst>
            <a:ext uri="{FF2B5EF4-FFF2-40B4-BE49-F238E27FC236}">
              <a16:creationId xmlns:a16="http://schemas.microsoft.com/office/drawing/2014/main" id="{563AB9E7-6F0A-448E-9D57-6FB9BD331572}"/>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49" name="AutoShape 7" descr="Story">
          <a:hlinkClick xmlns:r="http://schemas.openxmlformats.org/officeDocument/2006/relationships" r:id="rId3"/>
          <a:extLst>
            <a:ext uri="{FF2B5EF4-FFF2-40B4-BE49-F238E27FC236}">
              <a16:creationId xmlns:a16="http://schemas.microsoft.com/office/drawing/2014/main" id="{50539550-F759-46EA-9CF3-8527DB61A423}"/>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0" name="AutoShape 8" descr="Story">
          <a:hlinkClick xmlns:r="http://schemas.openxmlformats.org/officeDocument/2006/relationships" r:id="rId4"/>
          <a:extLst>
            <a:ext uri="{FF2B5EF4-FFF2-40B4-BE49-F238E27FC236}">
              <a16:creationId xmlns:a16="http://schemas.microsoft.com/office/drawing/2014/main" id="{24AEAE22-013A-4373-9696-D03F088AED38}"/>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1" name="AutoShape 9" descr="Story">
          <a:hlinkClick xmlns:r="http://schemas.openxmlformats.org/officeDocument/2006/relationships" r:id="rId5"/>
          <a:extLst>
            <a:ext uri="{FF2B5EF4-FFF2-40B4-BE49-F238E27FC236}">
              <a16:creationId xmlns:a16="http://schemas.microsoft.com/office/drawing/2014/main" id="{AD47C76B-5276-484D-932F-DD23795B0066}"/>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2" name="AutoShape 10" descr="Story">
          <a:hlinkClick xmlns:r="http://schemas.openxmlformats.org/officeDocument/2006/relationships" r:id="rId6"/>
          <a:extLst>
            <a:ext uri="{FF2B5EF4-FFF2-40B4-BE49-F238E27FC236}">
              <a16:creationId xmlns:a16="http://schemas.microsoft.com/office/drawing/2014/main" id="{D94F770C-5735-4398-88BE-939740AC6177}"/>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3" name="AutoShape 13" descr="Story">
          <a:hlinkClick xmlns:r="http://schemas.openxmlformats.org/officeDocument/2006/relationships" r:id="rId4"/>
          <a:extLst>
            <a:ext uri="{FF2B5EF4-FFF2-40B4-BE49-F238E27FC236}">
              <a16:creationId xmlns:a16="http://schemas.microsoft.com/office/drawing/2014/main" id="{0B974577-3D6A-4727-8A8F-960901BE2564}"/>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4" name="AutoShape 14" descr="Story">
          <a:hlinkClick xmlns:r="http://schemas.openxmlformats.org/officeDocument/2006/relationships" r:id="rId4"/>
          <a:extLst>
            <a:ext uri="{FF2B5EF4-FFF2-40B4-BE49-F238E27FC236}">
              <a16:creationId xmlns:a16="http://schemas.microsoft.com/office/drawing/2014/main" id="{D99D937A-429B-4D22-9D77-DDAC41800196}"/>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5" name="AutoShape 4" descr="Bug">
          <a:hlinkClick xmlns:r="http://schemas.openxmlformats.org/officeDocument/2006/relationships" r:id="rId1"/>
          <a:extLst>
            <a:ext uri="{FF2B5EF4-FFF2-40B4-BE49-F238E27FC236}">
              <a16:creationId xmlns:a16="http://schemas.microsoft.com/office/drawing/2014/main" id="{2B228749-6AB2-4653-B4AF-3548B1CA6F86}"/>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6" name="AutoShape 6" descr="Bug">
          <a:hlinkClick xmlns:r="http://schemas.openxmlformats.org/officeDocument/2006/relationships" r:id="rId2"/>
          <a:extLst>
            <a:ext uri="{FF2B5EF4-FFF2-40B4-BE49-F238E27FC236}">
              <a16:creationId xmlns:a16="http://schemas.microsoft.com/office/drawing/2014/main" id="{BD5230F6-288F-4719-94BB-8DD2A3809E2B}"/>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7" name="AutoShape 7" descr="Story">
          <a:hlinkClick xmlns:r="http://schemas.openxmlformats.org/officeDocument/2006/relationships" r:id="rId3"/>
          <a:extLst>
            <a:ext uri="{FF2B5EF4-FFF2-40B4-BE49-F238E27FC236}">
              <a16:creationId xmlns:a16="http://schemas.microsoft.com/office/drawing/2014/main" id="{CB0CCEF4-05AF-41A1-87A1-72B422E88FF5}"/>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8" name="AutoShape 8" descr="Story">
          <a:hlinkClick xmlns:r="http://schemas.openxmlformats.org/officeDocument/2006/relationships" r:id="rId4"/>
          <a:extLst>
            <a:ext uri="{FF2B5EF4-FFF2-40B4-BE49-F238E27FC236}">
              <a16:creationId xmlns:a16="http://schemas.microsoft.com/office/drawing/2014/main" id="{D23F7BB3-D5F7-4440-BE97-1BCA9F1FD0B4}"/>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59" name="AutoShape 9" descr="Story">
          <a:hlinkClick xmlns:r="http://schemas.openxmlformats.org/officeDocument/2006/relationships" r:id="rId5"/>
          <a:extLst>
            <a:ext uri="{FF2B5EF4-FFF2-40B4-BE49-F238E27FC236}">
              <a16:creationId xmlns:a16="http://schemas.microsoft.com/office/drawing/2014/main" id="{F379B5AF-89F9-4607-90AE-0DB61F97F6C7}"/>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60" name="AutoShape 10" descr="Story">
          <a:hlinkClick xmlns:r="http://schemas.openxmlformats.org/officeDocument/2006/relationships" r:id="rId6"/>
          <a:extLst>
            <a:ext uri="{FF2B5EF4-FFF2-40B4-BE49-F238E27FC236}">
              <a16:creationId xmlns:a16="http://schemas.microsoft.com/office/drawing/2014/main" id="{F7E1446C-85E0-41F7-B6A5-7BE2CB243B40}"/>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61" name="AutoShape 13" descr="Story">
          <a:hlinkClick xmlns:r="http://schemas.openxmlformats.org/officeDocument/2006/relationships" r:id="rId4"/>
          <a:extLst>
            <a:ext uri="{FF2B5EF4-FFF2-40B4-BE49-F238E27FC236}">
              <a16:creationId xmlns:a16="http://schemas.microsoft.com/office/drawing/2014/main" id="{BE4ADFC8-88A1-4DCC-8CF9-54715DD5DC7D}"/>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62" name="AutoShape 14" descr="Story">
          <a:hlinkClick xmlns:r="http://schemas.openxmlformats.org/officeDocument/2006/relationships" r:id="rId4"/>
          <a:extLst>
            <a:ext uri="{FF2B5EF4-FFF2-40B4-BE49-F238E27FC236}">
              <a16:creationId xmlns:a16="http://schemas.microsoft.com/office/drawing/2014/main" id="{EB4F5BBA-BCD6-4CFD-B950-6BC36327D354}"/>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63" name="AutoShape 4" descr="Bug">
          <a:hlinkClick xmlns:r="http://schemas.openxmlformats.org/officeDocument/2006/relationships" r:id="rId1"/>
          <a:extLst>
            <a:ext uri="{FF2B5EF4-FFF2-40B4-BE49-F238E27FC236}">
              <a16:creationId xmlns:a16="http://schemas.microsoft.com/office/drawing/2014/main" id="{461FB3E7-312C-4156-8ED9-5602A2D7F241}"/>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64" name="AutoShape 6" descr="Bug">
          <a:hlinkClick xmlns:r="http://schemas.openxmlformats.org/officeDocument/2006/relationships" r:id="rId2"/>
          <a:extLst>
            <a:ext uri="{FF2B5EF4-FFF2-40B4-BE49-F238E27FC236}">
              <a16:creationId xmlns:a16="http://schemas.microsoft.com/office/drawing/2014/main" id="{3A32543E-CF05-4570-A71C-00DCAB9E7CC3}"/>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65" name="AutoShape 7" descr="Story">
          <a:hlinkClick xmlns:r="http://schemas.openxmlformats.org/officeDocument/2006/relationships" r:id="rId3"/>
          <a:extLst>
            <a:ext uri="{FF2B5EF4-FFF2-40B4-BE49-F238E27FC236}">
              <a16:creationId xmlns:a16="http://schemas.microsoft.com/office/drawing/2014/main" id="{D1683F8D-CF94-4B54-BF53-F15F82F2D50E}"/>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66" name="AutoShape 8" descr="Story">
          <a:hlinkClick xmlns:r="http://schemas.openxmlformats.org/officeDocument/2006/relationships" r:id="rId4"/>
          <a:extLst>
            <a:ext uri="{FF2B5EF4-FFF2-40B4-BE49-F238E27FC236}">
              <a16:creationId xmlns:a16="http://schemas.microsoft.com/office/drawing/2014/main" id="{17F06569-66C8-4F15-B7D3-B9659F4D9F77}"/>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67" name="AutoShape 9" descr="Story">
          <a:hlinkClick xmlns:r="http://schemas.openxmlformats.org/officeDocument/2006/relationships" r:id="rId5"/>
          <a:extLst>
            <a:ext uri="{FF2B5EF4-FFF2-40B4-BE49-F238E27FC236}">
              <a16:creationId xmlns:a16="http://schemas.microsoft.com/office/drawing/2014/main" id="{7519CAAE-7063-4756-9973-79A9BDE82128}"/>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68" name="AutoShape 10" descr="Story">
          <a:hlinkClick xmlns:r="http://schemas.openxmlformats.org/officeDocument/2006/relationships" r:id="rId6"/>
          <a:extLst>
            <a:ext uri="{FF2B5EF4-FFF2-40B4-BE49-F238E27FC236}">
              <a16:creationId xmlns:a16="http://schemas.microsoft.com/office/drawing/2014/main" id="{39DD2860-0AD2-4C19-A548-FA29B887B807}"/>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69" name="AutoShape 13" descr="Story">
          <a:hlinkClick xmlns:r="http://schemas.openxmlformats.org/officeDocument/2006/relationships" r:id="rId4"/>
          <a:extLst>
            <a:ext uri="{FF2B5EF4-FFF2-40B4-BE49-F238E27FC236}">
              <a16:creationId xmlns:a16="http://schemas.microsoft.com/office/drawing/2014/main" id="{FB01F997-54B0-4E96-ACB5-B53BD66D4822}"/>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0" name="AutoShape 14" descr="Story">
          <a:hlinkClick xmlns:r="http://schemas.openxmlformats.org/officeDocument/2006/relationships" r:id="rId4"/>
          <a:extLst>
            <a:ext uri="{FF2B5EF4-FFF2-40B4-BE49-F238E27FC236}">
              <a16:creationId xmlns:a16="http://schemas.microsoft.com/office/drawing/2014/main" id="{64502F45-358B-4ED8-84BC-AB97B4781A58}"/>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1" name="AutoShape 4" descr="Bug">
          <a:hlinkClick xmlns:r="http://schemas.openxmlformats.org/officeDocument/2006/relationships" r:id="rId1"/>
          <a:extLst>
            <a:ext uri="{FF2B5EF4-FFF2-40B4-BE49-F238E27FC236}">
              <a16:creationId xmlns:a16="http://schemas.microsoft.com/office/drawing/2014/main" id="{C4D40E68-31FB-4376-A0E1-91F47E233AD7}"/>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2" name="AutoShape 6" descr="Bug">
          <a:hlinkClick xmlns:r="http://schemas.openxmlformats.org/officeDocument/2006/relationships" r:id="rId2"/>
          <a:extLst>
            <a:ext uri="{FF2B5EF4-FFF2-40B4-BE49-F238E27FC236}">
              <a16:creationId xmlns:a16="http://schemas.microsoft.com/office/drawing/2014/main" id="{7FAEB135-A4D3-4B59-8699-5E3ADB9E6391}"/>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3" name="AutoShape 7" descr="Story">
          <a:hlinkClick xmlns:r="http://schemas.openxmlformats.org/officeDocument/2006/relationships" r:id="rId3"/>
          <a:extLst>
            <a:ext uri="{FF2B5EF4-FFF2-40B4-BE49-F238E27FC236}">
              <a16:creationId xmlns:a16="http://schemas.microsoft.com/office/drawing/2014/main" id="{124C7BED-5AD3-46C1-AEB7-AAF44CF75E8D}"/>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4" name="AutoShape 8" descr="Story">
          <a:hlinkClick xmlns:r="http://schemas.openxmlformats.org/officeDocument/2006/relationships" r:id="rId4"/>
          <a:extLst>
            <a:ext uri="{FF2B5EF4-FFF2-40B4-BE49-F238E27FC236}">
              <a16:creationId xmlns:a16="http://schemas.microsoft.com/office/drawing/2014/main" id="{7015E557-2407-4B8C-A1EF-29FE22B1BD04}"/>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5" name="AutoShape 9" descr="Story">
          <a:hlinkClick xmlns:r="http://schemas.openxmlformats.org/officeDocument/2006/relationships" r:id="rId5"/>
          <a:extLst>
            <a:ext uri="{FF2B5EF4-FFF2-40B4-BE49-F238E27FC236}">
              <a16:creationId xmlns:a16="http://schemas.microsoft.com/office/drawing/2014/main" id="{5AE98EEF-6BD6-4EF7-95F6-1F82576C6B24}"/>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6" name="AutoShape 10" descr="Story">
          <a:hlinkClick xmlns:r="http://schemas.openxmlformats.org/officeDocument/2006/relationships" r:id="rId6"/>
          <a:extLst>
            <a:ext uri="{FF2B5EF4-FFF2-40B4-BE49-F238E27FC236}">
              <a16:creationId xmlns:a16="http://schemas.microsoft.com/office/drawing/2014/main" id="{8DC5E9F1-13E7-4827-BD22-3A190C159517}"/>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7" name="AutoShape 13" descr="Story">
          <a:hlinkClick xmlns:r="http://schemas.openxmlformats.org/officeDocument/2006/relationships" r:id="rId4"/>
          <a:extLst>
            <a:ext uri="{FF2B5EF4-FFF2-40B4-BE49-F238E27FC236}">
              <a16:creationId xmlns:a16="http://schemas.microsoft.com/office/drawing/2014/main" id="{6AE18616-1BE9-409C-A742-939EAB49D88B}"/>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722</xdr:row>
      <xdr:rowOff>0</xdr:rowOff>
    </xdr:from>
    <xdr:ext cx="152400" cy="152400"/>
    <xdr:sp macro="" textlink="">
      <xdr:nvSpPr>
        <xdr:cNvPr id="678" name="AutoShape 14" descr="Story">
          <a:hlinkClick xmlns:r="http://schemas.openxmlformats.org/officeDocument/2006/relationships" r:id="rId4"/>
          <a:extLst>
            <a:ext uri="{FF2B5EF4-FFF2-40B4-BE49-F238E27FC236}">
              <a16:creationId xmlns:a16="http://schemas.microsoft.com/office/drawing/2014/main" id="{053C102C-8A2E-4E6C-AF4A-F00076BE628B}"/>
            </a:ext>
          </a:extLst>
        </xdr:cNvPr>
        <xdr:cNvSpPr>
          <a:spLocks noChangeAspect="1" noChangeArrowheads="1"/>
        </xdr:cNvSpPr>
      </xdr:nvSpPr>
      <xdr:spPr bwMode="auto">
        <a:xfrm>
          <a:off x="1912620" y="1324432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79" name="AutoShape 4" descr="Bug">
          <a:hlinkClick xmlns:r="http://schemas.openxmlformats.org/officeDocument/2006/relationships" r:id="rId1"/>
          <a:extLst>
            <a:ext uri="{FF2B5EF4-FFF2-40B4-BE49-F238E27FC236}">
              <a16:creationId xmlns:a16="http://schemas.microsoft.com/office/drawing/2014/main" id="{F61DDBF3-55DE-4F54-8E61-0E086C36524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0" name="AutoShape 6" descr="Bug">
          <a:hlinkClick xmlns:r="http://schemas.openxmlformats.org/officeDocument/2006/relationships" r:id="rId2"/>
          <a:extLst>
            <a:ext uri="{FF2B5EF4-FFF2-40B4-BE49-F238E27FC236}">
              <a16:creationId xmlns:a16="http://schemas.microsoft.com/office/drawing/2014/main" id="{361DAC37-FA32-4C5F-8592-9CE59610222E}"/>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1" name="AutoShape 7" descr="Story">
          <a:hlinkClick xmlns:r="http://schemas.openxmlformats.org/officeDocument/2006/relationships" r:id="rId3"/>
          <a:extLst>
            <a:ext uri="{FF2B5EF4-FFF2-40B4-BE49-F238E27FC236}">
              <a16:creationId xmlns:a16="http://schemas.microsoft.com/office/drawing/2014/main" id="{F71DD8A6-8D29-4A08-AA96-1D688E417449}"/>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2" name="AutoShape 8" descr="Story">
          <a:hlinkClick xmlns:r="http://schemas.openxmlformats.org/officeDocument/2006/relationships" r:id="rId4"/>
          <a:extLst>
            <a:ext uri="{FF2B5EF4-FFF2-40B4-BE49-F238E27FC236}">
              <a16:creationId xmlns:a16="http://schemas.microsoft.com/office/drawing/2014/main" id="{E7333AE0-D947-4D6A-B51F-13DCF93528EF}"/>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3" name="AutoShape 9" descr="Story">
          <a:hlinkClick xmlns:r="http://schemas.openxmlformats.org/officeDocument/2006/relationships" r:id="rId5"/>
          <a:extLst>
            <a:ext uri="{FF2B5EF4-FFF2-40B4-BE49-F238E27FC236}">
              <a16:creationId xmlns:a16="http://schemas.microsoft.com/office/drawing/2014/main" id="{F0792669-C9DA-47CB-BB05-7CDF3ACEB088}"/>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4" name="AutoShape 10" descr="Story">
          <a:hlinkClick xmlns:r="http://schemas.openxmlformats.org/officeDocument/2006/relationships" r:id="rId6"/>
          <a:extLst>
            <a:ext uri="{FF2B5EF4-FFF2-40B4-BE49-F238E27FC236}">
              <a16:creationId xmlns:a16="http://schemas.microsoft.com/office/drawing/2014/main" id="{F29C4816-69E8-478A-90DE-D5E29EB1DFED}"/>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5" name="AutoShape 13" descr="Story">
          <a:hlinkClick xmlns:r="http://schemas.openxmlformats.org/officeDocument/2006/relationships" r:id="rId4"/>
          <a:extLst>
            <a:ext uri="{FF2B5EF4-FFF2-40B4-BE49-F238E27FC236}">
              <a16:creationId xmlns:a16="http://schemas.microsoft.com/office/drawing/2014/main" id="{56D06791-BEBC-4064-BB78-186C0418C34B}"/>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6" name="AutoShape 14" descr="Story">
          <a:hlinkClick xmlns:r="http://schemas.openxmlformats.org/officeDocument/2006/relationships" r:id="rId4"/>
          <a:extLst>
            <a:ext uri="{FF2B5EF4-FFF2-40B4-BE49-F238E27FC236}">
              <a16:creationId xmlns:a16="http://schemas.microsoft.com/office/drawing/2014/main" id="{F408D7FE-D813-4660-B66B-87ADFE26D59E}"/>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7" name="AutoShape 4" descr="Bug">
          <a:hlinkClick xmlns:r="http://schemas.openxmlformats.org/officeDocument/2006/relationships" r:id="rId1"/>
          <a:extLst>
            <a:ext uri="{FF2B5EF4-FFF2-40B4-BE49-F238E27FC236}">
              <a16:creationId xmlns:a16="http://schemas.microsoft.com/office/drawing/2014/main" id="{11323616-DC39-4FD7-AF6A-8E6961A1652C}"/>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8" name="AutoShape 6" descr="Bug">
          <a:hlinkClick xmlns:r="http://schemas.openxmlformats.org/officeDocument/2006/relationships" r:id="rId2"/>
          <a:extLst>
            <a:ext uri="{FF2B5EF4-FFF2-40B4-BE49-F238E27FC236}">
              <a16:creationId xmlns:a16="http://schemas.microsoft.com/office/drawing/2014/main" id="{A9073875-80D1-4B1C-8961-336AF3246D08}"/>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89" name="AutoShape 7" descr="Story">
          <a:hlinkClick xmlns:r="http://schemas.openxmlformats.org/officeDocument/2006/relationships" r:id="rId3"/>
          <a:extLst>
            <a:ext uri="{FF2B5EF4-FFF2-40B4-BE49-F238E27FC236}">
              <a16:creationId xmlns:a16="http://schemas.microsoft.com/office/drawing/2014/main" id="{A8541D81-012F-4D7F-9DC5-3D6ABF9E68F0}"/>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90" name="AutoShape 8" descr="Story">
          <a:hlinkClick xmlns:r="http://schemas.openxmlformats.org/officeDocument/2006/relationships" r:id="rId4"/>
          <a:extLst>
            <a:ext uri="{FF2B5EF4-FFF2-40B4-BE49-F238E27FC236}">
              <a16:creationId xmlns:a16="http://schemas.microsoft.com/office/drawing/2014/main" id="{39043A96-5632-4605-A571-F530248FC21D}"/>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91" name="AutoShape 9" descr="Story">
          <a:hlinkClick xmlns:r="http://schemas.openxmlformats.org/officeDocument/2006/relationships" r:id="rId5"/>
          <a:extLst>
            <a:ext uri="{FF2B5EF4-FFF2-40B4-BE49-F238E27FC236}">
              <a16:creationId xmlns:a16="http://schemas.microsoft.com/office/drawing/2014/main" id="{E335C2FE-C377-453A-A67A-70E0AFBF9C71}"/>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92" name="AutoShape 10" descr="Story">
          <a:hlinkClick xmlns:r="http://schemas.openxmlformats.org/officeDocument/2006/relationships" r:id="rId6"/>
          <a:extLst>
            <a:ext uri="{FF2B5EF4-FFF2-40B4-BE49-F238E27FC236}">
              <a16:creationId xmlns:a16="http://schemas.microsoft.com/office/drawing/2014/main" id="{68658AB3-AE76-45FA-AD7E-A81743628377}"/>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93" name="AutoShape 13" descr="Story">
          <a:hlinkClick xmlns:r="http://schemas.openxmlformats.org/officeDocument/2006/relationships" r:id="rId4"/>
          <a:extLst>
            <a:ext uri="{FF2B5EF4-FFF2-40B4-BE49-F238E27FC236}">
              <a16:creationId xmlns:a16="http://schemas.microsoft.com/office/drawing/2014/main" id="{8C56C01D-67D2-46C6-90E3-15E807C3B70D}"/>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737</xdr:row>
      <xdr:rowOff>0</xdr:rowOff>
    </xdr:from>
    <xdr:ext cx="152400" cy="152400"/>
    <xdr:sp macro="" textlink="">
      <xdr:nvSpPr>
        <xdr:cNvPr id="694" name="AutoShape 14" descr="Story">
          <a:hlinkClick xmlns:r="http://schemas.openxmlformats.org/officeDocument/2006/relationships" r:id="rId4"/>
          <a:extLst>
            <a:ext uri="{FF2B5EF4-FFF2-40B4-BE49-F238E27FC236}">
              <a16:creationId xmlns:a16="http://schemas.microsoft.com/office/drawing/2014/main" id="{E194BD6B-1C87-4116-A9D8-C2DB74C8FC25}"/>
            </a:ext>
          </a:extLst>
        </xdr:cNvPr>
        <xdr:cNvSpPr>
          <a:spLocks noChangeAspect="1" noChangeArrowheads="1"/>
        </xdr:cNvSpPr>
      </xdr:nvSpPr>
      <xdr:spPr bwMode="auto">
        <a:xfrm>
          <a:off x="1912620" y="1351864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734</xdr:row>
      <xdr:rowOff>0</xdr:rowOff>
    </xdr:from>
    <xdr:to>
      <xdr:col>1</xdr:col>
      <xdr:colOff>152400</xdr:colOff>
      <xdr:row>734</xdr:row>
      <xdr:rowOff>152400</xdr:rowOff>
    </xdr:to>
    <xdr:sp macro="" textlink="">
      <xdr:nvSpPr>
        <xdr:cNvPr id="695" name="AutoShape 4" descr="Bug">
          <a:hlinkClick xmlns:r="http://schemas.openxmlformats.org/officeDocument/2006/relationships" r:id="rId1"/>
          <a:extLst>
            <a:ext uri="{FF2B5EF4-FFF2-40B4-BE49-F238E27FC236}">
              <a16:creationId xmlns:a16="http://schemas.microsoft.com/office/drawing/2014/main" id="{8B167B1A-BB51-4397-A37D-09E4E03C5CC1}"/>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696" name="AutoShape 6" descr="Bug">
          <a:hlinkClick xmlns:r="http://schemas.openxmlformats.org/officeDocument/2006/relationships" r:id="rId2"/>
          <a:extLst>
            <a:ext uri="{FF2B5EF4-FFF2-40B4-BE49-F238E27FC236}">
              <a16:creationId xmlns:a16="http://schemas.microsoft.com/office/drawing/2014/main" id="{7A63196C-95C1-4BC8-B8FB-89A1502EF874}"/>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697" name="AutoShape 7" descr="Story">
          <a:hlinkClick xmlns:r="http://schemas.openxmlformats.org/officeDocument/2006/relationships" r:id="rId3"/>
          <a:extLst>
            <a:ext uri="{FF2B5EF4-FFF2-40B4-BE49-F238E27FC236}">
              <a16:creationId xmlns:a16="http://schemas.microsoft.com/office/drawing/2014/main" id="{13420FC9-FC13-4AF2-9C7C-EE47AE8A1CD0}"/>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698" name="AutoShape 8" descr="Story">
          <a:hlinkClick xmlns:r="http://schemas.openxmlformats.org/officeDocument/2006/relationships" r:id="rId4"/>
          <a:extLst>
            <a:ext uri="{FF2B5EF4-FFF2-40B4-BE49-F238E27FC236}">
              <a16:creationId xmlns:a16="http://schemas.microsoft.com/office/drawing/2014/main" id="{05315046-78D3-4A8F-B26E-EA99DEDE508A}"/>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699" name="AutoShape 9" descr="Story">
          <a:hlinkClick xmlns:r="http://schemas.openxmlformats.org/officeDocument/2006/relationships" r:id="rId5"/>
          <a:extLst>
            <a:ext uri="{FF2B5EF4-FFF2-40B4-BE49-F238E27FC236}">
              <a16:creationId xmlns:a16="http://schemas.microsoft.com/office/drawing/2014/main" id="{906FCE8A-BCBA-4CD8-B063-977DD92CC032}"/>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0" name="AutoShape 10" descr="Story">
          <a:hlinkClick xmlns:r="http://schemas.openxmlformats.org/officeDocument/2006/relationships" r:id="rId6"/>
          <a:extLst>
            <a:ext uri="{FF2B5EF4-FFF2-40B4-BE49-F238E27FC236}">
              <a16:creationId xmlns:a16="http://schemas.microsoft.com/office/drawing/2014/main" id="{14CE72E1-E139-447A-BE79-9E1DCD2DA3AB}"/>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1" name="AutoShape 13" descr="Story">
          <a:hlinkClick xmlns:r="http://schemas.openxmlformats.org/officeDocument/2006/relationships" r:id="rId4"/>
          <a:extLst>
            <a:ext uri="{FF2B5EF4-FFF2-40B4-BE49-F238E27FC236}">
              <a16:creationId xmlns:a16="http://schemas.microsoft.com/office/drawing/2014/main" id="{56912731-6B3D-4B83-B632-A12E08C2B0A9}"/>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2" name="AutoShape 14" descr="Story">
          <a:hlinkClick xmlns:r="http://schemas.openxmlformats.org/officeDocument/2006/relationships" r:id="rId4"/>
          <a:extLst>
            <a:ext uri="{FF2B5EF4-FFF2-40B4-BE49-F238E27FC236}">
              <a16:creationId xmlns:a16="http://schemas.microsoft.com/office/drawing/2014/main" id="{0ECD199B-0083-4EEA-9644-12BABF8D4F7F}"/>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3" name="AutoShape 4" descr="Bug">
          <a:hlinkClick xmlns:r="http://schemas.openxmlformats.org/officeDocument/2006/relationships" r:id="rId1"/>
          <a:extLst>
            <a:ext uri="{FF2B5EF4-FFF2-40B4-BE49-F238E27FC236}">
              <a16:creationId xmlns:a16="http://schemas.microsoft.com/office/drawing/2014/main" id="{C5E7187B-0CE6-4162-8F66-0468AA33E7E7}"/>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4" name="AutoShape 6" descr="Bug">
          <a:hlinkClick xmlns:r="http://schemas.openxmlformats.org/officeDocument/2006/relationships" r:id="rId2"/>
          <a:extLst>
            <a:ext uri="{FF2B5EF4-FFF2-40B4-BE49-F238E27FC236}">
              <a16:creationId xmlns:a16="http://schemas.microsoft.com/office/drawing/2014/main" id="{19F3C725-01AD-42A5-98C5-729D06191646}"/>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5" name="AutoShape 7" descr="Story">
          <a:hlinkClick xmlns:r="http://schemas.openxmlformats.org/officeDocument/2006/relationships" r:id="rId3"/>
          <a:extLst>
            <a:ext uri="{FF2B5EF4-FFF2-40B4-BE49-F238E27FC236}">
              <a16:creationId xmlns:a16="http://schemas.microsoft.com/office/drawing/2014/main" id="{A5768B3E-1F09-4D69-A4E0-78FB69E5B9A8}"/>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6" name="AutoShape 8" descr="Story">
          <a:hlinkClick xmlns:r="http://schemas.openxmlformats.org/officeDocument/2006/relationships" r:id="rId4"/>
          <a:extLst>
            <a:ext uri="{FF2B5EF4-FFF2-40B4-BE49-F238E27FC236}">
              <a16:creationId xmlns:a16="http://schemas.microsoft.com/office/drawing/2014/main" id="{0958FC1E-78E5-4496-8D61-10EEDB9B0B71}"/>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7" name="AutoShape 9" descr="Story">
          <a:hlinkClick xmlns:r="http://schemas.openxmlformats.org/officeDocument/2006/relationships" r:id="rId5"/>
          <a:extLst>
            <a:ext uri="{FF2B5EF4-FFF2-40B4-BE49-F238E27FC236}">
              <a16:creationId xmlns:a16="http://schemas.microsoft.com/office/drawing/2014/main" id="{D2AC0353-7AD0-4311-87F3-AF5673D0882B}"/>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8" name="AutoShape 10" descr="Story">
          <a:hlinkClick xmlns:r="http://schemas.openxmlformats.org/officeDocument/2006/relationships" r:id="rId6"/>
          <a:extLst>
            <a:ext uri="{FF2B5EF4-FFF2-40B4-BE49-F238E27FC236}">
              <a16:creationId xmlns:a16="http://schemas.microsoft.com/office/drawing/2014/main" id="{AF0ADB1D-86E5-4449-A22B-9C26FB99B38E}"/>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09" name="AutoShape 13" descr="Story">
          <a:hlinkClick xmlns:r="http://schemas.openxmlformats.org/officeDocument/2006/relationships" r:id="rId4"/>
          <a:extLst>
            <a:ext uri="{FF2B5EF4-FFF2-40B4-BE49-F238E27FC236}">
              <a16:creationId xmlns:a16="http://schemas.microsoft.com/office/drawing/2014/main" id="{7A3D3D2A-FE78-42DA-96AE-67AE047A9593}"/>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734</xdr:row>
      <xdr:rowOff>0</xdr:rowOff>
    </xdr:from>
    <xdr:to>
      <xdr:col>1</xdr:col>
      <xdr:colOff>152400</xdr:colOff>
      <xdr:row>734</xdr:row>
      <xdr:rowOff>152400</xdr:rowOff>
    </xdr:to>
    <xdr:sp macro="" textlink="">
      <xdr:nvSpPr>
        <xdr:cNvPr id="710" name="AutoShape 14" descr="Story">
          <a:hlinkClick xmlns:r="http://schemas.openxmlformats.org/officeDocument/2006/relationships" r:id="rId4"/>
          <a:extLst>
            <a:ext uri="{FF2B5EF4-FFF2-40B4-BE49-F238E27FC236}">
              <a16:creationId xmlns:a16="http://schemas.microsoft.com/office/drawing/2014/main" id="{B17DC75B-62E1-4DFA-8AFE-B3DED97253AF}"/>
            </a:ext>
          </a:extLst>
        </xdr:cNvPr>
        <xdr:cNvSpPr>
          <a:spLocks noChangeAspect="1" noChangeArrowheads="1"/>
        </xdr:cNvSpPr>
      </xdr:nvSpPr>
      <xdr:spPr bwMode="auto">
        <a:xfrm>
          <a:off x="1912620" y="1346377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1" name="AutoShape 4" descr="Bug">
          <a:hlinkClick xmlns:r="http://schemas.openxmlformats.org/officeDocument/2006/relationships" r:id="rId1"/>
          <a:extLst>
            <a:ext uri="{FF2B5EF4-FFF2-40B4-BE49-F238E27FC236}">
              <a16:creationId xmlns:a16="http://schemas.microsoft.com/office/drawing/2014/main" id="{67F18C21-FB36-4EF2-9478-623207E8E6CC}"/>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2" name="AutoShape 6" descr="Bug">
          <a:hlinkClick xmlns:r="http://schemas.openxmlformats.org/officeDocument/2006/relationships" r:id="rId2"/>
          <a:extLst>
            <a:ext uri="{FF2B5EF4-FFF2-40B4-BE49-F238E27FC236}">
              <a16:creationId xmlns:a16="http://schemas.microsoft.com/office/drawing/2014/main" id="{368EA950-8C86-4681-BF3D-6F81F6FF0F2F}"/>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3" name="AutoShape 7" descr="Story">
          <a:hlinkClick xmlns:r="http://schemas.openxmlformats.org/officeDocument/2006/relationships" r:id="rId3"/>
          <a:extLst>
            <a:ext uri="{FF2B5EF4-FFF2-40B4-BE49-F238E27FC236}">
              <a16:creationId xmlns:a16="http://schemas.microsoft.com/office/drawing/2014/main" id="{7B8E6069-2BAA-4463-81FA-B5EA7A8F10E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4" name="AutoShape 8" descr="Story">
          <a:hlinkClick xmlns:r="http://schemas.openxmlformats.org/officeDocument/2006/relationships" r:id="rId4"/>
          <a:extLst>
            <a:ext uri="{FF2B5EF4-FFF2-40B4-BE49-F238E27FC236}">
              <a16:creationId xmlns:a16="http://schemas.microsoft.com/office/drawing/2014/main" id="{586FAED9-106C-46E6-AD2D-8B3C17E18B49}"/>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5" name="AutoShape 9" descr="Story">
          <a:hlinkClick xmlns:r="http://schemas.openxmlformats.org/officeDocument/2006/relationships" r:id="rId5"/>
          <a:extLst>
            <a:ext uri="{FF2B5EF4-FFF2-40B4-BE49-F238E27FC236}">
              <a16:creationId xmlns:a16="http://schemas.microsoft.com/office/drawing/2014/main" id="{DB2F5E2B-CBFD-4AE8-8911-3DDC74120F53}"/>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6" name="AutoShape 10" descr="Story">
          <a:hlinkClick xmlns:r="http://schemas.openxmlformats.org/officeDocument/2006/relationships" r:id="rId6"/>
          <a:extLst>
            <a:ext uri="{FF2B5EF4-FFF2-40B4-BE49-F238E27FC236}">
              <a16:creationId xmlns:a16="http://schemas.microsoft.com/office/drawing/2014/main" id="{956AB148-114C-4434-A2B4-2295BEB561B9}"/>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7" name="AutoShape 13" descr="Story">
          <a:hlinkClick xmlns:r="http://schemas.openxmlformats.org/officeDocument/2006/relationships" r:id="rId4"/>
          <a:extLst>
            <a:ext uri="{FF2B5EF4-FFF2-40B4-BE49-F238E27FC236}">
              <a16:creationId xmlns:a16="http://schemas.microsoft.com/office/drawing/2014/main" id="{1F08E4D6-5FC2-4D87-93BB-60FD40BD4273}"/>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8" name="AutoShape 14" descr="Story">
          <a:hlinkClick xmlns:r="http://schemas.openxmlformats.org/officeDocument/2006/relationships" r:id="rId4"/>
          <a:extLst>
            <a:ext uri="{FF2B5EF4-FFF2-40B4-BE49-F238E27FC236}">
              <a16:creationId xmlns:a16="http://schemas.microsoft.com/office/drawing/2014/main" id="{FC40AA64-DA7B-412C-9204-E9AB1D517248}"/>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19" name="AutoShape 4" descr="Bug">
          <a:hlinkClick xmlns:r="http://schemas.openxmlformats.org/officeDocument/2006/relationships" r:id="rId1"/>
          <a:extLst>
            <a:ext uri="{FF2B5EF4-FFF2-40B4-BE49-F238E27FC236}">
              <a16:creationId xmlns:a16="http://schemas.microsoft.com/office/drawing/2014/main" id="{156A5D0F-52DE-4FE5-B89C-80BD0E99F536}"/>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20" name="AutoShape 6" descr="Bug">
          <a:hlinkClick xmlns:r="http://schemas.openxmlformats.org/officeDocument/2006/relationships" r:id="rId2"/>
          <a:extLst>
            <a:ext uri="{FF2B5EF4-FFF2-40B4-BE49-F238E27FC236}">
              <a16:creationId xmlns:a16="http://schemas.microsoft.com/office/drawing/2014/main" id="{458852F9-5B64-46B8-A138-4C52F73AF6BA}"/>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21" name="AutoShape 7" descr="Story">
          <a:hlinkClick xmlns:r="http://schemas.openxmlformats.org/officeDocument/2006/relationships" r:id="rId3"/>
          <a:extLst>
            <a:ext uri="{FF2B5EF4-FFF2-40B4-BE49-F238E27FC236}">
              <a16:creationId xmlns:a16="http://schemas.microsoft.com/office/drawing/2014/main" id="{A26A7002-FAD4-4969-A71D-BD3E4F4C759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22" name="AutoShape 8" descr="Story">
          <a:hlinkClick xmlns:r="http://schemas.openxmlformats.org/officeDocument/2006/relationships" r:id="rId4"/>
          <a:extLst>
            <a:ext uri="{FF2B5EF4-FFF2-40B4-BE49-F238E27FC236}">
              <a16:creationId xmlns:a16="http://schemas.microsoft.com/office/drawing/2014/main" id="{7ABC07D8-F69E-42A0-BB58-2582A74DF536}"/>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23" name="AutoShape 9" descr="Story">
          <a:hlinkClick xmlns:r="http://schemas.openxmlformats.org/officeDocument/2006/relationships" r:id="rId5"/>
          <a:extLst>
            <a:ext uri="{FF2B5EF4-FFF2-40B4-BE49-F238E27FC236}">
              <a16:creationId xmlns:a16="http://schemas.microsoft.com/office/drawing/2014/main" id="{13C5D4E4-8339-4F44-9536-0F3410B76A3D}"/>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24" name="AutoShape 10" descr="Story">
          <a:hlinkClick xmlns:r="http://schemas.openxmlformats.org/officeDocument/2006/relationships" r:id="rId6"/>
          <a:extLst>
            <a:ext uri="{FF2B5EF4-FFF2-40B4-BE49-F238E27FC236}">
              <a16:creationId xmlns:a16="http://schemas.microsoft.com/office/drawing/2014/main" id="{0814041E-A2BD-4BF9-AF82-7C3C2C016B54}"/>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25" name="AutoShape 13" descr="Story">
          <a:hlinkClick xmlns:r="http://schemas.openxmlformats.org/officeDocument/2006/relationships" r:id="rId4"/>
          <a:extLst>
            <a:ext uri="{FF2B5EF4-FFF2-40B4-BE49-F238E27FC236}">
              <a16:creationId xmlns:a16="http://schemas.microsoft.com/office/drawing/2014/main" id="{73B061DE-5777-4CA4-B46F-9A7E535296E0}"/>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26" name="AutoShape 14" descr="Story">
          <a:hlinkClick xmlns:r="http://schemas.openxmlformats.org/officeDocument/2006/relationships" r:id="rId4"/>
          <a:extLst>
            <a:ext uri="{FF2B5EF4-FFF2-40B4-BE49-F238E27FC236}">
              <a16:creationId xmlns:a16="http://schemas.microsoft.com/office/drawing/2014/main" id="{95DFAF6E-4772-44CD-A1F9-A5553D3B38CF}"/>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27" name="AutoShape 4" descr="Bug">
          <a:hlinkClick xmlns:r="http://schemas.openxmlformats.org/officeDocument/2006/relationships" r:id="rId1"/>
          <a:extLst>
            <a:ext uri="{FF2B5EF4-FFF2-40B4-BE49-F238E27FC236}">
              <a16:creationId xmlns:a16="http://schemas.microsoft.com/office/drawing/2014/main" id="{A1B15274-AFDD-404A-A887-10F0E6D700F2}"/>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28" name="AutoShape 6" descr="Bug">
          <a:hlinkClick xmlns:r="http://schemas.openxmlformats.org/officeDocument/2006/relationships" r:id="rId2"/>
          <a:extLst>
            <a:ext uri="{FF2B5EF4-FFF2-40B4-BE49-F238E27FC236}">
              <a16:creationId xmlns:a16="http://schemas.microsoft.com/office/drawing/2014/main" id="{926C1616-88BB-47A1-8B0A-373337BEF933}"/>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29" name="AutoShape 7" descr="Story">
          <a:hlinkClick xmlns:r="http://schemas.openxmlformats.org/officeDocument/2006/relationships" r:id="rId3"/>
          <a:extLst>
            <a:ext uri="{FF2B5EF4-FFF2-40B4-BE49-F238E27FC236}">
              <a16:creationId xmlns:a16="http://schemas.microsoft.com/office/drawing/2014/main" id="{28886F70-A35B-4DA0-BE0E-4EDEB1679A9C}"/>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0" name="AutoShape 8" descr="Story">
          <a:hlinkClick xmlns:r="http://schemas.openxmlformats.org/officeDocument/2006/relationships" r:id="rId4"/>
          <a:extLst>
            <a:ext uri="{FF2B5EF4-FFF2-40B4-BE49-F238E27FC236}">
              <a16:creationId xmlns:a16="http://schemas.microsoft.com/office/drawing/2014/main" id="{0BAC3EBB-872D-447B-A0BB-A0D0078167C3}"/>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1" name="AutoShape 9" descr="Story">
          <a:hlinkClick xmlns:r="http://schemas.openxmlformats.org/officeDocument/2006/relationships" r:id="rId5"/>
          <a:extLst>
            <a:ext uri="{FF2B5EF4-FFF2-40B4-BE49-F238E27FC236}">
              <a16:creationId xmlns:a16="http://schemas.microsoft.com/office/drawing/2014/main" id="{3D9C924E-928F-4424-AD2A-2D6FB6BDEAB1}"/>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2" name="AutoShape 10" descr="Story">
          <a:hlinkClick xmlns:r="http://schemas.openxmlformats.org/officeDocument/2006/relationships" r:id="rId6"/>
          <a:extLst>
            <a:ext uri="{FF2B5EF4-FFF2-40B4-BE49-F238E27FC236}">
              <a16:creationId xmlns:a16="http://schemas.microsoft.com/office/drawing/2014/main" id="{67010496-5DBF-4054-9EF7-8A1D6373531B}"/>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3" name="AutoShape 13" descr="Story">
          <a:hlinkClick xmlns:r="http://schemas.openxmlformats.org/officeDocument/2006/relationships" r:id="rId4"/>
          <a:extLst>
            <a:ext uri="{FF2B5EF4-FFF2-40B4-BE49-F238E27FC236}">
              <a16:creationId xmlns:a16="http://schemas.microsoft.com/office/drawing/2014/main" id="{C2598DED-C06F-4B93-8C6E-33D0A223212F}"/>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4" name="AutoShape 14" descr="Story">
          <a:hlinkClick xmlns:r="http://schemas.openxmlformats.org/officeDocument/2006/relationships" r:id="rId4"/>
          <a:extLst>
            <a:ext uri="{FF2B5EF4-FFF2-40B4-BE49-F238E27FC236}">
              <a16:creationId xmlns:a16="http://schemas.microsoft.com/office/drawing/2014/main" id="{DC6AE841-1908-4839-B491-63A4523A0CFB}"/>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5" name="AutoShape 4" descr="Bug">
          <a:hlinkClick xmlns:r="http://schemas.openxmlformats.org/officeDocument/2006/relationships" r:id="rId1"/>
          <a:extLst>
            <a:ext uri="{FF2B5EF4-FFF2-40B4-BE49-F238E27FC236}">
              <a16:creationId xmlns:a16="http://schemas.microsoft.com/office/drawing/2014/main" id="{43F1A802-1627-4130-93B7-1F688017B86E}"/>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6" name="AutoShape 6" descr="Bug">
          <a:hlinkClick xmlns:r="http://schemas.openxmlformats.org/officeDocument/2006/relationships" r:id="rId2"/>
          <a:extLst>
            <a:ext uri="{FF2B5EF4-FFF2-40B4-BE49-F238E27FC236}">
              <a16:creationId xmlns:a16="http://schemas.microsoft.com/office/drawing/2014/main" id="{75FC5688-67E2-4304-B65C-7BE9A4C92CF1}"/>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7" name="AutoShape 7" descr="Story">
          <a:hlinkClick xmlns:r="http://schemas.openxmlformats.org/officeDocument/2006/relationships" r:id="rId3"/>
          <a:extLst>
            <a:ext uri="{FF2B5EF4-FFF2-40B4-BE49-F238E27FC236}">
              <a16:creationId xmlns:a16="http://schemas.microsoft.com/office/drawing/2014/main" id="{0E01C196-73DD-456E-8205-C8FCBA845C42}"/>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8" name="AutoShape 8" descr="Story">
          <a:hlinkClick xmlns:r="http://schemas.openxmlformats.org/officeDocument/2006/relationships" r:id="rId4"/>
          <a:extLst>
            <a:ext uri="{FF2B5EF4-FFF2-40B4-BE49-F238E27FC236}">
              <a16:creationId xmlns:a16="http://schemas.microsoft.com/office/drawing/2014/main" id="{5735CF10-9216-4596-A94C-995658917E25}"/>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39" name="AutoShape 9" descr="Story">
          <a:hlinkClick xmlns:r="http://schemas.openxmlformats.org/officeDocument/2006/relationships" r:id="rId5"/>
          <a:extLst>
            <a:ext uri="{FF2B5EF4-FFF2-40B4-BE49-F238E27FC236}">
              <a16:creationId xmlns:a16="http://schemas.microsoft.com/office/drawing/2014/main" id="{18D52B16-DBF2-412B-99D4-B0FB78A18E56}"/>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40" name="AutoShape 10" descr="Story">
          <a:hlinkClick xmlns:r="http://schemas.openxmlformats.org/officeDocument/2006/relationships" r:id="rId6"/>
          <a:extLst>
            <a:ext uri="{FF2B5EF4-FFF2-40B4-BE49-F238E27FC236}">
              <a16:creationId xmlns:a16="http://schemas.microsoft.com/office/drawing/2014/main" id="{40D2C422-10DA-486B-BF02-A59F0D55BB40}"/>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41" name="AutoShape 13" descr="Story">
          <a:hlinkClick xmlns:r="http://schemas.openxmlformats.org/officeDocument/2006/relationships" r:id="rId4"/>
          <a:extLst>
            <a:ext uri="{FF2B5EF4-FFF2-40B4-BE49-F238E27FC236}">
              <a16:creationId xmlns:a16="http://schemas.microsoft.com/office/drawing/2014/main" id="{21AAA166-2585-4765-A632-7AFC747A1CC7}"/>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708</xdr:row>
      <xdr:rowOff>0</xdr:rowOff>
    </xdr:from>
    <xdr:to>
      <xdr:col>1</xdr:col>
      <xdr:colOff>152400</xdr:colOff>
      <xdr:row>708</xdr:row>
      <xdr:rowOff>152400</xdr:rowOff>
    </xdr:to>
    <xdr:sp macro="" textlink="">
      <xdr:nvSpPr>
        <xdr:cNvPr id="742" name="AutoShape 14" descr="Story">
          <a:hlinkClick xmlns:r="http://schemas.openxmlformats.org/officeDocument/2006/relationships" r:id="rId4"/>
          <a:extLst>
            <a:ext uri="{FF2B5EF4-FFF2-40B4-BE49-F238E27FC236}">
              <a16:creationId xmlns:a16="http://schemas.microsoft.com/office/drawing/2014/main" id="{2EB3A5C4-D81E-44CB-BEDA-72F75B07BD69}"/>
            </a:ext>
          </a:extLst>
        </xdr:cNvPr>
        <xdr:cNvSpPr>
          <a:spLocks noChangeAspect="1" noChangeArrowheads="1"/>
        </xdr:cNvSpPr>
      </xdr:nvSpPr>
      <xdr:spPr bwMode="auto">
        <a:xfrm>
          <a:off x="1912620" y="1298829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43" name="AutoShape 4" descr="Bug">
          <a:hlinkClick xmlns:r="http://schemas.openxmlformats.org/officeDocument/2006/relationships" r:id="rId1"/>
          <a:extLst>
            <a:ext uri="{FF2B5EF4-FFF2-40B4-BE49-F238E27FC236}">
              <a16:creationId xmlns:a16="http://schemas.microsoft.com/office/drawing/2014/main" id="{E075E57F-AB19-431E-BDB4-90E0137DF7A8}"/>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44" name="AutoShape 6" descr="Bug">
          <a:hlinkClick xmlns:r="http://schemas.openxmlformats.org/officeDocument/2006/relationships" r:id="rId2"/>
          <a:extLst>
            <a:ext uri="{FF2B5EF4-FFF2-40B4-BE49-F238E27FC236}">
              <a16:creationId xmlns:a16="http://schemas.microsoft.com/office/drawing/2014/main" id="{A3B1E757-3046-4AA5-88C1-98C03037AB29}"/>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45" name="AutoShape 7" descr="Story">
          <a:hlinkClick xmlns:r="http://schemas.openxmlformats.org/officeDocument/2006/relationships" r:id="rId3"/>
          <a:extLst>
            <a:ext uri="{FF2B5EF4-FFF2-40B4-BE49-F238E27FC236}">
              <a16:creationId xmlns:a16="http://schemas.microsoft.com/office/drawing/2014/main" id="{182505A7-C8CE-4510-917B-006B20E4042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46" name="AutoShape 8" descr="Story">
          <a:hlinkClick xmlns:r="http://schemas.openxmlformats.org/officeDocument/2006/relationships" r:id="rId4"/>
          <a:extLst>
            <a:ext uri="{FF2B5EF4-FFF2-40B4-BE49-F238E27FC236}">
              <a16:creationId xmlns:a16="http://schemas.microsoft.com/office/drawing/2014/main" id="{40ABD7EE-8452-4FA2-9752-382C78DFF7E7}"/>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47" name="AutoShape 9" descr="Story">
          <a:hlinkClick xmlns:r="http://schemas.openxmlformats.org/officeDocument/2006/relationships" r:id="rId5"/>
          <a:extLst>
            <a:ext uri="{FF2B5EF4-FFF2-40B4-BE49-F238E27FC236}">
              <a16:creationId xmlns:a16="http://schemas.microsoft.com/office/drawing/2014/main" id="{1EAC5C51-6EA6-4F2D-B146-B87AF31A06E6}"/>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48" name="AutoShape 10" descr="Story">
          <a:hlinkClick xmlns:r="http://schemas.openxmlformats.org/officeDocument/2006/relationships" r:id="rId6"/>
          <a:extLst>
            <a:ext uri="{FF2B5EF4-FFF2-40B4-BE49-F238E27FC236}">
              <a16:creationId xmlns:a16="http://schemas.microsoft.com/office/drawing/2014/main" id="{01EDD135-63A0-4DE9-96E2-77CBD8562616}"/>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49" name="AutoShape 13" descr="Story">
          <a:hlinkClick xmlns:r="http://schemas.openxmlformats.org/officeDocument/2006/relationships" r:id="rId4"/>
          <a:extLst>
            <a:ext uri="{FF2B5EF4-FFF2-40B4-BE49-F238E27FC236}">
              <a16:creationId xmlns:a16="http://schemas.microsoft.com/office/drawing/2014/main" id="{0319AC8B-1387-49E2-9944-5DBACE37F743}"/>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0" name="AutoShape 14" descr="Story">
          <a:hlinkClick xmlns:r="http://schemas.openxmlformats.org/officeDocument/2006/relationships" r:id="rId4"/>
          <a:extLst>
            <a:ext uri="{FF2B5EF4-FFF2-40B4-BE49-F238E27FC236}">
              <a16:creationId xmlns:a16="http://schemas.microsoft.com/office/drawing/2014/main" id="{DA53357A-C5A0-47F0-A36E-8B51F99D5646}"/>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1" name="AutoShape 4" descr="Bug">
          <a:hlinkClick xmlns:r="http://schemas.openxmlformats.org/officeDocument/2006/relationships" r:id="rId1"/>
          <a:extLst>
            <a:ext uri="{FF2B5EF4-FFF2-40B4-BE49-F238E27FC236}">
              <a16:creationId xmlns:a16="http://schemas.microsoft.com/office/drawing/2014/main" id="{57F05691-873C-46E7-BE3E-CFF29F4DF984}"/>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2" name="AutoShape 6" descr="Bug">
          <a:hlinkClick xmlns:r="http://schemas.openxmlformats.org/officeDocument/2006/relationships" r:id="rId2"/>
          <a:extLst>
            <a:ext uri="{FF2B5EF4-FFF2-40B4-BE49-F238E27FC236}">
              <a16:creationId xmlns:a16="http://schemas.microsoft.com/office/drawing/2014/main" id="{B089506B-48BD-4B7B-89FB-046D0BBCBA7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3" name="AutoShape 7" descr="Story">
          <a:hlinkClick xmlns:r="http://schemas.openxmlformats.org/officeDocument/2006/relationships" r:id="rId3"/>
          <a:extLst>
            <a:ext uri="{FF2B5EF4-FFF2-40B4-BE49-F238E27FC236}">
              <a16:creationId xmlns:a16="http://schemas.microsoft.com/office/drawing/2014/main" id="{6AFE8DAE-979F-40DA-8230-BC704CB44497}"/>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4" name="AutoShape 8" descr="Story">
          <a:hlinkClick xmlns:r="http://schemas.openxmlformats.org/officeDocument/2006/relationships" r:id="rId4"/>
          <a:extLst>
            <a:ext uri="{FF2B5EF4-FFF2-40B4-BE49-F238E27FC236}">
              <a16:creationId xmlns:a16="http://schemas.microsoft.com/office/drawing/2014/main" id="{6B418235-B821-47CF-9CDA-74B84CB63B5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5" name="AutoShape 9" descr="Story">
          <a:hlinkClick xmlns:r="http://schemas.openxmlformats.org/officeDocument/2006/relationships" r:id="rId5"/>
          <a:extLst>
            <a:ext uri="{FF2B5EF4-FFF2-40B4-BE49-F238E27FC236}">
              <a16:creationId xmlns:a16="http://schemas.microsoft.com/office/drawing/2014/main" id="{7E8294B5-CA3E-4DE7-B26A-948CFCF849D5}"/>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6" name="AutoShape 10" descr="Story">
          <a:hlinkClick xmlns:r="http://schemas.openxmlformats.org/officeDocument/2006/relationships" r:id="rId6"/>
          <a:extLst>
            <a:ext uri="{FF2B5EF4-FFF2-40B4-BE49-F238E27FC236}">
              <a16:creationId xmlns:a16="http://schemas.microsoft.com/office/drawing/2014/main" id="{EF800488-5CDD-4E83-83B1-DCBF789F20EE}"/>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7" name="AutoShape 13" descr="Story">
          <a:hlinkClick xmlns:r="http://schemas.openxmlformats.org/officeDocument/2006/relationships" r:id="rId4"/>
          <a:extLst>
            <a:ext uri="{FF2B5EF4-FFF2-40B4-BE49-F238E27FC236}">
              <a16:creationId xmlns:a16="http://schemas.microsoft.com/office/drawing/2014/main" id="{6032455E-6936-422B-9740-788257CF07A4}"/>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721</xdr:row>
      <xdr:rowOff>0</xdr:rowOff>
    </xdr:from>
    <xdr:to>
      <xdr:col>1</xdr:col>
      <xdr:colOff>152400</xdr:colOff>
      <xdr:row>721</xdr:row>
      <xdr:rowOff>152400</xdr:rowOff>
    </xdr:to>
    <xdr:sp macro="" textlink="">
      <xdr:nvSpPr>
        <xdr:cNvPr id="758" name="AutoShape 14" descr="Story">
          <a:hlinkClick xmlns:r="http://schemas.openxmlformats.org/officeDocument/2006/relationships" r:id="rId4"/>
          <a:extLst>
            <a:ext uri="{FF2B5EF4-FFF2-40B4-BE49-F238E27FC236}">
              <a16:creationId xmlns:a16="http://schemas.microsoft.com/office/drawing/2014/main" id="{CF11C916-6A72-407B-ABE7-2FD327E7C7AC}"/>
            </a:ext>
          </a:extLst>
        </xdr:cNvPr>
        <xdr:cNvSpPr>
          <a:spLocks noChangeAspect="1" noChangeArrowheads="1"/>
        </xdr:cNvSpPr>
      </xdr:nvSpPr>
      <xdr:spPr bwMode="auto">
        <a:xfrm>
          <a:off x="1912620" y="1322603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59" name="AutoShape 4" descr="Bug">
          <a:hlinkClick xmlns:r="http://schemas.openxmlformats.org/officeDocument/2006/relationships" r:id="rId1"/>
          <a:extLst>
            <a:ext uri="{FF2B5EF4-FFF2-40B4-BE49-F238E27FC236}">
              <a16:creationId xmlns:a16="http://schemas.microsoft.com/office/drawing/2014/main" id="{76D274EC-246C-43AE-83F5-B6F4FD4FC09D}"/>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0" name="AutoShape 6" descr="Bug">
          <a:hlinkClick xmlns:r="http://schemas.openxmlformats.org/officeDocument/2006/relationships" r:id="rId2"/>
          <a:extLst>
            <a:ext uri="{FF2B5EF4-FFF2-40B4-BE49-F238E27FC236}">
              <a16:creationId xmlns:a16="http://schemas.microsoft.com/office/drawing/2014/main" id="{83FEBC9B-B200-4648-B6CA-560C8D4EF8B3}"/>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1" name="AutoShape 7" descr="Story">
          <a:hlinkClick xmlns:r="http://schemas.openxmlformats.org/officeDocument/2006/relationships" r:id="rId3"/>
          <a:extLst>
            <a:ext uri="{FF2B5EF4-FFF2-40B4-BE49-F238E27FC236}">
              <a16:creationId xmlns:a16="http://schemas.microsoft.com/office/drawing/2014/main" id="{B12CC145-BAC2-4CF8-9E50-CAC87D475CB9}"/>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2" name="AutoShape 8" descr="Story">
          <a:hlinkClick xmlns:r="http://schemas.openxmlformats.org/officeDocument/2006/relationships" r:id="rId4"/>
          <a:extLst>
            <a:ext uri="{FF2B5EF4-FFF2-40B4-BE49-F238E27FC236}">
              <a16:creationId xmlns:a16="http://schemas.microsoft.com/office/drawing/2014/main" id="{EC0DFC35-F404-4B9C-AD79-DC7B1BBDC25D}"/>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3" name="AutoShape 9" descr="Story">
          <a:hlinkClick xmlns:r="http://schemas.openxmlformats.org/officeDocument/2006/relationships" r:id="rId5"/>
          <a:extLst>
            <a:ext uri="{FF2B5EF4-FFF2-40B4-BE49-F238E27FC236}">
              <a16:creationId xmlns:a16="http://schemas.microsoft.com/office/drawing/2014/main" id="{D43A46B6-97DB-44EB-B0BD-BD1E32BEE138}"/>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4" name="AutoShape 10" descr="Story">
          <a:hlinkClick xmlns:r="http://schemas.openxmlformats.org/officeDocument/2006/relationships" r:id="rId6"/>
          <a:extLst>
            <a:ext uri="{FF2B5EF4-FFF2-40B4-BE49-F238E27FC236}">
              <a16:creationId xmlns:a16="http://schemas.microsoft.com/office/drawing/2014/main" id="{5C97F0CC-849A-476E-997B-702441D2B9DF}"/>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5" name="AutoShape 13" descr="Story">
          <a:hlinkClick xmlns:r="http://schemas.openxmlformats.org/officeDocument/2006/relationships" r:id="rId4"/>
          <a:extLst>
            <a:ext uri="{FF2B5EF4-FFF2-40B4-BE49-F238E27FC236}">
              <a16:creationId xmlns:a16="http://schemas.microsoft.com/office/drawing/2014/main" id="{47796636-7885-4CDC-BB8C-AFB26C3FD8E9}"/>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6" name="AutoShape 14" descr="Story">
          <a:hlinkClick xmlns:r="http://schemas.openxmlformats.org/officeDocument/2006/relationships" r:id="rId4"/>
          <a:extLst>
            <a:ext uri="{FF2B5EF4-FFF2-40B4-BE49-F238E27FC236}">
              <a16:creationId xmlns:a16="http://schemas.microsoft.com/office/drawing/2014/main" id="{F31DC6C1-E2E2-4AC4-9A77-FAC5AF89D630}"/>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7" name="AutoShape 4" descr="Bug">
          <a:hlinkClick xmlns:r="http://schemas.openxmlformats.org/officeDocument/2006/relationships" r:id="rId1"/>
          <a:extLst>
            <a:ext uri="{FF2B5EF4-FFF2-40B4-BE49-F238E27FC236}">
              <a16:creationId xmlns:a16="http://schemas.microsoft.com/office/drawing/2014/main" id="{EF4B5199-7825-47AD-9964-FA49CB610C3E}"/>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8" name="AutoShape 6" descr="Bug">
          <a:hlinkClick xmlns:r="http://schemas.openxmlformats.org/officeDocument/2006/relationships" r:id="rId2"/>
          <a:extLst>
            <a:ext uri="{FF2B5EF4-FFF2-40B4-BE49-F238E27FC236}">
              <a16:creationId xmlns:a16="http://schemas.microsoft.com/office/drawing/2014/main" id="{9A230248-3D41-4EA8-9E97-FC6B39AECB1F}"/>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69" name="AutoShape 7" descr="Story">
          <a:hlinkClick xmlns:r="http://schemas.openxmlformats.org/officeDocument/2006/relationships" r:id="rId3"/>
          <a:extLst>
            <a:ext uri="{FF2B5EF4-FFF2-40B4-BE49-F238E27FC236}">
              <a16:creationId xmlns:a16="http://schemas.microsoft.com/office/drawing/2014/main" id="{9125A05B-7388-48A2-898B-0B94C9B1BFBC}"/>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70" name="AutoShape 8" descr="Story">
          <a:hlinkClick xmlns:r="http://schemas.openxmlformats.org/officeDocument/2006/relationships" r:id="rId4"/>
          <a:extLst>
            <a:ext uri="{FF2B5EF4-FFF2-40B4-BE49-F238E27FC236}">
              <a16:creationId xmlns:a16="http://schemas.microsoft.com/office/drawing/2014/main" id="{5F985BBA-4002-4EAB-9735-2556A8D97E2D}"/>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71" name="AutoShape 9" descr="Story">
          <a:hlinkClick xmlns:r="http://schemas.openxmlformats.org/officeDocument/2006/relationships" r:id="rId5"/>
          <a:extLst>
            <a:ext uri="{FF2B5EF4-FFF2-40B4-BE49-F238E27FC236}">
              <a16:creationId xmlns:a16="http://schemas.microsoft.com/office/drawing/2014/main" id="{5BB43FA3-C68D-43A3-9D88-AFE29723F53C}"/>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72" name="AutoShape 10" descr="Story">
          <a:hlinkClick xmlns:r="http://schemas.openxmlformats.org/officeDocument/2006/relationships" r:id="rId6"/>
          <a:extLst>
            <a:ext uri="{FF2B5EF4-FFF2-40B4-BE49-F238E27FC236}">
              <a16:creationId xmlns:a16="http://schemas.microsoft.com/office/drawing/2014/main" id="{12411ED6-74CC-4F0D-A893-7932B3991CFF}"/>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73" name="AutoShape 13" descr="Story">
          <a:hlinkClick xmlns:r="http://schemas.openxmlformats.org/officeDocument/2006/relationships" r:id="rId4"/>
          <a:extLst>
            <a:ext uri="{FF2B5EF4-FFF2-40B4-BE49-F238E27FC236}">
              <a16:creationId xmlns:a16="http://schemas.microsoft.com/office/drawing/2014/main" id="{33DFC267-6D1F-41C3-A809-A749CA72BEDB}"/>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775</xdr:row>
      <xdr:rowOff>0</xdr:rowOff>
    </xdr:from>
    <xdr:to>
      <xdr:col>1</xdr:col>
      <xdr:colOff>152400</xdr:colOff>
      <xdr:row>775</xdr:row>
      <xdr:rowOff>152400</xdr:rowOff>
    </xdr:to>
    <xdr:sp macro="" textlink="">
      <xdr:nvSpPr>
        <xdr:cNvPr id="774" name="AutoShape 14" descr="Story">
          <a:hlinkClick xmlns:r="http://schemas.openxmlformats.org/officeDocument/2006/relationships" r:id="rId4"/>
          <a:extLst>
            <a:ext uri="{FF2B5EF4-FFF2-40B4-BE49-F238E27FC236}">
              <a16:creationId xmlns:a16="http://schemas.microsoft.com/office/drawing/2014/main" id="{A740B9AB-281D-41B1-9821-EED5EE7A63C9}"/>
            </a:ext>
          </a:extLst>
        </xdr:cNvPr>
        <xdr:cNvSpPr>
          <a:spLocks noChangeAspect="1" noChangeArrowheads="1"/>
        </xdr:cNvSpPr>
      </xdr:nvSpPr>
      <xdr:spPr bwMode="auto">
        <a:xfrm>
          <a:off x="1912620" y="1421739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75" name="AutoShape 4" descr="Bug">
          <a:hlinkClick xmlns:r="http://schemas.openxmlformats.org/officeDocument/2006/relationships" r:id="rId1"/>
          <a:extLst>
            <a:ext uri="{FF2B5EF4-FFF2-40B4-BE49-F238E27FC236}">
              <a16:creationId xmlns:a16="http://schemas.microsoft.com/office/drawing/2014/main" id="{E41BF027-6E5F-420D-9D81-115096AC6EFE}"/>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76" name="AutoShape 6" descr="Bug">
          <a:hlinkClick xmlns:r="http://schemas.openxmlformats.org/officeDocument/2006/relationships" r:id="rId2"/>
          <a:extLst>
            <a:ext uri="{FF2B5EF4-FFF2-40B4-BE49-F238E27FC236}">
              <a16:creationId xmlns:a16="http://schemas.microsoft.com/office/drawing/2014/main" id="{376E1313-E56B-4C98-A885-F8C88B72635B}"/>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77" name="AutoShape 7" descr="Story">
          <a:hlinkClick xmlns:r="http://schemas.openxmlformats.org/officeDocument/2006/relationships" r:id="rId3"/>
          <a:extLst>
            <a:ext uri="{FF2B5EF4-FFF2-40B4-BE49-F238E27FC236}">
              <a16:creationId xmlns:a16="http://schemas.microsoft.com/office/drawing/2014/main" id="{BC86B878-BA5F-4511-A320-1564B5D03FE2}"/>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78" name="AutoShape 8" descr="Story">
          <a:hlinkClick xmlns:r="http://schemas.openxmlformats.org/officeDocument/2006/relationships" r:id="rId4"/>
          <a:extLst>
            <a:ext uri="{FF2B5EF4-FFF2-40B4-BE49-F238E27FC236}">
              <a16:creationId xmlns:a16="http://schemas.microsoft.com/office/drawing/2014/main" id="{E607BB6C-85FA-4BCC-A0AD-5644D6827D34}"/>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79" name="AutoShape 9" descr="Story">
          <a:hlinkClick xmlns:r="http://schemas.openxmlformats.org/officeDocument/2006/relationships" r:id="rId5"/>
          <a:extLst>
            <a:ext uri="{FF2B5EF4-FFF2-40B4-BE49-F238E27FC236}">
              <a16:creationId xmlns:a16="http://schemas.microsoft.com/office/drawing/2014/main" id="{A9463678-9409-4957-AE8D-33A1233066B0}"/>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0" name="AutoShape 10" descr="Story">
          <a:hlinkClick xmlns:r="http://schemas.openxmlformats.org/officeDocument/2006/relationships" r:id="rId6"/>
          <a:extLst>
            <a:ext uri="{FF2B5EF4-FFF2-40B4-BE49-F238E27FC236}">
              <a16:creationId xmlns:a16="http://schemas.microsoft.com/office/drawing/2014/main" id="{580A1435-D2FF-4DB4-AC69-F266CDAD7376}"/>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1" name="AutoShape 13" descr="Story">
          <a:hlinkClick xmlns:r="http://schemas.openxmlformats.org/officeDocument/2006/relationships" r:id="rId4"/>
          <a:extLst>
            <a:ext uri="{FF2B5EF4-FFF2-40B4-BE49-F238E27FC236}">
              <a16:creationId xmlns:a16="http://schemas.microsoft.com/office/drawing/2014/main" id="{C1178C64-6015-4A81-A50E-59A591265981}"/>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2" name="AutoShape 14" descr="Story">
          <a:hlinkClick xmlns:r="http://schemas.openxmlformats.org/officeDocument/2006/relationships" r:id="rId4"/>
          <a:extLst>
            <a:ext uri="{FF2B5EF4-FFF2-40B4-BE49-F238E27FC236}">
              <a16:creationId xmlns:a16="http://schemas.microsoft.com/office/drawing/2014/main" id="{4AC5CC97-CF5D-4148-BE29-2DB5AFBAB619}"/>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3" name="AutoShape 4" descr="Bug">
          <a:hlinkClick xmlns:r="http://schemas.openxmlformats.org/officeDocument/2006/relationships" r:id="rId1"/>
          <a:extLst>
            <a:ext uri="{FF2B5EF4-FFF2-40B4-BE49-F238E27FC236}">
              <a16:creationId xmlns:a16="http://schemas.microsoft.com/office/drawing/2014/main" id="{DEA42DEB-F8DC-4155-A630-BE1360065B21}"/>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4" name="AutoShape 6" descr="Bug">
          <a:hlinkClick xmlns:r="http://schemas.openxmlformats.org/officeDocument/2006/relationships" r:id="rId2"/>
          <a:extLst>
            <a:ext uri="{FF2B5EF4-FFF2-40B4-BE49-F238E27FC236}">
              <a16:creationId xmlns:a16="http://schemas.microsoft.com/office/drawing/2014/main" id="{85E1C968-19B8-41DF-BB37-A90B0499F049}"/>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5" name="AutoShape 7" descr="Story">
          <a:hlinkClick xmlns:r="http://schemas.openxmlformats.org/officeDocument/2006/relationships" r:id="rId3"/>
          <a:extLst>
            <a:ext uri="{FF2B5EF4-FFF2-40B4-BE49-F238E27FC236}">
              <a16:creationId xmlns:a16="http://schemas.microsoft.com/office/drawing/2014/main" id="{194ED9D3-7629-4A27-9DC3-CFE65036B41F}"/>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6" name="AutoShape 8" descr="Story">
          <a:hlinkClick xmlns:r="http://schemas.openxmlformats.org/officeDocument/2006/relationships" r:id="rId4"/>
          <a:extLst>
            <a:ext uri="{FF2B5EF4-FFF2-40B4-BE49-F238E27FC236}">
              <a16:creationId xmlns:a16="http://schemas.microsoft.com/office/drawing/2014/main" id="{4992C5C9-488A-4087-B80C-F448DF0BC847}"/>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7" name="AutoShape 9" descr="Story">
          <a:hlinkClick xmlns:r="http://schemas.openxmlformats.org/officeDocument/2006/relationships" r:id="rId5"/>
          <a:extLst>
            <a:ext uri="{FF2B5EF4-FFF2-40B4-BE49-F238E27FC236}">
              <a16:creationId xmlns:a16="http://schemas.microsoft.com/office/drawing/2014/main" id="{2B3C2FFB-1F17-4B8A-8133-EC90E770644A}"/>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8" name="AutoShape 10" descr="Story">
          <a:hlinkClick xmlns:r="http://schemas.openxmlformats.org/officeDocument/2006/relationships" r:id="rId6"/>
          <a:extLst>
            <a:ext uri="{FF2B5EF4-FFF2-40B4-BE49-F238E27FC236}">
              <a16:creationId xmlns:a16="http://schemas.microsoft.com/office/drawing/2014/main" id="{58B9C81C-5394-4D58-9676-70BE68216366}"/>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89" name="AutoShape 13" descr="Story">
          <a:hlinkClick xmlns:r="http://schemas.openxmlformats.org/officeDocument/2006/relationships" r:id="rId4"/>
          <a:extLst>
            <a:ext uri="{FF2B5EF4-FFF2-40B4-BE49-F238E27FC236}">
              <a16:creationId xmlns:a16="http://schemas.microsoft.com/office/drawing/2014/main" id="{133A17D2-4847-467E-94B9-7EB438F0A928}"/>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777</xdr:row>
      <xdr:rowOff>0</xdr:rowOff>
    </xdr:from>
    <xdr:to>
      <xdr:col>1</xdr:col>
      <xdr:colOff>152400</xdr:colOff>
      <xdr:row>777</xdr:row>
      <xdr:rowOff>152400</xdr:rowOff>
    </xdr:to>
    <xdr:sp macro="" textlink="">
      <xdr:nvSpPr>
        <xdr:cNvPr id="790" name="AutoShape 14" descr="Story">
          <a:hlinkClick xmlns:r="http://schemas.openxmlformats.org/officeDocument/2006/relationships" r:id="rId4"/>
          <a:extLst>
            <a:ext uri="{FF2B5EF4-FFF2-40B4-BE49-F238E27FC236}">
              <a16:creationId xmlns:a16="http://schemas.microsoft.com/office/drawing/2014/main" id="{D53E03D1-920B-43C0-B66E-1D0A034B3B4B}"/>
            </a:ext>
          </a:extLst>
        </xdr:cNvPr>
        <xdr:cNvSpPr>
          <a:spLocks noChangeAspect="1" noChangeArrowheads="1"/>
        </xdr:cNvSpPr>
      </xdr:nvSpPr>
      <xdr:spPr bwMode="auto">
        <a:xfrm>
          <a:off x="1912620" y="142539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1" name="AutoShape 4" descr="Bug">
          <a:hlinkClick xmlns:r="http://schemas.openxmlformats.org/officeDocument/2006/relationships" r:id="rId1"/>
          <a:extLst>
            <a:ext uri="{FF2B5EF4-FFF2-40B4-BE49-F238E27FC236}">
              <a16:creationId xmlns:a16="http://schemas.microsoft.com/office/drawing/2014/main" id="{E088AF16-1929-47F7-96F3-526A0E6DC685}"/>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2" name="AutoShape 6" descr="Bug">
          <a:hlinkClick xmlns:r="http://schemas.openxmlformats.org/officeDocument/2006/relationships" r:id="rId2"/>
          <a:extLst>
            <a:ext uri="{FF2B5EF4-FFF2-40B4-BE49-F238E27FC236}">
              <a16:creationId xmlns:a16="http://schemas.microsoft.com/office/drawing/2014/main" id="{6CA29D8F-5625-48E6-8640-73D2C4EB1806}"/>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3" name="AutoShape 7" descr="Story">
          <a:hlinkClick xmlns:r="http://schemas.openxmlformats.org/officeDocument/2006/relationships" r:id="rId3"/>
          <a:extLst>
            <a:ext uri="{FF2B5EF4-FFF2-40B4-BE49-F238E27FC236}">
              <a16:creationId xmlns:a16="http://schemas.microsoft.com/office/drawing/2014/main" id="{B225CDD7-D0E3-43D9-A023-B00F8A246517}"/>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4" name="AutoShape 8" descr="Story">
          <a:hlinkClick xmlns:r="http://schemas.openxmlformats.org/officeDocument/2006/relationships" r:id="rId4"/>
          <a:extLst>
            <a:ext uri="{FF2B5EF4-FFF2-40B4-BE49-F238E27FC236}">
              <a16:creationId xmlns:a16="http://schemas.microsoft.com/office/drawing/2014/main" id="{82CB1CD5-659F-4A13-BC4A-17B58346DE20}"/>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5" name="AutoShape 9" descr="Story">
          <a:hlinkClick xmlns:r="http://schemas.openxmlformats.org/officeDocument/2006/relationships" r:id="rId5"/>
          <a:extLst>
            <a:ext uri="{FF2B5EF4-FFF2-40B4-BE49-F238E27FC236}">
              <a16:creationId xmlns:a16="http://schemas.microsoft.com/office/drawing/2014/main" id="{A757D0FC-04B7-4384-A8A8-55239B5A4D97}"/>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6" name="AutoShape 10" descr="Story">
          <a:hlinkClick xmlns:r="http://schemas.openxmlformats.org/officeDocument/2006/relationships" r:id="rId6"/>
          <a:extLst>
            <a:ext uri="{FF2B5EF4-FFF2-40B4-BE49-F238E27FC236}">
              <a16:creationId xmlns:a16="http://schemas.microsoft.com/office/drawing/2014/main" id="{CCE672BD-3A03-4EDF-B25A-9960A22EB63C}"/>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7" name="AutoShape 13" descr="Story">
          <a:hlinkClick xmlns:r="http://schemas.openxmlformats.org/officeDocument/2006/relationships" r:id="rId4"/>
          <a:extLst>
            <a:ext uri="{FF2B5EF4-FFF2-40B4-BE49-F238E27FC236}">
              <a16:creationId xmlns:a16="http://schemas.microsoft.com/office/drawing/2014/main" id="{4D2BA57D-F83B-467E-8C18-5D474A41426D}"/>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8" name="AutoShape 14" descr="Story">
          <a:hlinkClick xmlns:r="http://schemas.openxmlformats.org/officeDocument/2006/relationships" r:id="rId4"/>
          <a:extLst>
            <a:ext uri="{FF2B5EF4-FFF2-40B4-BE49-F238E27FC236}">
              <a16:creationId xmlns:a16="http://schemas.microsoft.com/office/drawing/2014/main" id="{64DFD4AD-23B1-4B6F-ABBC-52565F040677}"/>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799" name="AutoShape 4" descr="Bug">
          <a:hlinkClick xmlns:r="http://schemas.openxmlformats.org/officeDocument/2006/relationships" r:id="rId1"/>
          <a:extLst>
            <a:ext uri="{FF2B5EF4-FFF2-40B4-BE49-F238E27FC236}">
              <a16:creationId xmlns:a16="http://schemas.microsoft.com/office/drawing/2014/main" id="{59DC8AD8-544D-4F1A-B03D-8E82CB354C84}"/>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0" name="AutoShape 6" descr="Bug">
          <a:hlinkClick xmlns:r="http://schemas.openxmlformats.org/officeDocument/2006/relationships" r:id="rId2"/>
          <a:extLst>
            <a:ext uri="{FF2B5EF4-FFF2-40B4-BE49-F238E27FC236}">
              <a16:creationId xmlns:a16="http://schemas.microsoft.com/office/drawing/2014/main" id="{5A6205AC-2CE2-4907-808A-FE0B60047FEB}"/>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1" name="AutoShape 7" descr="Story">
          <a:hlinkClick xmlns:r="http://schemas.openxmlformats.org/officeDocument/2006/relationships" r:id="rId3"/>
          <a:extLst>
            <a:ext uri="{FF2B5EF4-FFF2-40B4-BE49-F238E27FC236}">
              <a16:creationId xmlns:a16="http://schemas.microsoft.com/office/drawing/2014/main" id="{208EE434-4A34-4423-8D16-18C6E2C2EF97}"/>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2" name="AutoShape 8" descr="Story">
          <a:hlinkClick xmlns:r="http://schemas.openxmlformats.org/officeDocument/2006/relationships" r:id="rId4"/>
          <a:extLst>
            <a:ext uri="{FF2B5EF4-FFF2-40B4-BE49-F238E27FC236}">
              <a16:creationId xmlns:a16="http://schemas.microsoft.com/office/drawing/2014/main" id="{15BFFD53-D923-464E-9128-6E604DCB5A4C}"/>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3" name="AutoShape 9" descr="Story">
          <a:hlinkClick xmlns:r="http://schemas.openxmlformats.org/officeDocument/2006/relationships" r:id="rId5"/>
          <a:extLst>
            <a:ext uri="{FF2B5EF4-FFF2-40B4-BE49-F238E27FC236}">
              <a16:creationId xmlns:a16="http://schemas.microsoft.com/office/drawing/2014/main" id="{FC559C44-145B-4778-8540-6B2C28ECC886}"/>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4" name="AutoShape 10" descr="Story">
          <a:hlinkClick xmlns:r="http://schemas.openxmlformats.org/officeDocument/2006/relationships" r:id="rId6"/>
          <a:extLst>
            <a:ext uri="{FF2B5EF4-FFF2-40B4-BE49-F238E27FC236}">
              <a16:creationId xmlns:a16="http://schemas.microsoft.com/office/drawing/2014/main" id="{987F1F9F-B5F2-4A48-8A91-4B6F91B56899}"/>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5" name="AutoShape 13" descr="Story">
          <a:hlinkClick xmlns:r="http://schemas.openxmlformats.org/officeDocument/2006/relationships" r:id="rId4"/>
          <a:extLst>
            <a:ext uri="{FF2B5EF4-FFF2-40B4-BE49-F238E27FC236}">
              <a16:creationId xmlns:a16="http://schemas.microsoft.com/office/drawing/2014/main" id="{B550E714-0051-445A-9F9F-E296B491C336}"/>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6" name="AutoShape 14" descr="Story">
          <a:hlinkClick xmlns:r="http://schemas.openxmlformats.org/officeDocument/2006/relationships" r:id="rId4"/>
          <a:extLst>
            <a:ext uri="{FF2B5EF4-FFF2-40B4-BE49-F238E27FC236}">
              <a16:creationId xmlns:a16="http://schemas.microsoft.com/office/drawing/2014/main" id="{B0C5F887-7305-4601-9B79-508D59770A27}"/>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7" name="AutoShape 4" descr="Bug">
          <a:hlinkClick xmlns:r="http://schemas.openxmlformats.org/officeDocument/2006/relationships" r:id="rId1"/>
          <a:extLst>
            <a:ext uri="{FF2B5EF4-FFF2-40B4-BE49-F238E27FC236}">
              <a16:creationId xmlns:a16="http://schemas.microsoft.com/office/drawing/2014/main" id="{01352B5C-4E4A-4E91-86D5-F52C557F9DF1}"/>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8" name="AutoShape 6" descr="Bug">
          <a:hlinkClick xmlns:r="http://schemas.openxmlformats.org/officeDocument/2006/relationships" r:id="rId2"/>
          <a:extLst>
            <a:ext uri="{FF2B5EF4-FFF2-40B4-BE49-F238E27FC236}">
              <a16:creationId xmlns:a16="http://schemas.microsoft.com/office/drawing/2014/main" id="{D324F5BD-16B9-4704-A0C5-CD68C0B80970}"/>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09" name="AutoShape 7" descr="Story">
          <a:hlinkClick xmlns:r="http://schemas.openxmlformats.org/officeDocument/2006/relationships" r:id="rId3"/>
          <a:extLst>
            <a:ext uri="{FF2B5EF4-FFF2-40B4-BE49-F238E27FC236}">
              <a16:creationId xmlns:a16="http://schemas.microsoft.com/office/drawing/2014/main" id="{A6914D49-006D-43FF-A520-36253E74AEA8}"/>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0" name="AutoShape 8" descr="Story">
          <a:hlinkClick xmlns:r="http://schemas.openxmlformats.org/officeDocument/2006/relationships" r:id="rId4"/>
          <a:extLst>
            <a:ext uri="{FF2B5EF4-FFF2-40B4-BE49-F238E27FC236}">
              <a16:creationId xmlns:a16="http://schemas.microsoft.com/office/drawing/2014/main" id="{7FB65BD4-4B30-4A3F-BBDC-781CD48C8C41}"/>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1" name="AutoShape 9" descr="Story">
          <a:hlinkClick xmlns:r="http://schemas.openxmlformats.org/officeDocument/2006/relationships" r:id="rId5"/>
          <a:extLst>
            <a:ext uri="{FF2B5EF4-FFF2-40B4-BE49-F238E27FC236}">
              <a16:creationId xmlns:a16="http://schemas.microsoft.com/office/drawing/2014/main" id="{50BEC057-A3B7-4053-B645-04808EA7F680}"/>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2" name="AutoShape 10" descr="Story">
          <a:hlinkClick xmlns:r="http://schemas.openxmlformats.org/officeDocument/2006/relationships" r:id="rId6"/>
          <a:extLst>
            <a:ext uri="{FF2B5EF4-FFF2-40B4-BE49-F238E27FC236}">
              <a16:creationId xmlns:a16="http://schemas.microsoft.com/office/drawing/2014/main" id="{6BC2DF5C-026E-49E6-8215-6EE27CB4D2B7}"/>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3" name="AutoShape 13" descr="Story">
          <a:hlinkClick xmlns:r="http://schemas.openxmlformats.org/officeDocument/2006/relationships" r:id="rId4"/>
          <a:extLst>
            <a:ext uri="{FF2B5EF4-FFF2-40B4-BE49-F238E27FC236}">
              <a16:creationId xmlns:a16="http://schemas.microsoft.com/office/drawing/2014/main" id="{15FB7BA9-A45E-4F82-9E8D-369670DD94E0}"/>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4" name="AutoShape 14" descr="Story">
          <a:hlinkClick xmlns:r="http://schemas.openxmlformats.org/officeDocument/2006/relationships" r:id="rId4"/>
          <a:extLst>
            <a:ext uri="{FF2B5EF4-FFF2-40B4-BE49-F238E27FC236}">
              <a16:creationId xmlns:a16="http://schemas.microsoft.com/office/drawing/2014/main" id="{29361667-3689-468B-A16E-E95E85EC94C1}"/>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5" name="AutoShape 4" descr="Bug">
          <a:hlinkClick xmlns:r="http://schemas.openxmlformats.org/officeDocument/2006/relationships" r:id="rId1"/>
          <a:extLst>
            <a:ext uri="{FF2B5EF4-FFF2-40B4-BE49-F238E27FC236}">
              <a16:creationId xmlns:a16="http://schemas.microsoft.com/office/drawing/2014/main" id="{63C2AD90-9123-4401-9DBB-FC93BD664A97}"/>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6" name="AutoShape 6" descr="Bug">
          <a:hlinkClick xmlns:r="http://schemas.openxmlformats.org/officeDocument/2006/relationships" r:id="rId2"/>
          <a:extLst>
            <a:ext uri="{FF2B5EF4-FFF2-40B4-BE49-F238E27FC236}">
              <a16:creationId xmlns:a16="http://schemas.microsoft.com/office/drawing/2014/main" id="{0FB9704D-7B7D-41BA-8C1A-A65B718F0DEF}"/>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7" name="AutoShape 7" descr="Story">
          <a:hlinkClick xmlns:r="http://schemas.openxmlformats.org/officeDocument/2006/relationships" r:id="rId3"/>
          <a:extLst>
            <a:ext uri="{FF2B5EF4-FFF2-40B4-BE49-F238E27FC236}">
              <a16:creationId xmlns:a16="http://schemas.microsoft.com/office/drawing/2014/main" id="{7EE753D0-5E37-43B7-BA84-74DD76230772}"/>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8" name="AutoShape 8" descr="Story">
          <a:hlinkClick xmlns:r="http://schemas.openxmlformats.org/officeDocument/2006/relationships" r:id="rId4"/>
          <a:extLst>
            <a:ext uri="{FF2B5EF4-FFF2-40B4-BE49-F238E27FC236}">
              <a16:creationId xmlns:a16="http://schemas.microsoft.com/office/drawing/2014/main" id="{3B586CCE-6397-47B8-9AD0-3E283DF254FE}"/>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19" name="AutoShape 9" descr="Story">
          <a:hlinkClick xmlns:r="http://schemas.openxmlformats.org/officeDocument/2006/relationships" r:id="rId5"/>
          <a:extLst>
            <a:ext uri="{FF2B5EF4-FFF2-40B4-BE49-F238E27FC236}">
              <a16:creationId xmlns:a16="http://schemas.microsoft.com/office/drawing/2014/main" id="{99A76BCD-BBDE-46FC-8234-B11B9F31570F}"/>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20" name="AutoShape 10" descr="Story">
          <a:hlinkClick xmlns:r="http://schemas.openxmlformats.org/officeDocument/2006/relationships" r:id="rId6"/>
          <a:extLst>
            <a:ext uri="{FF2B5EF4-FFF2-40B4-BE49-F238E27FC236}">
              <a16:creationId xmlns:a16="http://schemas.microsoft.com/office/drawing/2014/main" id="{BFC5B7C3-8010-4096-BF0C-762E9CCFB9F5}"/>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21" name="AutoShape 13" descr="Story">
          <a:hlinkClick xmlns:r="http://schemas.openxmlformats.org/officeDocument/2006/relationships" r:id="rId4"/>
          <a:extLst>
            <a:ext uri="{FF2B5EF4-FFF2-40B4-BE49-F238E27FC236}">
              <a16:creationId xmlns:a16="http://schemas.microsoft.com/office/drawing/2014/main" id="{7733952A-3381-44D5-BE39-DD7771124169}"/>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788</xdr:row>
      <xdr:rowOff>0</xdr:rowOff>
    </xdr:from>
    <xdr:to>
      <xdr:col>1</xdr:col>
      <xdr:colOff>152400</xdr:colOff>
      <xdr:row>788</xdr:row>
      <xdr:rowOff>152400</xdr:rowOff>
    </xdr:to>
    <xdr:sp macro="" textlink="">
      <xdr:nvSpPr>
        <xdr:cNvPr id="822" name="AutoShape 14" descr="Story">
          <a:hlinkClick xmlns:r="http://schemas.openxmlformats.org/officeDocument/2006/relationships" r:id="rId4"/>
          <a:extLst>
            <a:ext uri="{FF2B5EF4-FFF2-40B4-BE49-F238E27FC236}">
              <a16:creationId xmlns:a16="http://schemas.microsoft.com/office/drawing/2014/main" id="{549544F3-4980-4CFB-B8F4-63270C87BDF3}"/>
            </a:ext>
          </a:extLst>
        </xdr:cNvPr>
        <xdr:cNvSpPr>
          <a:spLocks noChangeAspect="1" noChangeArrowheads="1"/>
        </xdr:cNvSpPr>
      </xdr:nvSpPr>
      <xdr:spPr bwMode="auto">
        <a:xfrm>
          <a:off x="1912620" y="144551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23" name="AutoShape 4" descr="Bug">
          <a:hlinkClick xmlns:r="http://schemas.openxmlformats.org/officeDocument/2006/relationships" r:id="rId1"/>
          <a:extLst>
            <a:ext uri="{FF2B5EF4-FFF2-40B4-BE49-F238E27FC236}">
              <a16:creationId xmlns:a16="http://schemas.microsoft.com/office/drawing/2014/main" id="{D20E0EB5-8718-4CA3-9B79-046FDCA06AF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24" name="AutoShape 6" descr="Bug">
          <a:hlinkClick xmlns:r="http://schemas.openxmlformats.org/officeDocument/2006/relationships" r:id="rId2"/>
          <a:extLst>
            <a:ext uri="{FF2B5EF4-FFF2-40B4-BE49-F238E27FC236}">
              <a16:creationId xmlns:a16="http://schemas.microsoft.com/office/drawing/2014/main" id="{CFE45ADE-3439-423A-BF35-570ECC8C6D1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25" name="AutoShape 7" descr="Story">
          <a:hlinkClick xmlns:r="http://schemas.openxmlformats.org/officeDocument/2006/relationships" r:id="rId3"/>
          <a:extLst>
            <a:ext uri="{FF2B5EF4-FFF2-40B4-BE49-F238E27FC236}">
              <a16:creationId xmlns:a16="http://schemas.microsoft.com/office/drawing/2014/main" id="{37646227-0906-4A53-9EC9-EDAF19DF7AE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26" name="AutoShape 8" descr="Story">
          <a:hlinkClick xmlns:r="http://schemas.openxmlformats.org/officeDocument/2006/relationships" r:id="rId4"/>
          <a:extLst>
            <a:ext uri="{FF2B5EF4-FFF2-40B4-BE49-F238E27FC236}">
              <a16:creationId xmlns:a16="http://schemas.microsoft.com/office/drawing/2014/main" id="{AA83E9E8-DDD7-4159-8DA6-11DED97BC23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27" name="AutoShape 9" descr="Story">
          <a:hlinkClick xmlns:r="http://schemas.openxmlformats.org/officeDocument/2006/relationships" r:id="rId5"/>
          <a:extLst>
            <a:ext uri="{FF2B5EF4-FFF2-40B4-BE49-F238E27FC236}">
              <a16:creationId xmlns:a16="http://schemas.microsoft.com/office/drawing/2014/main" id="{A6F0410D-E652-4034-93F0-E3ACD219681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28" name="AutoShape 10" descr="Story">
          <a:hlinkClick xmlns:r="http://schemas.openxmlformats.org/officeDocument/2006/relationships" r:id="rId6"/>
          <a:extLst>
            <a:ext uri="{FF2B5EF4-FFF2-40B4-BE49-F238E27FC236}">
              <a16:creationId xmlns:a16="http://schemas.microsoft.com/office/drawing/2014/main" id="{6EA27276-9BFF-4F49-9E10-384E9716943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29" name="AutoShape 13" descr="Story">
          <a:hlinkClick xmlns:r="http://schemas.openxmlformats.org/officeDocument/2006/relationships" r:id="rId4"/>
          <a:extLst>
            <a:ext uri="{FF2B5EF4-FFF2-40B4-BE49-F238E27FC236}">
              <a16:creationId xmlns:a16="http://schemas.microsoft.com/office/drawing/2014/main" id="{10952DD4-5A32-4A4D-84A7-B3E61F0B478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0" name="AutoShape 14" descr="Story">
          <a:hlinkClick xmlns:r="http://schemas.openxmlformats.org/officeDocument/2006/relationships" r:id="rId4"/>
          <a:extLst>
            <a:ext uri="{FF2B5EF4-FFF2-40B4-BE49-F238E27FC236}">
              <a16:creationId xmlns:a16="http://schemas.microsoft.com/office/drawing/2014/main" id="{6D058E2D-5033-4E36-900C-1225FEFD06F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1" name="AutoShape 4" descr="Bug">
          <a:hlinkClick xmlns:r="http://schemas.openxmlformats.org/officeDocument/2006/relationships" r:id="rId1"/>
          <a:extLst>
            <a:ext uri="{FF2B5EF4-FFF2-40B4-BE49-F238E27FC236}">
              <a16:creationId xmlns:a16="http://schemas.microsoft.com/office/drawing/2014/main" id="{E1E2E165-3E4F-4668-815B-BAFF4C07AEC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2" name="AutoShape 6" descr="Bug">
          <a:hlinkClick xmlns:r="http://schemas.openxmlformats.org/officeDocument/2006/relationships" r:id="rId2"/>
          <a:extLst>
            <a:ext uri="{FF2B5EF4-FFF2-40B4-BE49-F238E27FC236}">
              <a16:creationId xmlns:a16="http://schemas.microsoft.com/office/drawing/2014/main" id="{7E4058B7-555D-4B32-ABD6-700882DD9A8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3" name="AutoShape 7" descr="Story">
          <a:hlinkClick xmlns:r="http://schemas.openxmlformats.org/officeDocument/2006/relationships" r:id="rId3"/>
          <a:extLst>
            <a:ext uri="{FF2B5EF4-FFF2-40B4-BE49-F238E27FC236}">
              <a16:creationId xmlns:a16="http://schemas.microsoft.com/office/drawing/2014/main" id="{0A7546E4-D896-48EE-BFA0-B7EB34F4A56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4" name="AutoShape 8" descr="Story">
          <a:hlinkClick xmlns:r="http://schemas.openxmlformats.org/officeDocument/2006/relationships" r:id="rId4"/>
          <a:extLst>
            <a:ext uri="{FF2B5EF4-FFF2-40B4-BE49-F238E27FC236}">
              <a16:creationId xmlns:a16="http://schemas.microsoft.com/office/drawing/2014/main" id="{8080F697-5E8A-438A-9624-19BA5815B4D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5" name="AutoShape 9" descr="Story">
          <a:hlinkClick xmlns:r="http://schemas.openxmlformats.org/officeDocument/2006/relationships" r:id="rId5"/>
          <a:extLst>
            <a:ext uri="{FF2B5EF4-FFF2-40B4-BE49-F238E27FC236}">
              <a16:creationId xmlns:a16="http://schemas.microsoft.com/office/drawing/2014/main" id="{B7245855-37D8-47A5-92F3-22F9557399C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6" name="AutoShape 10" descr="Story">
          <a:hlinkClick xmlns:r="http://schemas.openxmlformats.org/officeDocument/2006/relationships" r:id="rId6"/>
          <a:extLst>
            <a:ext uri="{FF2B5EF4-FFF2-40B4-BE49-F238E27FC236}">
              <a16:creationId xmlns:a16="http://schemas.microsoft.com/office/drawing/2014/main" id="{C536C3FB-9941-4C33-988E-B10A367D33B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7" name="AutoShape 13" descr="Story">
          <a:hlinkClick xmlns:r="http://schemas.openxmlformats.org/officeDocument/2006/relationships" r:id="rId4"/>
          <a:extLst>
            <a:ext uri="{FF2B5EF4-FFF2-40B4-BE49-F238E27FC236}">
              <a16:creationId xmlns:a16="http://schemas.microsoft.com/office/drawing/2014/main" id="{06DA17D8-B73E-4DB8-BDCB-EC2606479B3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8" name="AutoShape 14" descr="Story">
          <a:hlinkClick xmlns:r="http://schemas.openxmlformats.org/officeDocument/2006/relationships" r:id="rId4"/>
          <a:extLst>
            <a:ext uri="{FF2B5EF4-FFF2-40B4-BE49-F238E27FC236}">
              <a16:creationId xmlns:a16="http://schemas.microsoft.com/office/drawing/2014/main" id="{7A128699-B8DB-43BC-9A00-545839C02B7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39" name="AutoShape 4" descr="Bug">
          <a:hlinkClick xmlns:r="http://schemas.openxmlformats.org/officeDocument/2006/relationships" r:id="rId1"/>
          <a:extLst>
            <a:ext uri="{FF2B5EF4-FFF2-40B4-BE49-F238E27FC236}">
              <a16:creationId xmlns:a16="http://schemas.microsoft.com/office/drawing/2014/main" id="{5FEBEC9B-17EA-4EBD-8A0A-E2662029E14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0" name="AutoShape 6" descr="Bug">
          <a:hlinkClick xmlns:r="http://schemas.openxmlformats.org/officeDocument/2006/relationships" r:id="rId2"/>
          <a:extLst>
            <a:ext uri="{FF2B5EF4-FFF2-40B4-BE49-F238E27FC236}">
              <a16:creationId xmlns:a16="http://schemas.microsoft.com/office/drawing/2014/main" id="{933D81F6-79A2-4B2A-8D17-D4EDBC16D81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1" name="AutoShape 7" descr="Story">
          <a:hlinkClick xmlns:r="http://schemas.openxmlformats.org/officeDocument/2006/relationships" r:id="rId3"/>
          <a:extLst>
            <a:ext uri="{FF2B5EF4-FFF2-40B4-BE49-F238E27FC236}">
              <a16:creationId xmlns:a16="http://schemas.microsoft.com/office/drawing/2014/main" id="{B9BEAEF0-E3EC-4048-8EDB-82295D631FC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2" name="AutoShape 8" descr="Story">
          <a:hlinkClick xmlns:r="http://schemas.openxmlformats.org/officeDocument/2006/relationships" r:id="rId4"/>
          <a:extLst>
            <a:ext uri="{FF2B5EF4-FFF2-40B4-BE49-F238E27FC236}">
              <a16:creationId xmlns:a16="http://schemas.microsoft.com/office/drawing/2014/main" id="{4EBB676C-6BE1-49F3-A025-7707AF33C73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3" name="AutoShape 9" descr="Story">
          <a:hlinkClick xmlns:r="http://schemas.openxmlformats.org/officeDocument/2006/relationships" r:id="rId5"/>
          <a:extLst>
            <a:ext uri="{FF2B5EF4-FFF2-40B4-BE49-F238E27FC236}">
              <a16:creationId xmlns:a16="http://schemas.microsoft.com/office/drawing/2014/main" id="{B3B8E93C-D2E2-472B-A04E-312252434F5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4" name="AutoShape 10" descr="Story">
          <a:hlinkClick xmlns:r="http://schemas.openxmlformats.org/officeDocument/2006/relationships" r:id="rId6"/>
          <a:extLst>
            <a:ext uri="{FF2B5EF4-FFF2-40B4-BE49-F238E27FC236}">
              <a16:creationId xmlns:a16="http://schemas.microsoft.com/office/drawing/2014/main" id="{9B64ED5E-BD59-4258-BFEB-057B91B3DB1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5" name="AutoShape 13" descr="Story">
          <a:hlinkClick xmlns:r="http://schemas.openxmlformats.org/officeDocument/2006/relationships" r:id="rId4"/>
          <a:extLst>
            <a:ext uri="{FF2B5EF4-FFF2-40B4-BE49-F238E27FC236}">
              <a16:creationId xmlns:a16="http://schemas.microsoft.com/office/drawing/2014/main" id="{DE0B86DA-6C5B-4B3D-879D-D48B3861895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6" name="AutoShape 14" descr="Story">
          <a:hlinkClick xmlns:r="http://schemas.openxmlformats.org/officeDocument/2006/relationships" r:id="rId4"/>
          <a:extLst>
            <a:ext uri="{FF2B5EF4-FFF2-40B4-BE49-F238E27FC236}">
              <a16:creationId xmlns:a16="http://schemas.microsoft.com/office/drawing/2014/main" id="{481DBDEA-DE00-4D61-8F6E-F6605CEE9F3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7" name="AutoShape 4" descr="Bug">
          <a:hlinkClick xmlns:r="http://schemas.openxmlformats.org/officeDocument/2006/relationships" r:id="rId1"/>
          <a:extLst>
            <a:ext uri="{FF2B5EF4-FFF2-40B4-BE49-F238E27FC236}">
              <a16:creationId xmlns:a16="http://schemas.microsoft.com/office/drawing/2014/main" id="{7FBC3352-E900-4603-B7B2-39344AFA1E1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8" name="AutoShape 6" descr="Bug">
          <a:hlinkClick xmlns:r="http://schemas.openxmlformats.org/officeDocument/2006/relationships" r:id="rId2"/>
          <a:extLst>
            <a:ext uri="{FF2B5EF4-FFF2-40B4-BE49-F238E27FC236}">
              <a16:creationId xmlns:a16="http://schemas.microsoft.com/office/drawing/2014/main" id="{B29984D3-BD9E-435D-82B5-9D9E98A7F86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49" name="AutoShape 7" descr="Story">
          <a:hlinkClick xmlns:r="http://schemas.openxmlformats.org/officeDocument/2006/relationships" r:id="rId3"/>
          <a:extLst>
            <a:ext uri="{FF2B5EF4-FFF2-40B4-BE49-F238E27FC236}">
              <a16:creationId xmlns:a16="http://schemas.microsoft.com/office/drawing/2014/main" id="{AEFB0D07-30CA-4887-B2DD-B4F7B2AC4CB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50" name="AutoShape 8" descr="Story">
          <a:hlinkClick xmlns:r="http://schemas.openxmlformats.org/officeDocument/2006/relationships" r:id="rId4"/>
          <a:extLst>
            <a:ext uri="{FF2B5EF4-FFF2-40B4-BE49-F238E27FC236}">
              <a16:creationId xmlns:a16="http://schemas.microsoft.com/office/drawing/2014/main" id="{AB8E35CC-EE39-4279-A05E-344A46B7DBB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51" name="AutoShape 9" descr="Story">
          <a:hlinkClick xmlns:r="http://schemas.openxmlformats.org/officeDocument/2006/relationships" r:id="rId5"/>
          <a:extLst>
            <a:ext uri="{FF2B5EF4-FFF2-40B4-BE49-F238E27FC236}">
              <a16:creationId xmlns:a16="http://schemas.microsoft.com/office/drawing/2014/main" id="{CF503AC2-CE38-4372-B293-984BFB32A4F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52" name="AutoShape 10" descr="Story">
          <a:hlinkClick xmlns:r="http://schemas.openxmlformats.org/officeDocument/2006/relationships" r:id="rId6"/>
          <a:extLst>
            <a:ext uri="{FF2B5EF4-FFF2-40B4-BE49-F238E27FC236}">
              <a16:creationId xmlns:a16="http://schemas.microsoft.com/office/drawing/2014/main" id="{0EA1FC4C-3064-4303-BA0F-14313B076A9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53" name="AutoShape 13" descr="Story">
          <a:hlinkClick xmlns:r="http://schemas.openxmlformats.org/officeDocument/2006/relationships" r:id="rId4"/>
          <a:extLst>
            <a:ext uri="{FF2B5EF4-FFF2-40B4-BE49-F238E27FC236}">
              <a16:creationId xmlns:a16="http://schemas.microsoft.com/office/drawing/2014/main" id="{D275D49F-0EB3-412D-A599-0FAED2BF9A6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854" name="AutoShape 14" descr="Story">
          <a:hlinkClick xmlns:r="http://schemas.openxmlformats.org/officeDocument/2006/relationships" r:id="rId4"/>
          <a:extLst>
            <a:ext uri="{FF2B5EF4-FFF2-40B4-BE49-F238E27FC236}">
              <a16:creationId xmlns:a16="http://schemas.microsoft.com/office/drawing/2014/main" id="{644612C4-0BCE-4C6C-952B-81C2075C02B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857</xdr:row>
      <xdr:rowOff>0</xdr:rowOff>
    </xdr:from>
    <xdr:ext cx="152400" cy="152400"/>
    <xdr:sp macro="" textlink="">
      <xdr:nvSpPr>
        <xdr:cNvPr id="855" name="AutoShape 4" descr="Bug">
          <a:hlinkClick xmlns:r="http://schemas.openxmlformats.org/officeDocument/2006/relationships" r:id="rId1"/>
          <a:extLst>
            <a:ext uri="{FF2B5EF4-FFF2-40B4-BE49-F238E27FC236}">
              <a16:creationId xmlns:a16="http://schemas.microsoft.com/office/drawing/2014/main" id="{39762257-BDB6-48A7-BDAD-C59F6C4C254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56" name="AutoShape 6" descr="Bug">
          <a:hlinkClick xmlns:r="http://schemas.openxmlformats.org/officeDocument/2006/relationships" r:id="rId2"/>
          <a:extLst>
            <a:ext uri="{FF2B5EF4-FFF2-40B4-BE49-F238E27FC236}">
              <a16:creationId xmlns:a16="http://schemas.microsoft.com/office/drawing/2014/main" id="{6C63E23F-EA8E-4DB9-9269-DE48337D5A7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57" name="AutoShape 7" descr="Story">
          <a:hlinkClick xmlns:r="http://schemas.openxmlformats.org/officeDocument/2006/relationships" r:id="rId3"/>
          <a:extLst>
            <a:ext uri="{FF2B5EF4-FFF2-40B4-BE49-F238E27FC236}">
              <a16:creationId xmlns:a16="http://schemas.microsoft.com/office/drawing/2014/main" id="{4EDE3CB9-0E87-4275-9ABF-763E0500BB4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58" name="AutoShape 8" descr="Story">
          <a:hlinkClick xmlns:r="http://schemas.openxmlformats.org/officeDocument/2006/relationships" r:id="rId4"/>
          <a:extLst>
            <a:ext uri="{FF2B5EF4-FFF2-40B4-BE49-F238E27FC236}">
              <a16:creationId xmlns:a16="http://schemas.microsoft.com/office/drawing/2014/main" id="{D1F9715E-9D6E-43E5-AB4A-87028F12939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59" name="AutoShape 9" descr="Story">
          <a:hlinkClick xmlns:r="http://schemas.openxmlformats.org/officeDocument/2006/relationships" r:id="rId5"/>
          <a:extLst>
            <a:ext uri="{FF2B5EF4-FFF2-40B4-BE49-F238E27FC236}">
              <a16:creationId xmlns:a16="http://schemas.microsoft.com/office/drawing/2014/main" id="{DB412D0B-C9A7-4611-B3C1-BF88077BFA7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0" name="AutoShape 10" descr="Story">
          <a:hlinkClick xmlns:r="http://schemas.openxmlformats.org/officeDocument/2006/relationships" r:id="rId6"/>
          <a:extLst>
            <a:ext uri="{FF2B5EF4-FFF2-40B4-BE49-F238E27FC236}">
              <a16:creationId xmlns:a16="http://schemas.microsoft.com/office/drawing/2014/main" id="{70394427-1C15-42AE-BD61-CE2FB06D921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1" name="AutoShape 13" descr="Story">
          <a:hlinkClick xmlns:r="http://schemas.openxmlformats.org/officeDocument/2006/relationships" r:id="rId4"/>
          <a:extLst>
            <a:ext uri="{FF2B5EF4-FFF2-40B4-BE49-F238E27FC236}">
              <a16:creationId xmlns:a16="http://schemas.microsoft.com/office/drawing/2014/main" id="{A80207A8-339A-4A39-A0A6-A7B95356A1E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2" name="AutoShape 14" descr="Story">
          <a:hlinkClick xmlns:r="http://schemas.openxmlformats.org/officeDocument/2006/relationships" r:id="rId4"/>
          <a:extLst>
            <a:ext uri="{FF2B5EF4-FFF2-40B4-BE49-F238E27FC236}">
              <a16:creationId xmlns:a16="http://schemas.microsoft.com/office/drawing/2014/main" id="{14E08912-111C-456F-8D7F-CC7D5424908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3" name="AutoShape 4" descr="Bug">
          <a:hlinkClick xmlns:r="http://schemas.openxmlformats.org/officeDocument/2006/relationships" r:id="rId1"/>
          <a:extLst>
            <a:ext uri="{FF2B5EF4-FFF2-40B4-BE49-F238E27FC236}">
              <a16:creationId xmlns:a16="http://schemas.microsoft.com/office/drawing/2014/main" id="{BABC3A15-2B6D-44B7-9CA9-671F3DAE2F7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4" name="AutoShape 6" descr="Bug">
          <a:hlinkClick xmlns:r="http://schemas.openxmlformats.org/officeDocument/2006/relationships" r:id="rId2"/>
          <a:extLst>
            <a:ext uri="{FF2B5EF4-FFF2-40B4-BE49-F238E27FC236}">
              <a16:creationId xmlns:a16="http://schemas.microsoft.com/office/drawing/2014/main" id="{8CE7A271-38E7-493F-80CB-DD501546B0F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5" name="AutoShape 7" descr="Story">
          <a:hlinkClick xmlns:r="http://schemas.openxmlformats.org/officeDocument/2006/relationships" r:id="rId3"/>
          <a:extLst>
            <a:ext uri="{FF2B5EF4-FFF2-40B4-BE49-F238E27FC236}">
              <a16:creationId xmlns:a16="http://schemas.microsoft.com/office/drawing/2014/main" id="{4E563BF3-5D83-4751-B40E-62779438545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6" name="AutoShape 8" descr="Story">
          <a:hlinkClick xmlns:r="http://schemas.openxmlformats.org/officeDocument/2006/relationships" r:id="rId4"/>
          <a:extLst>
            <a:ext uri="{FF2B5EF4-FFF2-40B4-BE49-F238E27FC236}">
              <a16:creationId xmlns:a16="http://schemas.microsoft.com/office/drawing/2014/main" id="{6CD1C12B-24AE-403A-8531-E9D74059D6A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7" name="AutoShape 9" descr="Story">
          <a:hlinkClick xmlns:r="http://schemas.openxmlformats.org/officeDocument/2006/relationships" r:id="rId5"/>
          <a:extLst>
            <a:ext uri="{FF2B5EF4-FFF2-40B4-BE49-F238E27FC236}">
              <a16:creationId xmlns:a16="http://schemas.microsoft.com/office/drawing/2014/main" id="{BE8D355E-20BE-47F5-A601-30FB668B40C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8" name="AutoShape 10" descr="Story">
          <a:hlinkClick xmlns:r="http://schemas.openxmlformats.org/officeDocument/2006/relationships" r:id="rId6"/>
          <a:extLst>
            <a:ext uri="{FF2B5EF4-FFF2-40B4-BE49-F238E27FC236}">
              <a16:creationId xmlns:a16="http://schemas.microsoft.com/office/drawing/2014/main" id="{515BD63C-54EA-4D89-A422-421948A8144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69" name="AutoShape 13" descr="Story">
          <a:hlinkClick xmlns:r="http://schemas.openxmlformats.org/officeDocument/2006/relationships" r:id="rId4"/>
          <a:extLst>
            <a:ext uri="{FF2B5EF4-FFF2-40B4-BE49-F238E27FC236}">
              <a16:creationId xmlns:a16="http://schemas.microsoft.com/office/drawing/2014/main" id="{22E5C3B2-B2FA-4D42-AFFB-1529F030AD8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0" name="AutoShape 14" descr="Story">
          <a:hlinkClick xmlns:r="http://schemas.openxmlformats.org/officeDocument/2006/relationships" r:id="rId4"/>
          <a:extLst>
            <a:ext uri="{FF2B5EF4-FFF2-40B4-BE49-F238E27FC236}">
              <a16:creationId xmlns:a16="http://schemas.microsoft.com/office/drawing/2014/main" id="{8222FD9E-6D4D-4453-9AFB-67F4838C21D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1" name="AutoShape 4" descr="Bug">
          <a:hlinkClick xmlns:r="http://schemas.openxmlformats.org/officeDocument/2006/relationships" r:id="rId1"/>
          <a:extLst>
            <a:ext uri="{FF2B5EF4-FFF2-40B4-BE49-F238E27FC236}">
              <a16:creationId xmlns:a16="http://schemas.microsoft.com/office/drawing/2014/main" id="{549662D7-109F-4E06-B068-6C6B3F5310D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2" name="AutoShape 6" descr="Bug">
          <a:hlinkClick xmlns:r="http://schemas.openxmlformats.org/officeDocument/2006/relationships" r:id="rId2"/>
          <a:extLst>
            <a:ext uri="{FF2B5EF4-FFF2-40B4-BE49-F238E27FC236}">
              <a16:creationId xmlns:a16="http://schemas.microsoft.com/office/drawing/2014/main" id="{F4E56D0D-0FBB-497A-922E-392E8A8D42A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3" name="AutoShape 7" descr="Story">
          <a:hlinkClick xmlns:r="http://schemas.openxmlformats.org/officeDocument/2006/relationships" r:id="rId3"/>
          <a:extLst>
            <a:ext uri="{FF2B5EF4-FFF2-40B4-BE49-F238E27FC236}">
              <a16:creationId xmlns:a16="http://schemas.microsoft.com/office/drawing/2014/main" id="{FB0B849D-3CF3-45A5-B173-D597F9A20B6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4" name="AutoShape 8" descr="Story">
          <a:hlinkClick xmlns:r="http://schemas.openxmlformats.org/officeDocument/2006/relationships" r:id="rId4"/>
          <a:extLst>
            <a:ext uri="{FF2B5EF4-FFF2-40B4-BE49-F238E27FC236}">
              <a16:creationId xmlns:a16="http://schemas.microsoft.com/office/drawing/2014/main" id="{FCAB68E0-2355-4287-9F9D-4EA88D6AACA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5" name="AutoShape 9" descr="Story">
          <a:hlinkClick xmlns:r="http://schemas.openxmlformats.org/officeDocument/2006/relationships" r:id="rId5"/>
          <a:extLst>
            <a:ext uri="{FF2B5EF4-FFF2-40B4-BE49-F238E27FC236}">
              <a16:creationId xmlns:a16="http://schemas.microsoft.com/office/drawing/2014/main" id="{AC78A659-C08B-4D8F-A095-0328F5FD820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6" name="AutoShape 10" descr="Story">
          <a:hlinkClick xmlns:r="http://schemas.openxmlformats.org/officeDocument/2006/relationships" r:id="rId6"/>
          <a:extLst>
            <a:ext uri="{FF2B5EF4-FFF2-40B4-BE49-F238E27FC236}">
              <a16:creationId xmlns:a16="http://schemas.microsoft.com/office/drawing/2014/main" id="{0D99353F-D12F-4818-AA5A-2377EBED62F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7" name="AutoShape 13" descr="Story">
          <a:hlinkClick xmlns:r="http://schemas.openxmlformats.org/officeDocument/2006/relationships" r:id="rId4"/>
          <a:extLst>
            <a:ext uri="{FF2B5EF4-FFF2-40B4-BE49-F238E27FC236}">
              <a16:creationId xmlns:a16="http://schemas.microsoft.com/office/drawing/2014/main" id="{38BAB043-8643-48CD-B527-E952CB1E5B7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8" name="AutoShape 14" descr="Story">
          <a:hlinkClick xmlns:r="http://schemas.openxmlformats.org/officeDocument/2006/relationships" r:id="rId4"/>
          <a:extLst>
            <a:ext uri="{FF2B5EF4-FFF2-40B4-BE49-F238E27FC236}">
              <a16:creationId xmlns:a16="http://schemas.microsoft.com/office/drawing/2014/main" id="{2EFE02D0-6AAE-46C6-B61A-E9EAAC02BAA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79" name="AutoShape 4" descr="Bug">
          <a:hlinkClick xmlns:r="http://schemas.openxmlformats.org/officeDocument/2006/relationships" r:id="rId1"/>
          <a:extLst>
            <a:ext uri="{FF2B5EF4-FFF2-40B4-BE49-F238E27FC236}">
              <a16:creationId xmlns:a16="http://schemas.microsoft.com/office/drawing/2014/main" id="{9D8E4921-CE62-4223-80BE-3C438C54052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0" name="AutoShape 6" descr="Bug">
          <a:hlinkClick xmlns:r="http://schemas.openxmlformats.org/officeDocument/2006/relationships" r:id="rId2"/>
          <a:extLst>
            <a:ext uri="{FF2B5EF4-FFF2-40B4-BE49-F238E27FC236}">
              <a16:creationId xmlns:a16="http://schemas.microsoft.com/office/drawing/2014/main" id="{800D291A-52A5-463B-84AC-378F7D27C75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1" name="AutoShape 7" descr="Story">
          <a:hlinkClick xmlns:r="http://schemas.openxmlformats.org/officeDocument/2006/relationships" r:id="rId3"/>
          <a:extLst>
            <a:ext uri="{FF2B5EF4-FFF2-40B4-BE49-F238E27FC236}">
              <a16:creationId xmlns:a16="http://schemas.microsoft.com/office/drawing/2014/main" id="{11714587-D7C3-4C48-A306-2CFDAA99DCF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2" name="AutoShape 8" descr="Story">
          <a:hlinkClick xmlns:r="http://schemas.openxmlformats.org/officeDocument/2006/relationships" r:id="rId4"/>
          <a:extLst>
            <a:ext uri="{FF2B5EF4-FFF2-40B4-BE49-F238E27FC236}">
              <a16:creationId xmlns:a16="http://schemas.microsoft.com/office/drawing/2014/main" id="{246668E3-23CA-4A6D-A3B0-B761BEFCA51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3" name="AutoShape 9" descr="Story">
          <a:hlinkClick xmlns:r="http://schemas.openxmlformats.org/officeDocument/2006/relationships" r:id="rId5"/>
          <a:extLst>
            <a:ext uri="{FF2B5EF4-FFF2-40B4-BE49-F238E27FC236}">
              <a16:creationId xmlns:a16="http://schemas.microsoft.com/office/drawing/2014/main" id="{E6377ED1-7A5C-4FBA-928A-D7CD1568B97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4" name="AutoShape 10" descr="Story">
          <a:hlinkClick xmlns:r="http://schemas.openxmlformats.org/officeDocument/2006/relationships" r:id="rId6"/>
          <a:extLst>
            <a:ext uri="{FF2B5EF4-FFF2-40B4-BE49-F238E27FC236}">
              <a16:creationId xmlns:a16="http://schemas.microsoft.com/office/drawing/2014/main" id="{F281DC1C-7CCE-4612-9CA4-2E3DDF38294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5" name="AutoShape 13" descr="Story">
          <a:hlinkClick xmlns:r="http://schemas.openxmlformats.org/officeDocument/2006/relationships" r:id="rId4"/>
          <a:extLst>
            <a:ext uri="{FF2B5EF4-FFF2-40B4-BE49-F238E27FC236}">
              <a16:creationId xmlns:a16="http://schemas.microsoft.com/office/drawing/2014/main" id="{189A533C-EA4A-4EA4-8F0C-F08DD7AC5AD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6" name="AutoShape 14" descr="Story">
          <a:hlinkClick xmlns:r="http://schemas.openxmlformats.org/officeDocument/2006/relationships" r:id="rId4"/>
          <a:extLst>
            <a:ext uri="{FF2B5EF4-FFF2-40B4-BE49-F238E27FC236}">
              <a16:creationId xmlns:a16="http://schemas.microsoft.com/office/drawing/2014/main" id="{B3247122-FB75-4A46-B0DA-3778D980B3B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7" name="AutoShape 4" descr="Bug">
          <a:hlinkClick xmlns:r="http://schemas.openxmlformats.org/officeDocument/2006/relationships" r:id="rId1"/>
          <a:extLst>
            <a:ext uri="{FF2B5EF4-FFF2-40B4-BE49-F238E27FC236}">
              <a16:creationId xmlns:a16="http://schemas.microsoft.com/office/drawing/2014/main" id="{9ACFF606-1C2F-4512-AEA7-6C1A5141FD5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8" name="AutoShape 6" descr="Bug">
          <a:hlinkClick xmlns:r="http://schemas.openxmlformats.org/officeDocument/2006/relationships" r:id="rId2"/>
          <a:extLst>
            <a:ext uri="{FF2B5EF4-FFF2-40B4-BE49-F238E27FC236}">
              <a16:creationId xmlns:a16="http://schemas.microsoft.com/office/drawing/2014/main" id="{1F344928-7AC1-445C-83B7-D5B910F7235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89" name="AutoShape 7" descr="Story">
          <a:hlinkClick xmlns:r="http://schemas.openxmlformats.org/officeDocument/2006/relationships" r:id="rId3"/>
          <a:extLst>
            <a:ext uri="{FF2B5EF4-FFF2-40B4-BE49-F238E27FC236}">
              <a16:creationId xmlns:a16="http://schemas.microsoft.com/office/drawing/2014/main" id="{28A74E86-98D8-42A8-A8D4-56469522647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0" name="AutoShape 8" descr="Story">
          <a:hlinkClick xmlns:r="http://schemas.openxmlformats.org/officeDocument/2006/relationships" r:id="rId4"/>
          <a:extLst>
            <a:ext uri="{FF2B5EF4-FFF2-40B4-BE49-F238E27FC236}">
              <a16:creationId xmlns:a16="http://schemas.microsoft.com/office/drawing/2014/main" id="{D2FD0D5D-C2DC-4C7A-8753-16C08EB7C8B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1" name="AutoShape 9" descr="Story">
          <a:hlinkClick xmlns:r="http://schemas.openxmlformats.org/officeDocument/2006/relationships" r:id="rId5"/>
          <a:extLst>
            <a:ext uri="{FF2B5EF4-FFF2-40B4-BE49-F238E27FC236}">
              <a16:creationId xmlns:a16="http://schemas.microsoft.com/office/drawing/2014/main" id="{DD72CA45-B9C8-44B9-9323-D4422C11EC2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2" name="AutoShape 10" descr="Story">
          <a:hlinkClick xmlns:r="http://schemas.openxmlformats.org/officeDocument/2006/relationships" r:id="rId6"/>
          <a:extLst>
            <a:ext uri="{FF2B5EF4-FFF2-40B4-BE49-F238E27FC236}">
              <a16:creationId xmlns:a16="http://schemas.microsoft.com/office/drawing/2014/main" id="{5B018983-6878-450D-8902-510CBD0B438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3" name="AutoShape 13" descr="Story">
          <a:hlinkClick xmlns:r="http://schemas.openxmlformats.org/officeDocument/2006/relationships" r:id="rId4"/>
          <a:extLst>
            <a:ext uri="{FF2B5EF4-FFF2-40B4-BE49-F238E27FC236}">
              <a16:creationId xmlns:a16="http://schemas.microsoft.com/office/drawing/2014/main" id="{F3A0FC36-BA5B-4215-BE12-4B40B96F715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4" name="AutoShape 14" descr="Story">
          <a:hlinkClick xmlns:r="http://schemas.openxmlformats.org/officeDocument/2006/relationships" r:id="rId4"/>
          <a:extLst>
            <a:ext uri="{FF2B5EF4-FFF2-40B4-BE49-F238E27FC236}">
              <a16:creationId xmlns:a16="http://schemas.microsoft.com/office/drawing/2014/main" id="{08DDCBE8-8D10-4773-8294-2D9C3D37C91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5" name="AutoShape 4" descr="Bug">
          <a:hlinkClick xmlns:r="http://schemas.openxmlformats.org/officeDocument/2006/relationships" r:id="rId1"/>
          <a:extLst>
            <a:ext uri="{FF2B5EF4-FFF2-40B4-BE49-F238E27FC236}">
              <a16:creationId xmlns:a16="http://schemas.microsoft.com/office/drawing/2014/main" id="{C640FA29-4539-4ED3-8361-DE519C624F8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6" name="AutoShape 6" descr="Bug">
          <a:hlinkClick xmlns:r="http://schemas.openxmlformats.org/officeDocument/2006/relationships" r:id="rId2"/>
          <a:extLst>
            <a:ext uri="{FF2B5EF4-FFF2-40B4-BE49-F238E27FC236}">
              <a16:creationId xmlns:a16="http://schemas.microsoft.com/office/drawing/2014/main" id="{EADE1B88-D753-4077-9C28-96E120137A7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7" name="AutoShape 7" descr="Story">
          <a:hlinkClick xmlns:r="http://schemas.openxmlformats.org/officeDocument/2006/relationships" r:id="rId3"/>
          <a:extLst>
            <a:ext uri="{FF2B5EF4-FFF2-40B4-BE49-F238E27FC236}">
              <a16:creationId xmlns:a16="http://schemas.microsoft.com/office/drawing/2014/main" id="{CD5BA7EF-3965-4686-A707-ABA4717385A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8" name="AutoShape 8" descr="Story">
          <a:hlinkClick xmlns:r="http://schemas.openxmlformats.org/officeDocument/2006/relationships" r:id="rId4"/>
          <a:extLst>
            <a:ext uri="{FF2B5EF4-FFF2-40B4-BE49-F238E27FC236}">
              <a16:creationId xmlns:a16="http://schemas.microsoft.com/office/drawing/2014/main" id="{1CA80CCA-A44A-414C-8EFD-604A85E1D41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899" name="AutoShape 9" descr="Story">
          <a:hlinkClick xmlns:r="http://schemas.openxmlformats.org/officeDocument/2006/relationships" r:id="rId5"/>
          <a:extLst>
            <a:ext uri="{FF2B5EF4-FFF2-40B4-BE49-F238E27FC236}">
              <a16:creationId xmlns:a16="http://schemas.microsoft.com/office/drawing/2014/main" id="{A92EF3EE-E393-4340-92A3-B44BABF8047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0" name="AutoShape 10" descr="Story">
          <a:hlinkClick xmlns:r="http://schemas.openxmlformats.org/officeDocument/2006/relationships" r:id="rId6"/>
          <a:extLst>
            <a:ext uri="{FF2B5EF4-FFF2-40B4-BE49-F238E27FC236}">
              <a16:creationId xmlns:a16="http://schemas.microsoft.com/office/drawing/2014/main" id="{32CD3651-B02A-4B62-88F5-FF73E869B52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1" name="AutoShape 13" descr="Story">
          <a:hlinkClick xmlns:r="http://schemas.openxmlformats.org/officeDocument/2006/relationships" r:id="rId4"/>
          <a:extLst>
            <a:ext uri="{FF2B5EF4-FFF2-40B4-BE49-F238E27FC236}">
              <a16:creationId xmlns:a16="http://schemas.microsoft.com/office/drawing/2014/main" id="{6E12FFCD-B600-4FDA-8342-9840C97A719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2" name="AutoShape 14" descr="Story">
          <a:hlinkClick xmlns:r="http://schemas.openxmlformats.org/officeDocument/2006/relationships" r:id="rId4"/>
          <a:extLst>
            <a:ext uri="{FF2B5EF4-FFF2-40B4-BE49-F238E27FC236}">
              <a16:creationId xmlns:a16="http://schemas.microsoft.com/office/drawing/2014/main" id="{DDE62AC6-919B-412B-B942-B5BA6FDD668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3" name="AutoShape 4" descr="Bug">
          <a:hlinkClick xmlns:r="http://schemas.openxmlformats.org/officeDocument/2006/relationships" r:id="rId1"/>
          <a:extLst>
            <a:ext uri="{FF2B5EF4-FFF2-40B4-BE49-F238E27FC236}">
              <a16:creationId xmlns:a16="http://schemas.microsoft.com/office/drawing/2014/main" id="{E3688AF9-CC40-46DB-AB0A-C074D12EB7A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4" name="AutoShape 6" descr="Bug">
          <a:hlinkClick xmlns:r="http://schemas.openxmlformats.org/officeDocument/2006/relationships" r:id="rId2"/>
          <a:extLst>
            <a:ext uri="{FF2B5EF4-FFF2-40B4-BE49-F238E27FC236}">
              <a16:creationId xmlns:a16="http://schemas.microsoft.com/office/drawing/2014/main" id="{71583C8E-D372-40DC-8A11-3576FB63E44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5" name="AutoShape 7" descr="Story">
          <a:hlinkClick xmlns:r="http://schemas.openxmlformats.org/officeDocument/2006/relationships" r:id="rId3"/>
          <a:extLst>
            <a:ext uri="{FF2B5EF4-FFF2-40B4-BE49-F238E27FC236}">
              <a16:creationId xmlns:a16="http://schemas.microsoft.com/office/drawing/2014/main" id="{403C643C-AF70-492B-A14A-AB9E93A2545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6" name="AutoShape 8" descr="Story">
          <a:hlinkClick xmlns:r="http://schemas.openxmlformats.org/officeDocument/2006/relationships" r:id="rId4"/>
          <a:extLst>
            <a:ext uri="{FF2B5EF4-FFF2-40B4-BE49-F238E27FC236}">
              <a16:creationId xmlns:a16="http://schemas.microsoft.com/office/drawing/2014/main" id="{85658AC5-7DFA-41D0-B990-143D1EF666D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7" name="AutoShape 9" descr="Story">
          <a:hlinkClick xmlns:r="http://schemas.openxmlformats.org/officeDocument/2006/relationships" r:id="rId5"/>
          <a:extLst>
            <a:ext uri="{FF2B5EF4-FFF2-40B4-BE49-F238E27FC236}">
              <a16:creationId xmlns:a16="http://schemas.microsoft.com/office/drawing/2014/main" id="{5CF57770-3386-4A26-80C6-BFE9B646800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8" name="AutoShape 10" descr="Story">
          <a:hlinkClick xmlns:r="http://schemas.openxmlformats.org/officeDocument/2006/relationships" r:id="rId6"/>
          <a:extLst>
            <a:ext uri="{FF2B5EF4-FFF2-40B4-BE49-F238E27FC236}">
              <a16:creationId xmlns:a16="http://schemas.microsoft.com/office/drawing/2014/main" id="{F488226A-9596-40C3-90B3-58CB141ED32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09" name="AutoShape 13" descr="Story">
          <a:hlinkClick xmlns:r="http://schemas.openxmlformats.org/officeDocument/2006/relationships" r:id="rId4"/>
          <a:extLst>
            <a:ext uri="{FF2B5EF4-FFF2-40B4-BE49-F238E27FC236}">
              <a16:creationId xmlns:a16="http://schemas.microsoft.com/office/drawing/2014/main" id="{6F4E7B9D-DF1D-4B0C-96F5-39BA5A49253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0" name="AutoShape 14" descr="Story">
          <a:hlinkClick xmlns:r="http://schemas.openxmlformats.org/officeDocument/2006/relationships" r:id="rId4"/>
          <a:extLst>
            <a:ext uri="{FF2B5EF4-FFF2-40B4-BE49-F238E27FC236}">
              <a16:creationId xmlns:a16="http://schemas.microsoft.com/office/drawing/2014/main" id="{ACD151C2-1243-4B8A-B968-B2ADDC2F392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1" name="AutoShape 4" descr="Bug">
          <a:hlinkClick xmlns:r="http://schemas.openxmlformats.org/officeDocument/2006/relationships" r:id="rId1"/>
          <a:extLst>
            <a:ext uri="{FF2B5EF4-FFF2-40B4-BE49-F238E27FC236}">
              <a16:creationId xmlns:a16="http://schemas.microsoft.com/office/drawing/2014/main" id="{861FE491-2F53-495C-A974-05E9D719E26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2" name="AutoShape 6" descr="Bug">
          <a:hlinkClick xmlns:r="http://schemas.openxmlformats.org/officeDocument/2006/relationships" r:id="rId2"/>
          <a:extLst>
            <a:ext uri="{FF2B5EF4-FFF2-40B4-BE49-F238E27FC236}">
              <a16:creationId xmlns:a16="http://schemas.microsoft.com/office/drawing/2014/main" id="{65EC6553-4A18-4240-B3E0-31DB8408B55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3" name="AutoShape 7" descr="Story">
          <a:hlinkClick xmlns:r="http://schemas.openxmlformats.org/officeDocument/2006/relationships" r:id="rId3"/>
          <a:extLst>
            <a:ext uri="{FF2B5EF4-FFF2-40B4-BE49-F238E27FC236}">
              <a16:creationId xmlns:a16="http://schemas.microsoft.com/office/drawing/2014/main" id="{1C5F1B12-91BE-425B-9468-0991C06EF17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4" name="AutoShape 8" descr="Story">
          <a:hlinkClick xmlns:r="http://schemas.openxmlformats.org/officeDocument/2006/relationships" r:id="rId4"/>
          <a:extLst>
            <a:ext uri="{FF2B5EF4-FFF2-40B4-BE49-F238E27FC236}">
              <a16:creationId xmlns:a16="http://schemas.microsoft.com/office/drawing/2014/main" id="{139D8D24-DA0F-45DD-B885-DFB0E671137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5" name="AutoShape 9" descr="Story">
          <a:hlinkClick xmlns:r="http://schemas.openxmlformats.org/officeDocument/2006/relationships" r:id="rId5"/>
          <a:extLst>
            <a:ext uri="{FF2B5EF4-FFF2-40B4-BE49-F238E27FC236}">
              <a16:creationId xmlns:a16="http://schemas.microsoft.com/office/drawing/2014/main" id="{68D008A3-3B49-497E-B3B3-FD25B022AF3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6" name="AutoShape 10" descr="Story">
          <a:hlinkClick xmlns:r="http://schemas.openxmlformats.org/officeDocument/2006/relationships" r:id="rId6"/>
          <a:extLst>
            <a:ext uri="{FF2B5EF4-FFF2-40B4-BE49-F238E27FC236}">
              <a16:creationId xmlns:a16="http://schemas.microsoft.com/office/drawing/2014/main" id="{01597C36-7FC9-4014-8AC7-1FCFEB137C0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7" name="AutoShape 13" descr="Story">
          <a:hlinkClick xmlns:r="http://schemas.openxmlformats.org/officeDocument/2006/relationships" r:id="rId4"/>
          <a:extLst>
            <a:ext uri="{FF2B5EF4-FFF2-40B4-BE49-F238E27FC236}">
              <a16:creationId xmlns:a16="http://schemas.microsoft.com/office/drawing/2014/main" id="{95749578-43F8-4CF3-90B3-F476DB1C8A0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8" name="AutoShape 14" descr="Story">
          <a:hlinkClick xmlns:r="http://schemas.openxmlformats.org/officeDocument/2006/relationships" r:id="rId4"/>
          <a:extLst>
            <a:ext uri="{FF2B5EF4-FFF2-40B4-BE49-F238E27FC236}">
              <a16:creationId xmlns:a16="http://schemas.microsoft.com/office/drawing/2014/main" id="{F1E8D62C-B4C1-4E87-8DF3-F4BC2500CC2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19" name="AutoShape 4" descr="Bug">
          <a:hlinkClick xmlns:r="http://schemas.openxmlformats.org/officeDocument/2006/relationships" r:id="rId1"/>
          <a:extLst>
            <a:ext uri="{FF2B5EF4-FFF2-40B4-BE49-F238E27FC236}">
              <a16:creationId xmlns:a16="http://schemas.microsoft.com/office/drawing/2014/main" id="{DF95128D-4C28-4589-95CE-9D0658A74E5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0" name="AutoShape 6" descr="Bug">
          <a:hlinkClick xmlns:r="http://schemas.openxmlformats.org/officeDocument/2006/relationships" r:id="rId2"/>
          <a:extLst>
            <a:ext uri="{FF2B5EF4-FFF2-40B4-BE49-F238E27FC236}">
              <a16:creationId xmlns:a16="http://schemas.microsoft.com/office/drawing/2014/main" id="{59FED2A3-3B7E-48A7-B353-470854322CB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1" name="AutoShape 7" descr="Story">
          <a:hlinkClick xmlns:r="http://schemas.openxmlformats.org/officeDocument/2006/relationships" r:id="rId3"/>
          <a:extLst>
            <a:ext uri="{FF2B5EF4-FFF2-40B4-BE49-F238E27FC236}">
              <a16:creationId xmlns:a16="http://schemas.microsoft.com/office/drawing/2014/main" id="{12604EA3-C5BC-4635-8800-40BF5030FEA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2" name="AutoShape 8" descr="Story">
          <a:hlinkClick xmlns:r="http://schemas.openxmlformats.org/officeDocument/2006/relationships" r:id="rId4"/>
          <a:extLst>
            <a:ext uri="{FF2B5EF4-FFF2-40B4-BE49-F238E27FC236}">
              <a16:creationId xmlns:a16="http://schemas.microsoft.com/office/drawing/2014/main" id="{2A62A62F-A96B-4528-81AF-778E1398595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3" name="AutoShape 9" descr="Story">
          <a:hlinkClick xmlns:r="http://schemas.openxmlformats.org/officeDocument/2006/relationships" r:id="rId5"/>
          <a:extLst>
            <a:ext uri="{FF2B5EF4-FFF2-40B4-BE49-F238E27FC236}">
              <a16:creationId xmlns:a16="http://schemas.microsoft.com/office/drawing/2014/main" id="{30C76006-B210-419A-866A-788D5C8D3D1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4" name="AutoShape 10" descr="Story">
          <a:hlinkClick xmlns:r="http://schemas.openxmlformats.org/officeDocument/2006/relationships" r:id="rId6"/>
          <a:extLst>
            <a:ext uri="{FF2B5EF4-FFF2-40B4-BE49-F238E27FC236}">
              <a16:creationId xmlns:a16="http://schemas.microsoft.com/office/drawing/2014/main" id="{D7D69500-CC85-4832-92D8-959686712AD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5" name="AutoShape 13" descr="Story">
          <a:hlinkClick xmlns:r="http://schemas.openxmlformats.org/officeDocument/2006/relationships" r:id="rId4"/>
          <a:extLst>
            <a:ext uri="{FF2B5EF4-FFF2-40B4-BE49-F238E27FC236}">
              <a16:creationId xmlns:a16="http://schemas.microsoft.com/office/drawing/2014/main" id="{6D844140-620A-4731-B5FF-EB9E65512DE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6" name="AutoShape 14" descr="Story">
          <a:hlinkClick xmlns:r="http://schemas.openxmlformats.org/officeDocument/2006/relationships" r:id="rId4"/>
          <a:extLst>
            <a:ext uri="{FF2B5EF4-FFF2-40B4-BE49-F238E27FC236}">
              <a16:creationId xmlns:a16="http://schemas.microsoft.com/office/drawing/2014/main" id="{9FF3A788-CBD3-49A4-ABC7-D929A16C9E1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7" name="AutoShape 4" descr="Bug">
          <a:hlinkClick xmlns:r="http://schemas.openxmlformats.org/officeDocument/2006/relationships" r:id="rId1"/>
          <a:extLst>
            <a:ext uri="{FF2B5EF4-FFF2-40B4-BE49-F238E27FC236}">
              <a16:creationId xmlns:a16="http://schemas.microsoft.com/office/drawing/2014/main" id="{26E6924B-C418-4BD5-AB9D-4C72F83CC38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8" name="AutoShape 6" descr="Bug">
          <a:hlinkClick xmlns:r="http://schemas.openxmlformats.org/officeDocument/2006/relationships" r:id="rId2"/>
          <a:extLst>
            <a:ext uri="{FF2B5EF4-FFF2-40B4-BE49-F238E27FC236}">
              <a16:creationId xmlns:a16="http://schemas.microsoft.com/office/drawing/2014/main" id="{C1A6B61E-FFBB-4D9B-9705-F57E0A96B30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29" name="AutoShape 7" descr="Story">
          <a:hlinkClick xmlns:r="http://schemas.openxmlformats.org/officeDocument/2006/relationships" r:id="rId3"/>
          <a:extLst>
            <a:ext uri="{FF2B5EF4-FFF2-40B4-BE49-F238E27FC236}">
              <a16:creationId xmlns:a16="http://schemas.microsoft.com/office/drawing/2014/main" id="{468F66ED-70D3-44A7-9AF0-532D2D2761F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0" name="AutoShape 8" descr="Story">
          <a:hlinkClick xmlns:r="http://schemas.openxmlformats.org/officeDocument/2006/relationships" r:id="rId4"/>
          <a:extLst>
            <a:ext uri="{FF2B5EF4-FFF2-40B4-BE49-F238E27FC236}">
              <a16:creationId xmlns:a16="http://schemas.microsoft.com/office/drawing/2014/main" id="{1370D6BE-3C26-4B2C-B099-F4278ECBE55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1" name="AutoShape 9" descr="Story">
          <a:hlinkClick xmlns:r="http://schemas.openxmlformats.org/officeDocument/2006/relationships" r:id="rId5"/>
          <a:extLst>
            <a:ext uri="{FF2B5EF4-FFF2-40B4-BE49-F238E27FC236}">
              <a16:creationId xmlns:a16="http://schemas.microsoft.com/office/drawing/2014/main" id="{9A8C36C8-77DD-46E3-BACA-C9C192D3B19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2" name="AutoShape 10" descr="Story">
          <a:hlinkClick xmlns:r="http://schemas.openxmlformats.org/officeDocument/2006/relationships" r:id="rId6"/>
          <a:extLst>
            <a:ext uri="{FF2B5EF4-FFF2-40B4-BE49-F238E27FC236}">
              <a16:creationId xmlns:a16="http://schemas.microsoft.com/office/drawing/2014/main" id="{A58FA877-3CA7-4694-9F9C-0B191653338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3" name="AutoShape 13" descr="Story">
          <a:hlinkClick xmlns:r="http://schemas.openxmlformats.org/officeDocument/2006/relationships" r:id="rId4"/>
          <a:extLst>
            <a:ext uri="{FF2B5EF4-FFF2-40B4-BE49-F238E27FC236}">
              <a16:creationId xmlns:a16="http://schemas.microsoft.com/office/drawing/2014/main" id="{660EE638-9FD7-4383-AFB2-04B641FB7F2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4" name="AutoShape 14" descr="Story">
          <a:hlinkClick xmlns:r="http://schemas.openxmlformats.org/officeDocument/2006/relationships" r:id="rId4"/>
          <a:extLst>
            <a:ext uri="{FF2B5EF4-FFF2-40B4-BE49-F238E27FC236}">
              <a16:creationId xmlns:a16="http://schemas.microsoft.com/office/drawing/2014/main" id="{21353A7D-6AAD-4B55-A90F-E70248AE4E7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5" name="AutoShape 4" descr="Bug">
          <a:hlinkClick xmlns:r="http://schemas.openxmlformats.org/officeDocument/2006/relationships" r:id="rId1"/>
          <a:extLst>
            <a:ext uri="{FF2B5EF4-FFF2-40B4-BE49-F238E27FC236}">
              <a16:creationId xmlns:a16="http://schemas.microsoft.com/office/drawing/2014/main" id="{F2AAC3A8-D627-4591-A7FF-F12CC343A20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6" name="AutoShape 6" descr="Bug">
          <a:hlinkClick xmlns:r="http://schemas.openxmlformats.org/officeDocument/2006/relationships" r:id="rId2"/>
          <a:extLst>
            <a:ext uri="{FF2B5EF4-FFF2-40B4-BE49-F238E27FC236}">
              <a16:creationId xmlns:a16="http://schemas.microsoft.com/office/drawing/2014/main" id="{18AD986D-EFBA-4628-9A09-A5EC70672EF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7" name="AutoShape 7" descr="Story">
          <a:hlinkClick xmlns:r="http://schemas.openxmlformats.org/officeDocument/2006/relationships" r:id="rId3"/>
          <a:extLst>
            <a:ext uri="{FF2B5EF4-FFF2-40B4-BE49-F238E27FC236}">
              <a16:creationId xmlns:a16="http://schemas.microsoft.com/office/drawing/2014/main" id="{281DB293-B220-435E-A793-71E581F54BB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8" name="AutoShape 8" descr="Story">
          <a:hlinkClick xmlns:r="http://schemas.openxmlformats.org/officeDocument/2006/relationships" r:id="rId4"/>
          <a:extLst>
            <a:ext uri="{FF2B5EF4-FFF2-40B4-BE49-F238E27FC236}">
              <a16:creationId xmlns:a16="http://schemas.microsoft.com/office/drawing/2014/main" id="{FBA2DEAA-A386-41E8-A1DB-F6D0A99C94C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39" name="AutoShape 9" descr="Story">
          <a:hlinkClick xmlns:r="http://schemas.openxmlformats.org/officeDocument/2006/relationships" r:id="rId5"/>
          <a:extLst>
            <a:ext uri="{FF2B5EF4-FFF2-40B4-BE49-F238E27FC236}">
              <a16:creationId xmlns:a16="http://schemas.microsoft.com/office/drawing/2014/main" id="{7C8CB855-D9B3-43BC-A6C2-6CCB2171A16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0" name="AutoShape 10" descr="Story">
          <a:hlinkClick xmlns:r="http://schemas.openxmlformats.org/officeDocument/2006/relationships" r:id="rId6"/>
          <a:extLst>
            <a:ext uri="{FF2B5EF4-FFF2-40B4-BE49-F238E27FC236}">
              <a16:creationId xmlns:a16="http://schemas.microsoft.com/office/drawing/2014/main" id="{3F46143C-4959-42A0-9200-B59ACEECC0B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1" name="AutoShape 13" descr="Story">
          <a:hlinkClick xmlns:r="http://schemas.openxmlformats.org/officeDocument/2006/relationships" r:id="rId4"/>
          <a:extLst>
            <a:ext uri="{FF2B5EF4-FFF2-40B4-BE49-F238E27FC236}">
              <a16:creationId xmlns:a16="http://schemas.microsoft.com/office/drawing/2014/main" id="{89FB2079-004C-4DC4-A563-5F4F96C068A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2" name="AutoShape 14" descr="Story">
          <a:hlinkClick xmlns:r="http://schemas.openxmlformats.org/officeDocument/2006/relationships" r:id="rId4"/>
          <a:extLst>
            <a:ext uri="{FF2B5EF4-FFF2-40B4-BE49-F238E27FC236}">
              <a16:creationId xmlns:a16="http://schemas.microsoft.com/office/drawing/2014/main" id="{47AF7ECD-7CB6-4127-A501-ABF44873366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3" name="AutoShape 4" descr="Bug">
          <a:hlinkClick xmlns:r="http://schemas.openxmlformats.org/officeDocument/2006/relationships" r:id="rId1"/>
          <a:extLst>
            <a:ext uri="{FF2B5EF4-FFF2-40B4-BE49-F238E27FC236}">
              <a16:creationId xmlns:a16="http://schemas.microsoft.com/office/drawing/2014/main" id="{FAE916C0-E93A-4DE6-AADA-32AB2B03956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4" name="AutoShape 6" descr="Bug">
          <a:hlinkClick xmlns:r="http://schemas.openxmlformats.org/officeDocument/2006/relationships" r:id="rId2"/>
          <a:extLst>
            <a:ext uri="{FF2B5EF4-FFF2-40B4-BE49-F238E27FC236}">
              <a16:creationId xmlns:a16="http://schemas.microsoft.com/office/drawing/2014/main" id="{3B548B60-42C9-4405-A939-30851DF4A30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5" name="AutoShape 7" descr="Story">
          <a:hlinkClick xmlns:r="http://schemas.openxmlformats.org/officeDocument/2006/relationships" r:id="rId3"/>
          <a:extLst>
            <a:ext uri="{FF2B5EF4-FFF2-40B4-BE49-F238E27FC236}">
              <a16:creationId xmlns:a16="http://schemas.microsoft.com/office/drawing/2014/main" id="{1EE730E9-B7A6-4177-9107-8F0AD00AC21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6" name="AutoShape 8" descr="Story">
          <a:hlinkClick xmlns:r="http://schemas.openxmlformats.org/officeDocument/2006/relationships" r:id="rId4"/>
          <a:extLst>
            <a:ext uri="{FF2B5EF4-FFF2-40B4-BE49-F238E27FC236}">
              <a16:creationId xmlns:a16="http://schemas.microsoft.com/office/drawing/2014/main" id="{806EEBF7-DC31-49B4-8800-D5020EF839B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7" name="AutoShape 9" descr="Story">
          <a:hlinkClick xmlns:r="http://schemas.openxmlformats.org/officeDocument/2006/relationships" r:id="rId5"/>
          <a:extLst>
            <a:ext uri="{FF2B5EF4-FFF2-40B4-BE49-F238E27FC236}">
              <a16:creationId xmlns:a16="http://schemas.microsoft.com/office/drawing/2014/main" id="{9823BA30-6094-4A0C-A647-BEE571A6EE8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8" name="AutoShape 10" descr="Story">
          <a:hlinkClick xmlns:r="http://schemas.openxmlformats.org/officeDocument/2006/relationships" r:id="rId6"/>
          <a:extLst>
            <a:ext uri="{FF2B5EF4-FFF2-40B4-BE49-F238E27FC236}">
              <a16:creationId xmlns:a16="http://schemas.microsoft.com/office/drawing/2014/main" id="{06F6209F-8F26-4189-8273-B4BEC6D2473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49" name="AutoShape 13" descr="Story">
          <a:hlinkClick xmlns:r="http://schemas.openxmlformats.org/officeDocument/2006/relationships" r:id="rId4"/>
          <a:extLst>
            <a:ext uri="{FF2B5EF4-FFF2-40B4-BE49-F238E27FC236}">
              <a16:creationId xmlns:a16="http://schemas.microsoft.com/office/drawing/2014/main" id="{9EC793AB-2200-49FF-BAD5-B4CFA43955D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0" name="AutoShape 14" descr="Story">
          <a:hlinkClick xmlns:r="http://schemas.openxmlformats.org/officeDocument/2006/relationships" r:id="rId4"/>
          <a:extLst>
            <a:ext uri="{FF2B5EF4-FFF2-40B4-BE49-F238E27FC236}">
              <a16:creationId xmlns:a16="http://schemas.microsoft.com/office/drawing/2014/main" id="{083DFFF2-4A76-438C-AD0E-DFE4EC6B3CB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1" name="AutoShape 4" descr="Bug">
          <a:hlinkClick xmlns:r="http://schemas.openxmlformats.org/officeDocument/2006/relationships" r:id="rId1"/>
          <a:extLst>
            <a:ext uri="{FF2B5EF4-FFF2-40B4-BE49-F238E27FC236}">
              <a16:creationId xmlns:a16="http://schemas.microsoft.com/office/drawing/2014/main" id="{78AA8D21-6834-4647-926A-50F3C5DE150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2" name="AutoShape 6" descr="Bug">
          <a:hlinkClick xmlns:r="http://schemas.openxmlformats.org/officeDocument/2006/relationships" r:id="rId2"/>
          <a:extLst>
            <a:ext uri="{FF2B5EF4-FFF2-40B4-BE49-F238E27FC236}">
              <a16:creationId xmlns:a16="http://schemas.microsoft.com/office/drawing/2014/main" id="{FB9A7B7D-CD3E-4871-93ED-133FBD2DAA6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3" name="AutoShape 7" descr="Story">
          <a:hlinkClick xmlns:r="http://schemas.openxmlformats.org/officeDocument/2006/relationships" r:id="rId3"/>
          <a:extLst>
            <a:ext uri="{FF2B5EF4-FFF2-40B4-BE49-F238E27FC236}">
              <a16:creationId xmlns:a16="http://schemas.microsoft.com/office/drawing/2014/main" id="{398E6E39-8506-4468-ABFB-0E65EC6C151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4" name="AutoShape 8" descr="Story">
          <a:hlinkClick xmlns:r="http://schemas.openxmlformats.org/officeDocument/2006/relationships" r:id="rId4"/>
          <a:extLst>
            <a:ext uri="{FF2B5EF4-FFF2-40B4-BE49-F238E27FC236}">
              <a16:creationId xmlns:a16="http://schemas.microsoft.com/office/drawing/2014/main" id="{6AAC055D-C78A-412C-BFF9-C67BAB4A870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5" name="AutoShape 9" descr="Story">
          <a:hlinkClick xmlns:r="http://schemas.openxmlformats.org/officeDocument/2006/relationships" r:id="rId5"/>
          <a:extLst>
            <a:ext uri="{FF2B5EF4-FFF2-40B4-BE49-F238E27FC236}">
              <a16:creationId xmlns:a16="http://schemas.microsoft.com/office/drawing/2014/main" id="{1EBBBBBF-9116-47F6-86DD-A8F5DC5B30A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6" name="AutoShape 10" descr="Story">
          <a:hlinkClick xmlns:r="http://schemas.openxmlformats.org/officeDocument/2006/relationships" r:id="rId6"/>
          <a:extLst>
            <a:ext uri="{FF2B5EF4-FFF2-40B4-BE49-F238E27FC236}">
              <a16:creationId xmlns:a16="http://schemas.microsoft.com/office/drawing/2014/main" id="{C54683F7-8D0F-497C-9AEB-52C281459EC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7" name="AutoShape 13" descr="Story">
          <a:hlinkClick xmlns:r="http://schemas.openxmlformats.org/officeDocument/2006/relationships" r:id="rId4"/>
          <a:extLst>
            <a:ext uri="{FF2B5EF4-FFF2-40B4-BE49-F238E27FC236}">
              <a16:creationId xmlns:a16="http://schemas.microsoft.com/office/drawing/2014/main" id="{067AE861-F9B7-40B1-B16B-4CA958F2AE9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8" name="AutoShape 14" descr="Story">
          <a:hlinkClick xmlns:r="http://schemas.openxmlformats.org/officeDocument/2006/relationships" r:id="rId4"/>
          <a:extLst>
            <a:ext uri="{FF2B5EF4-FFF2-40B4-BE49-F238E27FC236}">
              <a16:creationId xmlns:a16="http://schemas.microsoft.com/office/drawing/2014/main" id="{F8AB7C97-A55A-4FEF-93C6-9A4816A9FC3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59" name="AutoShape 4" descr="Bug">
          <a:hlinkClick xmlns:r="http://schemas.openxmlformats.org/officeDocument/2006/relationships" r:id="rId1"/>
          <a:extLst>
            <a:ext uri="{FF2B5EF4-FFF2-40B4-BE49-F238E27FC236}">
              <a16:creationId xmlns:a16="http://schemas.microsoft.com/office/drawing/2014/main" id="{AC0FCDFC-CA4C-41E1-88C9-E3C1F6CC2AA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60" name="AutoShape 6" descr="Bug">
          <a:hlinkClick xmlns:r="http://schemas.openxmlformats.org/officeDocument/2006/relationships" r:id="rId2"/>
          <a:extLst>
            <a:ext uri="{FF2B5EF4-FFF2-40B4-BE49-F238E27FC236}">
              <a16:creationId xmlns:a16="http://schemas.microsoft.com/office/drawing/2014/main" id="{564DB45A-AF27-49E1-8B2C-19C2A952684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61" name="AutoShape 7" descr="Story">
          <a:hlinkClick xmlns:r="http://schemas.openxmlformats.org/officeDocument/2006/relationships" r:id="rId3"/>
          <a:extLst>
            <a:ext uri="{FF2B5EF4-FFF2-40B4-BE49-F238E27FC236}">
              <a16:creationId xmlns:a16="http://schemas.microsoft.com/office/drawing/2014/main" id="{B00C61D2-2A05-4973-82EE-B829EFD4CC2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62" name="AutoShape 8" descr="Story">
          <a:hlinkClick xmlns:r="http://schemas.openxmlformats.org/officeDocument/2006/relationships" r:id="rId4"/>
          <a:extLst>
            <a:ext uri="{FF2B5EF4-FFF2-40B4-BE49-F238E27FC236}">
              <a16:creationId xmlns:a16="http://schemas.microsoft.com/office/drawing/2014/main" id="{DD43A4E4-B761-42DA-B0BF-93C0ABD10CE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63" name="AutoShape 9" descr="Story">
          <a:hlinkClick xmlns:r="http://schemas.openxmlformats.org/officeDocument/2006/relationships" r:id="rId5"/>
          <a:extLst>
            <a:ext uri="{FF2B5EF4-FFF2-40B4-BE49-F238E27FC236}">
              <a16:creationId xmlns:a16="http://schemas.microsoft.com/office/drawing/2014/main" id="{C78DAF27-5C8F-420E-B4ED-8C12C2D1D3C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64" name="AutoShape 10" descr="Story">
          <a:hlinkClick xmlns:r="http://schemas.openxmlformats.org/officeDocument/2006/relationships" r:id="rId6"/>
          <a:extLst>
            <a:ext uri="{FF2B5EF4-FFF2-40B4-BE49-F238E27FC236}">
              <a16:creationId xmlns:a16="http://schemas.microsoft.com/office/drawing/2014/main" id="{3BADB982-B7E7-4725-99F1-9C69D8DD66F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65" name="AutoShape 13" descr="Story">
          <a:hlinkClick xmlns:r="http://schemas.openxmlformats.org/officeDocument/2006/relationships" r:id="rId4"/>
          <a:extLst>
            <a:ext uri="{FF2B5EF4-FFF2-40B4-BE49-F238E27FC236}">
              <a16:creationId xmlns:a16="http://schemas.microsoft.com/office/drawing/2014/main" id="{ECC16381-1E56-4D07-B312-D537FEFC00F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966" name="AutoShape 14" descr="Story">
          <a:hlinkClick xmlns:r="http://schemas.openxmlformats.org/officeDocument/2006/relationships" r:id="rId4"/>
          <a:extLst>
            <a:ext uri="{FF2B5EF4-FFF2-40B4-BE49-F238E27FC236}">
              <a16:creationId xmlns:a16="http://schemas.microsoft.com/office/drawing/2014/main" id="{0B895A81-6079-466B-95EB-3B93741867C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857</xdr:row>
      <xdr:rowOff>0</xdr:rowOff>
    </xdr:from>
    <xdr:to>
      <xdr:col>1</xdr:col>
      <xdr:colOff>152400</xdr:colOff>
      <xdr:row>857</xdr:row>
      <xdr:rowOff>152400</xdr:rowOff>
    </xdr:to>
    <xdr:sp macro="" textlink="">
      <xdr:nvSpPr>
        <xdr:cNvPr id="967" name="AutoShape 4" descr="Bug">
          <a:hlinkClick xmlns:r="http://schemas.openxmlformats.org/officeDocument/2006/relationships" r:id="rId1"/>
          <a:extLst>
            <a:ext uri="{FF2B5EF4-FFF2-40B4-BE49-F238E27FC236}">
              <a16:creationId xmlns:a16="http://schemas.microsoft.com/office/drawing/2014/main" id="{4A8CA690-AFB4-46C4-ABEB-265C0136106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68" name="AutoShape 6" descr="Bug">
          <a:hlinkClick xmlns:r="http://schemas.openxmlformats.org/officeDocument/2006/relationships" r:id="rId2"/>
          <a:extLst>
            <a:ext uri="{FF2B5EF4-FFF2-40B4-BE49-F238E27FC236}">
              <a16:creationId xmlns:a16="http://schemas.microsoft.com/office/drawing/2014/main" id="{F828E27E-73C1-496F-94DF-B553A1F326F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69" name="AutoShape 7" descr="Story">
          <a:hlinkClick xmlns:r="http://schemas.openxmlformats.org/officeDocument/2006/relationships" r:id="rId3"/>
          <a:extLst>
            <a:ext uri="{FF2B5EF4-FFF2-40B4-BE49-F238E27FC236}">
              <a16:creationId xmlns:a16="http://schemas.microsoft.com/office/drawing/2014/main" id="{3517ED2C-7FD2-44E2-AA38-7459C97F887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0" name="AutoShape 8" descr="Story">
          <a:hlinkClick xmlns:r="http://schemas.openxmlformats.org/officeDocument/2006/relationships" r:id="rId4"/>
          <a:extLst>
            <a:ext uri="{FF2B5EF4-FFF2-40B4-BE49-F238E27FC236}">
              <a16:creationId xmlns:a16="http://schemas.microsoft.com/office/drawing/2014/main" id="{D7D736AE-75E6-47C3-8B3C-C9770F22F03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1" name="AutoShape 9" descr="Story">
          <a:hlinkClick xmlns:r="http://schemas.openxmlformats.org/officeDocument/2006/relationships" r:id="rId5"/>
          <a:extLst>
            <a:ext uri="{FF2B5EF4-FFF2-40B4-BE49-F238E27FC236}">
              <a16:creationId xmlns:a16="http://schemas.microsoft.com/office/drawing/2014/main" id="{87EE0DF8-8FA6-47F7-B16A-7CAEACBD0F2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2" name="AutoShape 10" descr="Story">
          <a:hlinkClick xmlns:r="http://schemas.openxmlformats.org/officeDocument/2006/relationships" r:id="rId6"/>
          <a:extLst>
            <a:ext uri="{FF2B5EF4-FFF2-40B4-BE49-F238E27FC236}">
              <a16:creationId xmlns:a16="http://schemas.microsoft.com/office/drawing/2014/main" id="{0154CDA6-30CB-4707-A7AD-633BD26BB6F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3" name="AutoShape 13" descr="Story">
          <a:hlinkClick xmlns:r="http://schemas.openxmlformats.org/officeDocument/2006/relationships" r:id="rId4"/>
          <a:extLst>
            <a:ext uri="{FF2B5EF4-FFF2-40B4-BE49-F238E27FC236}">
              <a16:creationId xmlns:a16="http://schemas.microsoft.com/office/drawing/2014/main" id="{68B76FC3-BEFB-4327-B7CC-241DC50080E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4" name="AutoShape 14" descr="Story">
          <a:hlinkClick xmlns:r="http://schemas.openxmlformats.org/officeDocument/2006/relationships" r:id="rId4"/>
          <a:extLst>
            <a:ext uri="{FF2B5EF4-FFF2-40B4-BE49-F238E27FC236}">
              <a16:creationId xmlns:a16="http://schemas.microsoft.com/office/drawing/2014/main" id="{DEB3A106-E3E6-43CA-A55E-B795C7D5EF6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5" name="AutoShape 4" descr="Bug">
          <a:hlinkClick xmlns:r="http://schemas.openxmlformats.org/officeDocument/2006/relationships" r:id="rId1"/>
          <a:extLst>
            <a:ext uri="{FF2B5EF4-FFF2-40B4-BE49-F238E27FC236}">
              <a16:creationId xmlns:a16="http://schemas.microsoft.com/office/drawing/2014/main" id="{A9EF5114-FEE3-43A9-8485-5E0F77F48ED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6" name="AutoShape 6" descr="Bug">
          <a:hlinkClick xmlns:r="http://schemas.openxmlformats.org/officeDocument/2006/relationships" r:id="rId2"/>
          <a:extLst>
            <a:ext uri="{FF2B5EF4-FFF2-40B4-BE49-F238E27FC236}">
              <a16:creationId xmlns:a16="http://schemas.microsoft.com/office/drawing/2014/main" id="{07C2D5A5-6A41-4E0A-A86D-8862153068B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7" name="AutoShape 7" descr="Story">
          <a:hlinkClick xmlns:r="http://schemas.openxmlformats.org/officeDocument/2006/relationships" r:id="rId3"/>
          <a:extLst>
            <a:ext uri="{FF2B5EF4-FFF2-40B4-BE49-F238E27FC236}">
              <a16:creationId xmlns:a16="http://schemas.microsoft.com/office/drawing/2014/main" id="{C979BD60-4DC9-493F-BB53-918060BB01E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8" name="AutoShape 8" descr="Story">
          <a:hlinkClick xmlns:r="http://schemas.openxmlformats.org/officeDocument/2006/relationships" r:id="rId4"/>
          <a:extLst>
            <a:ext uri="{FF2B5EF4-FFF2-40B4-BE49-F238E27FC236}">
              <a16:creationId xmlns:a16="http://schemas.microsoft.com/office/drawing/2014/main" id="{63DE7F89-CDBC-446B-8109-2CD8FDE9363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79" name="AutoShape 9" descr="Story">
          <a:hlinkClick xmlns:r="http://schemas.openxmlformats.org/officeDocument/2006/relationships" r:id="rId5"/>
          <a:extLst>
            <a:ext uri="{FF2B5EF4-FFF2-40B4-BE49-F238E27FC236}">
              <a16:creationId xmlns:a16="http://schemas.microsoft.com/office/drawing/2014/main" id="{86762D9C-84EF-4B57-AD63-D8C1E26056E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0" name="AutoShape 10" descr="Story">
          <a:hlinkClick xmlns:r="http://schemas.openxmlformats.org/officeDocument/2006/relationships" r:id="rId6"/>
          <a:extLst>
            <a:ext uri="{FF2B5EF4-FFF2-40B4-BE49-F238E27FC236}">
              <a16:creationId xmlns:a16="http://schemas.microsoft.com/office/drawing/2014/main" id="{886C34B0-63A9-4BE1-A273-4EE241AFC0B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1" name="AutoShape 13" descr="Story">
          <a:hlinkClick xmlns:r="http://schemas.openxmlformats.org/officeDocument/2006/relationships" r:id="rId4"/>
          <a:extLst>
            <a:ext uri="{FF2B5EF4-FFF2-40B4-BE49-F238E27FC236}">
              <a16:creationId xmlns:a16="http://schemas.microsoft.com/office/drawing/2014/main" id="{06B69B02-3546-42D4-AFA2-A5CF62A1393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2" name="AutoShape 14" descr="Story">
          <a:hlinkClick xmlns:r="http://schemas.openxmlformats.org/officeDocument/2006/relationships" r:id="rId4"/>
          <a:extLst>
            <a:ext uri="{FF2B5EF4-FFF2-40B4-BE49-F238E27FC236}">
              <a16:creationId xmlns:a16="http://schemas.microsoft.com/office/drawing/2014/main" id="{DF601996-9C84-432C-92EF-2AEF46BFFF4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3" name="AutoShape 4" descr="Bug">
          <a:hlinkClick xmlns:r="http://schemas.openxmlformats.org/officeDocument/2006/relationships" r:id="rId1"/>
          <a:extLst>
            <a:ext uri="{FF2B5EF4-FFF2-40B4-BE49-F238E27FC236}">
              <a16:creationId xmlns:a16="http://schemas.microsoft.com/office/drawing/2014/main" id="{40B135D6-6E52-4C8D-8A65-71A1EFFAF97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4" name="AutoShape 6" descr="Bug">
          <a:hlinkClick xmlns:r="http://schemas.openxmlformats.org/officeDocument/2006/relationships" r:id="rId2"/>
          <a:extLst>
            <a:ext uri="{FF2B5EF4-FFF2-40B4-BE49-F238E27FC236}">
              <a16:creationId xmlns:a16="http://schemas.microsoft.com/office/drawing/2014/main" id="{21910755-FC3F-4E0E-93C1-356D643F035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5" name="AutoShape 7" descr="Story">
          <a:hlinkClick xmlns:r="http://schemas.openxmlformats.org/officeDocument/2006/relationships" r:id="rId3"/>
          <a:extLst>
            <a:ext uri="{FF2B5EF4-FFF2-40B4-BE49-F238E27FC236}">
              <a16:creationId xmlns:a16="http://schemas.microsoft.com/office/drawing/2014/main" id="{7FA7567B-00F5-4890-9257-1B51739588E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6" name="AutoShape 8" descr="Story">
          <a:hlinkClick xmlns:r="http://schemas.openxmlformats.org/officeDocument/2006/relationships" r:id="rId4"/>
          <a:extLst>
            <a:ext uri="{FF2B5EF4-FFF2-40B4-BE49-F238E27FC236}">
              <a16:creationId xmlns:a16="http://schemas.microsoft.com/office/drawing/2014/main" id="{BDCC71CB-273A-4360-9895-03F4394C2F7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7" name="AutoShape 9" descr="Story">
          <a:hlinkClick xmlns:r="http://schemas.openxmlformats.org/officeDocument/2006/relationships" r:id="rId5"/>
          <a:extLst>
            <a:ext uri="{FF2B5EF4-FFF2-40B4-BE49-F238E27FC236}">
              <a16:creationId xmlns:a16="http://schemas.microsoft.com/office/drawing/2014/main" id="{93176B5A-137A-47BC-8474-782C474DC81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8" name="AutoShape 10" descr="Story">
          <a:hlinkClick xmlns:r="http://schemas.openxmlformats.org/officeDocument/2006/relationships" r:id="rId6"/>
          <a:extLst>
            <a:ext uri="{FF2B5EF4-FFF2-40B4-BE49-F238E27FC236}">
              <a16:creationId xmlns:a16="http://schemas.microsoft.com/office/drawing/2014/main" id="{860ABC7A-67E8-44A5-AA4D-4DEAD9A3DC7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89" name="AutoShape 13" descr="Story">
          <a:hlinkClick xmlns:r="http://schemas.openxmlformats.org/officeDocument/2006/relationships" r:id="rId4"/>
          <a:extLst>
            <a:ext uri="{FF2B5EF4-FFF2-40B4-BE49-F238E27FC236}">
              <a16:creationId xmlns:a16="http://schemas.microsoft.com/office/drawing/2014/main" id="{55289499-FC22-4849-A6A0-1C28EE62117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0" name="AutoShape 14" descr="Story">
          <a:hlinkClick xmlns:r="http://schemas.openxmlformats.org/officeDocument/2006/relationships" r:id="rId4"/>
          <a:extLst>
            <a:ext uri="{FF2B5EF4-FFF2-40B4-BE49-F238E27FC236}">
              <a16:creationId xmlns:a16="http://schemas.microsoft.com/office/drawing/2014/main" id="{593731A1-A291-4608-B2BC-4430EA7205F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1" name="AutoShape 4" descr="Bug">
          <a:hlinkClick xmlns:r="http://schemas.openxmlformats.org/officeDocument/2006/relationships" r:id="rId1"/>
          <a:extLst>
            <a:ext uri="{FF2B5EF4-FFF2-40B4-BE49-F238E27FC236}">
              <a16:creationId xmlns:a16="http://schemas.microsoft.com/office/drawing/2014/main" id="{9621292B-3CEA-4240-9E29-C2D10ED449A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2" name="AutoShape 6" descr="Bug">
          <a:hlinkClick xmlns:r="http://schemas.openxmlformats.org/officeDocument/2006/relationships" r:id="rId2"/>
          <a:extLst>
            <a:ext uri="{FF2B5EF4-FFF2-40B4-BE49-F238E27FC236}">
              <a16:creationId xmlns:a16="http://schemas.microsoft.com/office/drawing/2014/main" id="{AE1B3F92-2A10-4AAA-A658-EE59BA35BE2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3" name="AutoShape 7" descr="Story">
          <a:hlinkClick xmlns:r="http://schemas.openxmlformats.org/officeDocument/2006/relationships" r:id="rId3"/>
          <a:extLst>
            <a:ext uri="{FF2B5EF4-FFF2-40B4-BE49-F238E27FC236}">
              <a16:creationId xmlns:a16="http://schemas.microsoft.com/office/drawing/2014/main" id="{730D4D8C-A574-4063-9932-1E918C74B45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4" name="AutoShape 8" descr="Story">
          <a:hlinkClick xmlns:r="http://schemas.openxmlformats.org/officeDocument/2006/relationships" r:id="rId4"/>
          <a:extLst>
            <a:ext uri="{FF2B5EF4-FFF2-40B4-BE49-F238E27FC236}">
              <a16:creationId xmlns:a16="http://schemas.microsoft.com/office/drawing/2014/main" id="{5DDF545F-B3B8-41BD-8E88-027678DF500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5" name="AutoShape 9" descr="Story">
          <a:hlinkClick xmlns:r="http://schemas.openxmlformats.org/officeDocument/2006/relationships" r:id="rId5"/>
          <a:extLst>
            <a:ext uri="{FF2B5EF4-FFF2-40B4-BE49-F238E27FC236}">
              <a16:creationId xmlns:a16="http://schemas.microsoft.com/office/drawing/2014/main" id="{B1172F48-9D30-48C2-BCB7-0F7CD4B6CB4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6" name="AutoShape 10" descr="Story">
          <a:hlinkClick xmlns:r="http://schemas.openxmlformats.org/officeDocument/2006/relationships" r:id="rId6"/>
          <a:extLst>
            <a:ext uri="{FF2B5EF4-FFF2-40B4-BE49-F238E27FC236}">
              <a16:creationId xmlns:a16="http://schemas.microsoft.com/office/drawing/2014/main" id="{B3DC9BCC-AAF1-45BB-A06F-71EEAB4E58F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7" name="AutoShape 13" descr="Story">
          <a:hlinkClick xmlns:r="http://schemas.openxmlformats.org/officeDocument/2006/relationships" r:id="rId4"/>
          <a:extLst>
            <a:ext uri="{FF2B5EF4-FFF2-40B4-BE49-F238E27FC236}">
              <a16:creationId xmlns:a16="http://schemas.microsoft.com/office/drawing/2014/main" id="{7F68190B-7AC2-4BF2-B76E-1062626888E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8" name="AutoShape 14" descr="Story">
          <a:hlinkClick xmlns:r="http://schemas.openxmlformats.org/officeDocument/2006/relationships" r:id="rId4"/>
          <a:extLst>
            <a:ext uri="{FF2B5EF4-FFF2-40B4-BE49-F238E27FC236}">
              <a16:creationId xmlns:a16="http://schemas.microsoft.com/office/drawing/2014/main" id="{B95FA46A-0C7A-476D-B52D-278657627075}"/>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999" name="AutoShape 4" descr="Bug">
          <a:hlinkClick xmlns:r="http://schemas.openxmlformats.org/officeDocument/2006/relationships" r:id="rId1"/>
          <a:extLst>
            <a:ext uri="{FF2B5EF4-FFF2-40B4-BE49-F238E27FC236}">
              <a16:creationId xmlns:a16="http://schemas.microsoft.com/office/drawing/2014/main" id="{694D33D7-C3ED-4C11-BEB0-FBAF4074B98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0" name="AutoShape 6" descr="Bug">
          <a:hlinkClick xmlns:r="http://schemas.openxmlformats.org/officeDocument/2006/relationships" r:id="rId2"/>
          <a:extLst>
            <a:ext uri="{FF2B5EF4-FFF2-40B4-BE49-F238E27FC236}">
              <a16:creationId xmlns:a16="http://schemas.microsoft.com/office/drawing/2014/main" id="{A6BECE9A-8697-47F6-8644-44AB047E17A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1" name="AutoShape 7" descr="Story">
          <a:hlinkClick xmlns:r="http://schemas.openxmlformats.org/officeDocument/2006/relationships" r:id="rId3"/>
          <a:extLst>
            <a:ext uri="{FF2B5EF4-FFF2-40B4-BE49-F238E27FC236}">
              <a16:creationId xmlns:a16="http://schemas.microsoft.com/office/drawing/2014/main" id="{06C922D0-1ED1-4886-846A-A675E9E2ADD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2" name="AutoShape 8" descr="Story">
          <a:hlinkClick xmlns:r="http://schemas.openxmlformats.org/officeDocument/2006/relationships" r:id="rId4"/>
          <a:extLst>
            <a:ext uri="{FF2B5EF4-FFF2-40B4-BE49-F238E27FC236}">
              <a16:creationId xmlns:a16="http://schemas.microsoft.com/office/drawing/2014/main" id="{9BF2BC18-C3F6-4C03-A0AD-A79F019CE5E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3" name="AutoShape 9" descr="Story">
          <a:hlinkClick xmlns:r="http://schemas.openxmlformats.org/officeDocument/2006/relationships" r:id="rId5"/>
          <a:extLst>
            <a:ext uri="{FF2B5EF4-FFF2-40B4-BE49-F238E27FC236}">
              <a16:creationId xmlns:a16="http://schemas.microsoft.com/office/drawing/2014/main" id="{BA771BEE-649C-4271-9D5A-5A8E2E8E7F2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4" name="AutoShape 10" descr="Story">
          <a:hlinkClick xmlns:r="http://schemas.openxmlformats.org/officeDocument/2006/relationships" r:id="rId6"/>
          <a:extLst>
            <a:ext uri="{FF2B5EF4-FFF2-40B4-BE49-F238E27FC236}">
              <a16:creationId xmlns:a16="http://schemas.microsoft.com/office/drawing/2014/main" id="{18894E5E-D4F8-452E-A2CC-1CDF365B014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5" name="AutoShape 13" descr="Story">
          <a:hlinkClick xmlns:r="http://schemas.openxmlformats.org/officeDocument/2006/relationships" r:id="rId4"/>
          <a:extLst>
            <a:ext uri="{FF2B5EF4-FFF2-40B4-BE49-F238E27FC236}">
              <a16:creationId xmlns:a16="http://schemas.microsoft.com/office/drawing/2014/main" id="{7E72F634-A547-41C6-B985-08BCC616E70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6" name="AutoShape 14" descr="Story">
          <a:hlinkClick xmlns:r="http://schemas.openxmlformats.org/officeDocument/2006/relationships" r:id="rId4"/>
          <a:extLst>
            <a:ext uri="{FF2B5EF4-FFF2-40B4-BE49-F238E27FC236}">
              <a16:creationId xmlns:a16="http://schemas.microsoft.com/office/drawing/2014/main" id="{C6A47AB0-DB0F-499A-85B8-D5F64FF170E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7" name="AutoShape 4" descr="Bug">
          <a:hlinkClick xmlns:r="http://schemas.openxmlformats.org/officeDocument/2006/relationships" r:id="rId1"/>
          <a:extLst>
            <a:ext uri="{FF2B5EF4-FFF2-40B4-BE49-F238E27FC236}">
              <a16:creationId xmlns:a16="http://schemas.microsoft.com/office/drawing/2014/main" id="{838FD149-D860-458B-A982-6F5E7F76777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8" name="AutoShape 6" descr="Bug">
          <a:hlinkClick xmlns:r="http://schemas.openxmlformats.org/officeDocument/2006/relationships" r:id="rId2"/>
          <a:extLst>
            <a:ext uri="{FF2B5EF4-FFF2-40B4-BE49-F238E27FC236}">
              <a16:creationId xmlns:a16="http://schemas.microsoft.com/office/drawing/2014/main" id="{4945B8B2-7324-4518-B533-E7BAEC0BEFB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09" name="AutoShape 7" descr="Story">
          <a:hlinkClick xmlns:r="http://schemas.openxmlformats.org/officeDocument/2006/relationships" r:id="rId3"/>
          <a:extLst>
            <a:ext uri="{FF2B5EF4-FFF2-40B4-BE49-F238E27FC236}">
              <a16:creationId xmlns:a16="http://schemas.microsoft.com/office/drawing/2014/main" id="{6BB668A0-E46B-4475-A9E0-8113D0A1798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0" name="AutoShape 8" descr="Story">
          <a:hlinkClick xmlns:r="http://schemas.openxmlformats.org/officeDocument/2006/relationships" r:id="rId4"/>
          <a:extLst>
            <a:ext uri="{FF2B5EF4-FFF2-40B4-BE49-F238E27FC236}">
              <a16:creationId xmlns:a16="http://schemas.microsoft.com/office/drawing/2014/main" id="{E78EE769-DBAA-481A-BE13-5426D63082F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1" name="AutoShape 9" descr="Story">
          <a:hlinkClick xmlns:r="http://schemas.openxmlformats.org/officeDocument/2006/relationships" r:id="rId5"/>
          <a:extLst>
            <a:ext uri="{FF2B5EF4-FFF2-40B4-BE49-F238E27FC236}">
              <a16:creationId xmlns:a16="http://schemas.microsoft.com/office/drawing/2014/main" id="{FFF3042A-31C5-4618-8414-76EAF6AF009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2" name="AutoShape 10" descr="Story">
          <a:hlinkClick xmlns:r="http://schemas.openxmlformats.org/officeDocument/2006/relationships" r:id="rId6"/>
          <a:extLst>
            <a:ext uri="{FF2B5EF4-FFF2-40B4-BE49-F238E27FC236}">
              <a16:creationId xmlns:a16="http://schemas.microsoft.com/office/drawing/2014/main" id="{C621C33A-B727-4C16-8D5D-5B271B6884B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3" name="AutoShape 13" descr="Story">
          <a:hlinkClick xmlns:r="http://schemas.openxmlformats.org/officeDocument/2006/relationships" r:id="rId4"/>
          <a:extLst>
            <a:ext uri="{FF2B5EF4-FFF2-40B4-BE49-F238E27FC236}">
              <a16:creationId xmlns:a16="http://schemas.microsoft.com/office/drawing/2014/main" id="{9BE075EF-D3A9-4108-96F8-5B19A3236C9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4" name="AutoShape 14" descr="Story">
          <a:hlinkClick xmlns:r="http://schemas.openxmlformats.org/officeDocument/2006/relationships" r:id="rId4"/>
          <a:extLst>
            <a:ext uri="{FF2B5EF4-FFF2-40B4-BE49-F238E27FC236}">
              <a16:creationId xmlns:a16="http://schemas.microsoft.com/office/drawing/2014/main" id="{84C05B92-350D-45C2-ABF8-EDA183D3E64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5" name="AutoShape 4" descr="Bug">
          <a:hlinkClick xmlns:r="http://schemas.openxmlformats.org/officeDocument/2006/relationships" r:id="rId1"/>
          <a:extLst>
            <a:ext uri="{FF2B5EF4-FFF2-40B4-BE49-F238E27FC236}">
              <a16:creationId xmlns:a16="http://schemas.microsoft.com/office/drawing/2014/main" id="{47DBEC4E-46F3-4341-B278-1A8F1E8A4E6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6" name="AutoShape 6" descr="Bug">
          <a:hlinkClick xmlns:r="http://schemas.openxmlformats.org/officeDocument/2006/relationships" r:id="rId2"/>
          <a:extLst>
            <a:ext uri="{FF2B5EF4-FFF2-40B4-BE49-F238E27FC236}">
              <a16:creationId xmlns:a16="http://schemas.microsoft.com/office/drawing/2014/main" id="{8A3FF174-208D-4716-9B17-B5AB1F4207D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7" name="AutoShape 7" descr="Story">
          <a:hlinkClick xmlns:r="http://schemas.openxmlformats.org/officeDocument/2006/relationships" r:id="rId3"/>
          <a:extLst>
            <a:ext uri="{FF2B5EF4-FFF2-40B4-BE49-F238E27FC236}">
              <a16:creationId xmlns:a16="http://schemas.microsoft.com/office/drawing/2014/main" id="{3F261211-54C0-4F73-82EA-3D0E8A2ADC9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8" name="AutoShape 8" descr="Story">
          <a:hlinkClick xmlns:r="http://schemas.openxmlformats.org/officeDocument/2006/relationships" r:id="rId4"/>
          <a:extLst>
            <a:ext uri="{FF2B5EF4-FFF2-40B4-BE49-F238E27FC236}">
              <a16:creationId xmlns:a16="http://schemas.microsoft.com/office/drawing/2014/main" id="{F69FD0C4-EC2C-4242-A93F-73A7A6BFE61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19" name="AutoShape 9" descr="Story">
          <a:hlinkClick xmlns:r="http://schemas.openxmlformats.org/officeDocument/2006/relationships" r:id="rId5"/>
          <a:extLst>
            <a:ext uri="{FF2B5EF4-FFF2-40B4-BE49-F238E27FC236}">
              <a16:creationId xmlns:a16="http://schemas.microsoft.com/office/drawing/2014/main" id="{7E8BC056-4BD5-4F29-AF50-D4525E937F9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0" name="AutoShape 10" descr="Story">
          <a:hlinkClick xmlns:r="http://schemas.openxmlformats.org/officeDocument/2006/relationships" r:id="rId6"/>
          <a:extLst>
            <a:ext uri="{FF2B5EF4-FFF2-40B4-BE49-F238E27FC236}">
              <a16:creationId xmlns:a16="http://schemas.microsoft.com/office/drawing/2014/main" id="{28D56B11-5EA7-47AC-97ED-B257ACFD7BE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1" name="AutoShape 13" descr="Story">
          <a:hlinkClick xmlns:r="http://schemas.openxmlformats.org/officeDocument/2006/relationships" r:id="rId4"/>
          <a:extLst>
            <a:ext uri="{FF2B5EF4-FFF2-40B4-BE49-F238E27FC236}">
              <a16:creationId xmlns:a16="http://schemas.microsoft.com/office/drawing/2014/main" id="{53C7FDAC-5592-4D6E-BD1B-68DFF45FA31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2" name="AutoShape 14" descr="Story">
          <a:hlinkClick xmlns:r="http://schemas.openxmlformats.org/officeDocument/2006/relationships" r:id="rId4"/>
          <a:extLst>
            <a:ext uri="{FF2B5EF4-FFF2-40B4-BE49-F238E27FC236}">
              <a16:creationId xmlns:a16="http://schemas.microsoft.com/office/drawing/2014/main" id="{E25F4C81-AB6B-4CCA-93DB-065A8CA9E83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3" name="AutoShape 4" descr="Bug">
          <a:hlinkClick xmlns:r="http://schemas.openxmlformats.org/officeDocument/2006/relationships" r:id="rId1"/>
          <a:extLst>
            <a:ext uri="{FF2B5EF4-FFF2-40B4-BE49-F238E27FC236}">
              <a16:creationId xmlns:a16="http://schemas.microsoft.com/office/drawing/2014/main" id="{33CCCA07-B949-46A4-9000-23399890395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4" name="AutoShape 6" descr="Bug">
          <a:hlinkClick xmlns:r="http://schemas.openxmlformats.org/officeDocument/2006/relationships" r:id="rId2"/>
          <a:extLst>
            <a:ext uri="{FF2B5EF4-FFF2-40B4-BE49-F238E27FC236}">
              <a16:creationId xmlns:a16="http://schemas.microsoft.com/office/drawing/2014/main" id="{B5211DA4-147E-4162-B281-5D87CB44F0F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5" name="AutoShape 7" descr="Story">
          <a:hlinkClick xmlns:r="http://schemas.openxmlformats.org/officeDocument/2006/relationships" r:id="rId3"/>
          <a:extLst>
            <a:ext uri="{FF2B5EF4-FFF2-40B4-BE49-F238E27FC236}">
              <a16:creationId xmlns:a16="http://schemas.microsoft.com/office/drawing/2014/main" id="{DC673628-1A80-4E8B-8231-879C5A63B53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6" name="AutoShape 8" descr="Story">
          <a:hlinkClick xmlns:r="http://schemas.openxmlformats.org/officeDocument/2006/relationships" r:id="rId4"/>
          <a:extLst>
            <a:ext uri="{FF2B5EF4-FFF2-40B4-BE49-F238E27FC236}">
              <a16:creationId xmlns:a16="http://schemas.microsoft.com/office/drawing/2014/main" id="{1792577A-5B59-4D6F-B0E8-03BA937749B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7" name="AutoShape 9" descr="Story">
          <a:hlinkClick xmlns:r="http://schemas.openxmlformats.org/officeDocument/2006/relationships" r:id="rId5"/>
          <a:extLst>
            <a:ext uri="{FF2B5EF4-FFF2-40B4-BE49-F238E27FC236}">
              <a16:creationId xmlns:a16="http://schemas.microsoft.com/office/drawing/2014/main" id="{43323017-232C-4CB5-99A4-B7FED1AB825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8" name="AutoShape 10" descr="Story">
          <a:hlinkClick xmlns:r="http://schemas.openxmlformats.org/officeDocument/2006/relationships" r:id="rId6"/>
          <a:extLst>
            <a:ext uri="{FF2B5EF4-FFF2-40B4-BE49-F238E27FC236}">
              <a16:creationId xmlns:a16="http://schemas.microsoft.com/office/drawing/2014/main" id="{9B98E437-1458-4825-A247-2B3AF5D8478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29" name="AutoShape 13" descr="Story">
          <a:hlinkClick xmlns:r="http://schemas.openxmlformats.org/officeDocument/2006/relationships" r:id="rId4"/>
          <a:extLst>
            <a:ext uri="{FF2B5EF4-FFF2-40B4-BE49-F238E27FC236}">
              <a16:creationId xmlns:a16="http://schemas.microsoft.com/office/drawing/2014/main" id="{EC0B81D1-65E7-44C2-841C-164120A9E26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0" name="AutoShape 14" descr="Story">
          <a:hlinkClick xmlns:r="http://schemas.openxmlformats.org/officeDocument/2006/relationships" r:id="rId4"/>
          <a:extLst>
            <a:ext uri="{FF2B5EF4-FFF2-40B4-BE49-F238E27FC236}">
              <a16:creationId xmlns:a16="http://schemas.microsoft.com/office/drawing/2014/main" id="{79240213-F3A2-4D1D-BBDF-72A555E5F6A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1" name="AutoShape 4" descr="Bug">
          <a:hlinkClick xmlns:r="http://schemas.openxmlformats.org/officeDocument/2006/relationships" r:id="rId1"/>
          <a:extLst>
            <a:ext uri="{FF2B5EF4-FFF2-40B4-BE49-F238E27FC236}">
              <a16:creationId xmlns:a16="http://schemas.microsoft.com/office/drawing/2014/main" id="{FFE81540-D9BE-47E8-82BA-6B9FE55DA17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2" name="AutoShape 6" descr="Bug">
          <a:hlinkClick xmlns:r="http://schemas.openxmlformats.org/officeDocument/2006/relationships" r:id="rId2"/>
          <a:extLst>
            <a:ext uri="{FF2B5EF4-FFF2-40B4-BE49-F238E27FC236}">
              <a16:creationId xmlns:a16="http://schemas.microsoft.com/office/drawing/2014/main" id="{08B5DCB0-1713-4E90-A3AF-37090A9B340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3" name="AutoShape 7" descr="Story">
          <a:hlinkClick xmlns:r="http://schemas.openxmlformats.org/officeDocument/2006/relationships" r:id="rId3"/>
          <a:extLst>
            <a:ext uri="{FF2B5EF4-FFF2-40B4-BE49-F238E27FC236}">
              <a16:creationId xmlns:a16="http://schemas.microsoft.com/office/drawing/2014/main" id="{9D8A61CF-DCFE-4455-AAC9-E4BC7F8A4FF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4" name="AutoShape 8" descr="Story">
          <a:hlinkClick xmlns:r="http://schemas.openxmlformats.org/officeDocument/2006/relationships" r:id="rId4"/>
          <a:extLst>
            <a:ext uri="{FF2B5EF4-FFF2-40B4-BE49-F238E27FC236}">
              <a16:creationId xmlns:a16="http://schemas.microsoft.com/office/drawing/2014/main" id="{C9970A5B-E0E8-4052-A42C-9DB46373457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5" name="AutoShape 9" descr="Story">
          <a:hlinkClick xmlns:r="http://schemas.openxmlformats.org/officeDocument/2006/relationships" r:id="rId5"/>
          <a:extLst>
            <a:ext uri="{FF2B5EF4-FFF2-40B4-BE49-F238E27FC236}">
              <a16:creationId xmlns:a16="http://schemas.microsoft.com/office/drawing/2014/main" id="{F4060DBE-2A47-4009-9CB7-4E9129F96D9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6" name="AutoShape 10" descr="Story">
          <a:hlinkClick xmlns:r="http://schemas.openxmlformats.org/officeDocument/2006/relationships" r:id="rId6"/>
          <a:extLst>
            <a:ext uri="{FF2B5EF4-FFF2-40B4-BE49-F238E27FC236}">
              <a16:creationId xmlns:a16="http://schemas.microsoft.com/office/drawing/2014/main" id="{97378441-C3C6-420D-88A5-9BC8DE507C9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7" name="AutoShape 13" descr="Story">
          <a:hlinkClick xmlns:r="http://schemas.openxmlformats.org/officeDocument/2006/relationships" r:id="rId4"/>
          <a:extLst>
            <a:ext uri="{FF2B5EF4-FFF2-40B4-BE49-F238E27FC236}">
              <a16:creationId xmlns:a16="http://schemas.microsoft.com/office/drawing/2014/main" id="{E5CAB3A4-B6EC-4A6F-9759-C521400B9EC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38" name="AutoShape 14" descr="Story">
          <a:hlinkClick xmlns:r="http://schemas.openxmlformats.org/officeDocument/2006/relationships" r:id="rId4"/>
          <a:extLst>
            <a:ext uri="{FF2B5EF4-FFF2-40B4-BE49-F238E27FC236}">
              <a16:creationId xmlns:a16="http://schemas.microsoft.com/office/drawing/2014/main" id="{4EC161CA-9453-406D-895C-EA18E9A8147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857</xdr:row>
      <xdr:rowOff>0</xdr:rowOff>
    </xdr:from>
    <xdr:ext cx="152400" cy="152400"/>
    <xdr:sp macro="" textlink="">
      <xdr:nvSpPr>
        <xdr:cNvPr id="1039" name="AutoShape 4" descr="Bug">
          <a:hlinkClick xmlns:r="http://schemas.openxmlformats.org/officeDocument/2006/relationships" r:id="rId1"/>
          <a:extLst>
            <a:ext uri="{FF2B5EF4-FFF2-40B4-BE49-F238E27FC236}">
              <a16:creationId xmlns:a16="http://schemas.microsoft.com/office/drawing/2014/main" id="{26837516-A34F-48D7-BB81-D67415128E5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1040" name="AutoShape 6" descr="Bug">
          <a:hlinkClick xmlns:r="http://schemas.openxmlformats.org/officeDocument/2006/relationships" r:id="rId2"/>
          <a:extLst>
            <a:ext uri="{FF2B5EF4-FFF2-40B4-BE49-F238E27FC236}">
              <a16:creationId xmlns:a16="http://schemas.microsoft.com/office/drawing/2014/main" id="{BA89144C-A15A-44F9-9F24-41DF7A2FAD7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1041" name="AutoShape 7" descr="Story">
          <a:hlinkClick xmlns:r="http://schemas.openxmlformats.org/officeDocument/2006/relationships" r:id="rId3"/>
          <a:extLst>
            <a:ext uri="{FF2B5EF4-FFF2-40B4-BE49-F238E27FC236}">
              <a16:creationId xmlns:a16="http://schemas.microsoft.com/office/drawing/2014/main" id="{C93D7E5F-3D09-4C98-883C-D066A3FD27B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1042" name="AutoShape 8" descr="Story">
          <a:hlinkClick xmlns:r="http://schemas.openxmlformats.org/officeDocument/2006/relationships" r:id="rId4"/>
          <a:extLst>
            <a:ext uri="{FF2B5EF4-FFF2-40B4-BE49-F238E27FC236}">
              <a16:creationId xmlns:a16="http://schemas.microsoft.com/office/drawing/2014/main" id="{7EE51FCA-8721-4A09-9B1E-0F827482A568}"/>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1043" name="AutoShape 9" descr="Story">
          <a:hlinkClick xmlns:r="http://schemas.openxmlformats.org/officeDocument/2006/relationships" r:id="rId5"/>
          <a:extLst>
            <a:ext uri="{FF2B5EF4-FFF2-40B4-BE49-F238E27FC236}">
              <a16:creationId xmlns:a16="http://schemas.microsoft.com/office/drawing/2014/main" id="{D4EB168C-A729-4243-960B-16EE00782ED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1044" name="AutoShape 10" descr="Story">
          <a:hlinkClick xmlns:r="http://schemas.openxmlformats.org/officeDocument/2006/relationships" r:id="rId6"/>
          <a:extLst>
            <a:ext uri="{FF2B5EF4-FFF2-40B4-BE49-F238E27FC236}">
              <a16:creationId xmlns:a16="http://schemas.microsoft.com/office/drawing/2014/main" id="{9A613285-4FB5-4B0A-967E-C2FAD8B1F6F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1045" name="AutoShape 13" descr="Story">
          <a:hlinkClick xmlns:r="http://schemas.openxmlformats.org/officeDocument/2006/relationships" r:id="rId4"/>
          <a:extLst>
            <a:ext uri="{FF2B5EF4-FFF2-40B4-BE49-F238E27FC236}">
              <a16:creationId xmlns:a16="http://schemas.microsoft.com/office/drawing/2014/main" id="{28C8B99A-2ACF-4262-BFB6-839F992C9F9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857</xdr:row>
      <xdr:rowOff>0</xdr:rowOff>
    </xdr:from>
    <xdr:ext cx="152400" cy="152400"/>
    <xdr:sp macro="" textlink="">
      <xdr:nvSpPr>
        <xdr:cNvPr id="1046" name="AutoShape 14" descr="Story">
          <a:hlinkClick xmlns:r="http://schemas.openxmlformats.org/officeDocument/2006/relationships" r:id="rId4"/>
          <a:extLst>
            <a:ext uri="{FF2B5EF4-FFF2-40B4-BE49-F238E27FC236}">
              <a16:creationId xmlns:a16="http://schemas.microsoft.com/office/drawing/2014/main" id="{5E9AD914-6F5C-4434-BB7A-919C91C63EE2}"/>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857</xdr:row>
      <xdr:rowOff>0</xdr:rowOff>
    </xdr:from>
    <xdr:to>
      <xdr:col>1</xdr:col>
      <xdr:colOff>152400</xdr:colOff>
      <xdr:row>857</xdr:row>
      <xdr:rowOff>152400</xdr:rowOff>
    </xdr:to>
    <xdr:sp macro="" textlink="">
      <xdr:nvSpPr>
        <xdr:cNvPr id="1047" name="AutoShape 4" descr="Bug">
          <a:hlinkClick xmlns:r="http://schemas.openxmlformats.org/officeDocument/2006/relationships" r:id="rId1"/>
          <a:extLst>
            <a:ext uri="{FF2B5EF4-FFF2-40B4-BE49-F238E27FC236}">
              <a16:creationId xmlns:a16="http://schemas.microsoft.com/office/drawing/2014/main" id="{A1A1EA71-BBF4-45D3-B31C-4C3B5DF0DBE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48" name="AutoShape 6" descr="Bug">
          <a:hlinkClick xmlns:r="http://schemas.openxmlformats.org/officeDocument/2006/relationships" r:id="rId2"/>
          <a:extLst>
            <a:ext uri="{FF2B5EF4-FFF2-40B4-BE49-F238E27FC236}">
              <a16:creationId xmlns:a16="http://schemas.microsoft.com/office/drawing/2014/main" id="{8406EB9A-E625-4E8A-9023-F9AE00299D0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49" name="AutoShape 7" descr="Story">
          <a:hlinkClick xmlns:r="http://schemas.openxmlformats.org/officeDocument/2006/relationships" r:id="rId3"/>
          <a:extLst>
            <a:ext uri="{FF2B5EF4-FFF2-40B4-BE49-F238E27FC236}">
              <a16:creationId xmlns:a16="http://schemas.microsoft.com/office/drawing/2014/main" id="{385C6ECC-42C8-44A4-A80E-E5000895ED0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0" name="AutoShape 8" descr="Story">
          <a:hlinkClick xmlns:r="http://schemas.openxmlformats.org/officeDocument/2006/relationships" r:id="rId4"/>
          <a:extLst>
            <a:ext uri="{FF2B5EF4-FFF2-40B4-BE49-F238E27FC236}">
              <a16:creationId xmlns:a16="http://schemas.microsoft.com/office/drawing/2014/main" id="{692EA583-61FD-4967-A913-8C2C7836856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1" name="AutoShape 9" descr="Story">
          <a:hlinkClick xmlns:r="http://schemas.openxmlformats.org/officeDocument/2006/relationships" r:id="rId5"/>
          <a:extLst>
            <a:ext uri="{FF2B5EF4-FFF2-40B4-BE49-F238E27FC236}">
              <a16:creationId xmlns:a16="http://schemas.microsoft.com/office/drawing/2014/main" id="{B7E7A747-7BCA-4791-8926-F1FBA221E76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2" name="AutoShape 10" descr="Story">
          <a:hlinkClick xmlns:r="http://schemas.openxmlformats.org/officeDocument/2006/relationships" r:id="rId6"/>
          <a:extLst>
            <a:ext uri="{FF2B5EF4-FFF2-40B4-BE49-F238E27FC236}">
              <a16:creationId xmlns:a16="http://schemas.microsoft.com/office/drawing/2014/main" id="{E33F4CEB-7E2F-40C0-8EA8-E95EF79B583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3" name="AutoShape 13" descr="Story">
          <a:hlinkClick xmlns:r="http://schemas.openxmlformats.org/officeDocument/2006/relationships" r:id="rId4"/>
          <a:extLst>
            <a:ext uri="{FF2B5EF4-FFF2-40B4-BE49-F238E27FC236}">
              <a16:creationId xmlns:a16="http://schemas.microsoft.com/office/drawing/2014/main" id="{53152A84-442C-464A-9C28-D7DBB9F36881}"/>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4" name="AutoShape 14" descr="Story">
          <a:hlinkClick xmlns:r="http://schemas.openxmlformats.org/officeDocument/2006/relationships" r:id="rId4"/>
          <a:extLst>
            <a:ext uri="{FF2B5EF4-FFF2-40B4-BE49-F238E27FC236}">
              <a16:creationId xmlns:a16="http://schemas.microsoft.com/office/drawing/2014/main" id="{57488455-F72D-40E1-AB2C-20DFEA388ABF}"/>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5" name="AutoShape 4" descr="Bug">
          <a:hlinkClick xmlns:r="http://schemas.openxmlformats.org/officeDocument/2006/relationships" r:id="rId1"/>
          <a:extLst>
            <a:ext uri="{FF2B5EF4-FFF2-40B4-BE49-F238E27FC236}">
              <a16:creationId xmlns:a16="http://schemas.microsoft.com/office/drawing/2014/main" id="{21241B9F-233E-4334-98E5-CBBCA0063B9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6" name="AutoShape 6" descr="Bug">
          <a:hlinkClick xmlns:r="http://schemas.openxmlformats.org/officeDocument/2006/relationships" r:id="rId2"/>
          <a:extLst>
            <a:ext uri="{FF2B5EF4-FFF2-40B4-BE49-F238E27FC236}">
              <a16:creationId xmlns:a16="http://schemas.microsoft.com/office/drawing/2014/main" id="{859631B1-3750-4DDC-ABD6-14A9EBACE71C}"/>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7" name="AutoShape 7" descr="Story">
          <a:hlinkClick xmlns:r="http://schemas.openxmlformats.org/officeDocument/2006/relationships" r:id="rId3"/>
          <a:extLst>
            <a:ext uri="{FF2B5EF4-FFF2-40B4-BE49-F238E27FC236}">
              <a16:creationId xmlns:a16="http://schemas.microsoft.com/office/drawing/2014/main" id="{78AEB583-C8D0-4037-A842-2BB96D61AF5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8" name="AutoShape 8" descr="Story">
          <a:hlinkClick xmlns:r="http://schemas.openxmlformats.org/officeDocument/2006/relationships" r:id="rId4"/>
          <a:extLst>
            <a:ext uri="{FF2B5EF4-FFF2-40B4-BE49-F238E27FC236}">
              <a16:creationId xmlns:a16="http://schemas.microsoft.com/office/drawing/2014/main" id="{416CC46B-C6F3-49BA-A081-EE2F15FAF6A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59" name="AutoShape 9" descr="Story">
          <a:hlinkClick xmlns:r="http://schemas.openxmlformats.org/officeDocument/2006/relationships" r:id="rId5"/>
          <a:extLst>
            <a:ext uri="{FF2B5EF4-FFF2-40B4-BE49-F238E27FC236}">
              <a16:creationId xmlns:a16="http://schemas.microsoft.com/office/drawing/2014/main" id="{106A448C-89E4-41D5-B607-01A902780B60}"/>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0" name="AutoShape 10" descr="Story">
          <a:hlinkClick xmlns:r="http://schemas.openxmlformats.org/officeDocument/2006/relationships" r:id="rId6"/>
          <a:extLst>
            <a:ext uri="{FF2B5EF4-FFF2-40B4-BE49-F238E27FC236}">
              <a16:creationId xmlns:a16="http://schemas.microsoft.com/office/drawing/2014/main" id="{0051F77F-C61C-4189-8F63-E15C317F2C56}"/>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1" name="AutoShape 13" descr="Story">
          <a:hlinkClick xmlns:r="http://schemas.openxmlformats.org/officeDocument/2006/relationships" r:id="rId4"/>
          <a:extLst>
            <a:ext uri="{FF2B5EF4-FFF2-40B4-BE49-F238E27FC236}">
              <a16:creationId xmlns:a16="http://schemas.microsoft.com/office/drawing/2014/main" id="{F2615944-C0FF-4449-A14D-932DCAA62CA3}"/>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2" name="AutoShape 14" descr="Story">
          <a:hlinkClick xmlns:r="http://schemas.openxmlformats.org/officeDocument/2006/relationships" r:id="rId4"/>
          <a:extLst>
            <a:ext uri="{FF2B5EF4-FFF2-40B4-BE49-F238E27FC236}">
              <a16:creationId xmlns:a16="http://schemas.microsoft.com/office/drawing/2014/main" id="{BD2174D1-3DA8-4015-BCAF-4F8EC6BE8B94}"/>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3" name="AutoShape 4" descr="Bug">
          <a:hlinkClick xmlns:r="http://schemas.openxmlformats.org/officeDocument/2006/relationships" r:id="rId1"/>
          <a:extLst>
            <a:ext uri="{FF2B5EF4-FFF2-40B4-BE49-F238E27FC236}">
              <a16:creationId xmlns:a16="http://schemas.microsoft.com/office/drawing/2014/main" id="{E5903321-33FC-4A6B-8FF3-ACD82312F8F7}"/>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4" name="AutoShape 6" descr="Bug">
          <a:hlinkClick xmlns:r="http://schemas.openxmlformats.org/officeDocument/2006/relationships" r:id="rId2"/>
          <a:extLst>
            <a:ext uri="{FF2B5EF4-FFF2-40B4-BE49-F238E27FC236}">
              <a16:creationId xmlns:a16="http://schemas.microsoft.com/office/drawing/2014/main" id="{1C2C7D87-6B2E-4E88-860A-571869A86F9E}"/>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5" name="AutoShape 7" descr="Story">
          <a:hlinkClick xmlns:r="http://schemas.openxmlformats.org/officeDocument/2006/relationships" r:id="rId3"/>
          <a:extLst>
            <a:ext uri="{FF2B5EF4-FFF2-40B4-BE49-F238E27FC236}">
              <a16:creationId xmlns:a16="http://schemas.microsoft.com/office/drawing/2014/main" id="{8696F4B3-BE65-46E1-928B-D88036B52DCA}"/>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6" name="AutoShape 8" descr="Story">
          <a:hlinkClick xmlns:r="http://schemas.openxmlformats.org/officeDocument/2006/relationships" r:id="rId4"/>
          <a:extLst>
            <a:ext uri="{FF2B5EF4-FFF2-40B4-BE49-F238E27FC236}">
              <a16:creationId xmlns:a16="http://schemas.microsoft.com/office/drawing/2014/main" id="{A8B36E0F-7B30-44E9-AA61-89C72158C46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7" name="AutoShape 9" descr="Story">
          <a:hlinkClick xmlns:r="http://schemas.openxmlformats.org/officeDocument/2006/relationships" r:id="rId5"/>
          <a:extLst>
            <a:ext uri="{FF2B5EF4-FFF2-40B4-BE49-F238E27FC236}">
              <a16:creationId xmlns:a16="http://schemas.microsoft.com/office/drawing/2014/main" id="{A81F3442-3D30-4C5D-8FAD-289640BBEDFB}"/>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8" name="AutoShape 10" descr="Story">
          <a:hlinkClick xmlns:r="http://schemas.openxmlformats.org/officeDocument/2006/relationships" r:id="rId6"/>
          <a:extLst>
            <a:ext uri="{FF2B5EF4-FFF2-40B4-BE49-F238E27FC236}">
              <a16:creationId xmlns:a16="http://schemas.microsoft.com/office/drawing/2014/main" id="{E8AAA331-3F3E-46C1-96AC-8F19D3A7B649}"/>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857</xdr:row>
      <xdr:rowOff>0</xdr:rowOff>
    </xdr:from>
    <xdr:to>
      <xdr:col>1</xdr:col>
      <xdr:colOff>152400</xdr:colOff>
      <xdr:row>857</xdr:row>
      <xdr:rowOff>152400</xdr:rowOff>
    </xdr:to>
    <xdr:sp macro="" textlink="">
      <xdr:nvSpPr>
        <xdr:cNvPr id="1069" name="AutoShape 13" descr="Story">
          <a:hlinkClick xmlns:r="http://schemas.openxmlformats.org/officeDocument/2006/relationships" r:id="rId4"/>
          <a:extLst>
            <a:ext uri="{FF2B5EF4-FFF2-40B4-BE49-F238E27FC236}">
              <a16:creationId xmlns:a16="http://schemas.microsoft.com/office/drawing/2014/main" id="{B5DA1051-BB27-43FA-A7F6-EDED656131CD}"/>
            </a:ext>
          </a:extLst>
        </xdr:cNvPr>
        <xdr:cNvSpPr>
          <a:spLocks noChangeAspect="1" noChangeArrowheads="1"/>
        </xdr:cNvSpPr>
      </xdr:nvSpPr>
      <xdr:spPr bwMode="auto">
        <a:xfrm>
          <a:off x="1912620" y="1571701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1178</xdr:row>
      <xdr:rowOff>0</xdr:rowOff>
    </xdr:from>
    <xdr:to>
      <xdr:col>0</xdr:col>
      <xdr:colOff>152400</xdr:colOff>
      <xdr:row>1178</xdr:row>
      <xdr:rowOff>152400</xdr:rowOff>
    </xdr:to>
    <xdr:sp macro="" textlink="">
      <xdr:nvSpPr>
        <xdr:cNvPr id="271" name="AutoShape 1" descr="Story">
          <a:hlinkClick xmlns:r="http://schemas.openxmlformats.org/officeDocument/2006/relationships" r:id="rId13"/>
          <a:extLst>
            <a:ext uri="{FF2B5EF4-FFF2-40B4-BE49-F238E27FC236}">
              <a16:creationId xmlns:a16="http://schemas.microsoft.com/office/drawing/2014/main" id="{AA30E42A-00BD-49A2-A193-6AE5BA3BD82A}"/>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1176</xdr:row>
      <xdr:rowOff>0</xdr:rowOff>
    </xdr:from>
    <xdr:to>
      <xdr:col>0</xdr:col>
      <xdr:colOff>152400</xdr:colOff>
      <xdr:row>1176</xdr:row>
      <xdr:rowOff>152400</xdr:rowOff>
    </xdr:to>
    <xdr:sp macro="" textlink="">
      <xdr:nvSpPr>
        <xdr:cNvPr id="272" name="AutoShape 2" descr="Story">
          <a:hlinkClick xmlns:r="http://schemas.openxmlformats.org/officeDocument/2006/relationships" r:id="rId12"/>
          <a:extLst>
            <a:ext uri="{FF2B5EF4-FFF2-40B4-BE49-F238E27FC236}">
              <a16:creationId xmlns:a16="http://schemas.microsoft.com/office/drawing/2014/main" id="{936E6BA2-B263-4298-BAFB-1C2AFC1773BC}"/>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1175</xdr:row>
      <xdr:rowOff>0</xdr:rowOff>
    </xdr:from>
    <xdr:to>
      <xdr:col>0</xdr:col>
      <xdr:colOff>152400</xdr:colOff>
      <xdr:row>1175</xdr:row>
      <xdr:rowOff>152400</xdr:rowOff>
    </xdr:to>
    <xdr:sp macro="" textlink="">
      <xdr:nvSpPr>
        <xdr:cNvPr id="273" name="AutoShape 3" descr="Story">
          <a:hlinkClick xmlns:r="http://schemas.openxmlformats.org/officeDocument/2006/relationships" r:id="rId11"/>
          <a:extLst>
            <a:ext uri="{FF2B5EF4-FFF2-40B4-BE49-F238E27FC236}">
              <a16:creationId xmlns:a16="http://schemas.microsoft.com/office/drawing/2014/main" id="{C74ADD0C-B7DB-43F7-B9BB-9EC763AC7B4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1172</xdr:row>
      <xdr:rowOff>0</xdr:rowOff>
    </xdr:from>
    <xdr:to>
      <xdr:col>0</xdr:col>
      <xdr:colOff>152400</xdr:colOff>
      <xdr:row>1172</xdr:row>
      <xdr:rowOff>152400</xdr:rowOff>
    </xdr:to>
    <xdr:sp macro="" textlink="">
      <xdr:nvSpPr>
        <xdr:cNvPr id="275" name="AutoShape 4" descr="Bug">
          <a:hlinkClick xmlns:r="http://schemas.openxmlformats.org/officeDocument/2006/relationships" r:id="rId1"/>
          <a:extLst>
            <a:ext uri="{FF2B5EF4-FFF2-40B4-BE49-F238E27FC236}">
              <a16:creationId xmlns:a16="http://schemas.microsoft.com/office/drawing/2014/main" id="{AD6E357B-1349-45A2-B47D-0A34BAB0A30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1176</xdr:row>
      <xdr:rowOff>0</xdr:rowOff>
    </xdr:from>
    <xdr:to>
      <xdr:col>0</xdr:col>
      <xdr:colOff>152400</xdr:colOff>
      <xdr:row>1176</xdr:row>
      <xdr:rowOff>152400</xdr:rowOff>
    </xdr:to>
    <xdr:sp macro="" textlink="">
      <xdr:nvSpPr>
        <xdr:cNvPr id="276" name="AutoShape 5" descr="Story">
          <a:hlinkClick xmlns:r="http://schemas.openxmlformats.org/officeDocument/2006/relationships" r:id="rId14"/>
          <a:extLst>
            <a:ext uri="{FF2B5EF4-FFF2-40B4-BE49-F238E27FC236}">
              <a16:creationId xmlns:a16="http://schemas.microsoft.com/office/drawing/2014/main" id="{A20C65DF-D986-4A34-8253-1066EC5B5A7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1172</xdr:row>
      <xdr:rowOff>0</xdr:rowOff>
    </xdr:from>
    <xdr:to>
      <xdr:col>0</xdr:col>
      <xdr:colOff>152400</xdr:colOff>
      <xdr:row>1172</xdr:row>
      <xdr:rowOff>152400</xdr:rowOff>
    </xdr:to>
    <xdr:sp macro="" textlink="">
      <xdr:nvSpPr>
        <xdr:cNvPr id="277" name="AutoShape 6" descr="Bug">
          <a:hlinkClick xmlns:r="http://schemas.openxmlformats.org/officeDocument/2006/relationships" r:id="rId2"/>
          <a:extLst>
            <a:ext uri="{FF2B5EF4-FFF2-40B4-BE49-F238E27FC236}">
              <a16:creationId xmlns:a16="http://schemas.microsoft.com/office/drawing/2014/main" id="{4DDB24E3-35B3-472C-9424-63FD51FE0C2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1172</xdr:row>
      <xdr:rowOff>0</xdr:rowOff>
    </xdr:from>
    <xdr:to>
      <xdr:col>0</xdr:col>
      <xdr:colOff>152400</xdr:colOff>
      <xdr:row>1172</xdr:row>
      <xdr:rowOff>152400</xdr:rowOff>
    </xdr:to>
    <xdr:sp macro="" textlink="">
      <xdr:nvSpPr>
        <xdr:cNvPr id="335" name="AutoShape 7" descr="Story">
          <a:hlinkClick xmlns:r="http://schemas.openxmlformats.org/officeDocument/2006/relationships" r:id="rId3"/>
          <a:extLst>
            <a:ext uri="{FF2B5EF4-FFF2-40B4-BE49-F238E27FC236}">
              <a16:creationId xmlns:a16="http://schemas.microsoft.com/office/drawing/2014/main" id="{CD2BFAE7-1117-4786-A49E-79E37AD1F70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1172</xdr:row>
      <xdr:rowOff>0</xdr:rowOff>
    </xdr:from>
    <xdr:to>
      <xdr:col>0</xdr:col>
      <xdr:colOff>152400</xdr:colOff>
      <xdr:row>1172</xdr:row>
      <xdr:rowOff>152400</xdr:rowOff>
    </xdr:to>
    <xdr:sp macro="" textlink="">
      <xdr:nvSpPr>
        <xdr:cNvPr id="336" name="AutoShape 8" descr="Story">
          <a:hlinkClick xmlns:r="http://schemas.openxmlformats.org/officeDocument/2006/relationships" r:id="rId4"/>
          <a:extLst>
            <a:ext uri="{FF2B5EF4-FFF2-40B4-BE49-F238E27FC236}">
              <a16:creationId xmlns:a16="http://schemas.microsoft.com/office/drawing/2014/main" id="{CF8D513E-B6E0-4FDE-B7A8-7103F1169B2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1172</xdr:row>
      <xdr:rowOff>0</xdr:rowOff>
    </xdr:from>
    <xdr:to>
      <xdr:col>0</xdr:col>
      <xdr:colOff>152400</xdr:colOff>
      <xdr:row>1172</xdr:row>
      <xdr:rowOff>152400</xdr:rowOff>
    </xdr:to>
    <xdr:sp macro="" textlink="">
      <xdr:nvSpPr>
        <xdr:cNvPr id="337" name="AutoShape 9" descr="Story">
          <a:hlinkClick xmlns:r="http://schemas.openxmlformats.org/officeDocument/2006/relationships" r:id="rId5"/>
          <a:extLst>
            <a:ext uri="{FF2B5EF4-FFF2-40B4-BE49-F238E27FC236}">
              <a16:creationId xmlns:a16="http://schemas.microsoft.com/office/drawing/2014/main" id="{3CEDBF7B-9C00-4186-B56E-F005D91EE88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1173</xdr:row>
      <xdr:rowOff>0</xdr:rowOff>
    </xdr:from>
    <xdr:to>
      <xdr:col>0</xdr:col>
      <xdr:colOff>152400</xdr:colOff>
      <xdr:row>1173</xdr:row>
      <xdr:rowOff>152400</xdr:rowOff>
    </xdr:to>
    <xdr:sp macro="" textlink="">
      <xdr:nvSpPr>
        <xdr:cNvPr id="338" name="AutoShape 10" descr="Story">
          <a:hlinkClick xmlns:r="http://schemas.openxmlformats.org/officeDocument/2006/relationships" r:id="rId6"/>
          <a:extLst>
            <a:ext uri="{FF2B5EF4-FFF2-40B4-BE49-F238E27FC236}">
              <a16:creationId xmlns:a16="http://schemas.microsoft.com/office/drawing/2014/main" id="{BCAD6F09-0F88-4463-911A-52CDD52A508A}"/>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1176</xdr:row>
      <xdr:rowOff>0</xdr:rowOff>
    </xdr:from>
    <xdr:to>
      <xdr:col>0</xdr:col>
      <xdr:colOff>152400</xdr:colOff>
      <xdr:row>1176</xdr:row>
      <xdr:rowOff>152400</xdr:rowOff>
    </xdr:to>
    <xdr:sp macro="" textlink="">
      <xdr:nvSpPr>
        <xdr:cNvPr id="339" name="AutoShape 11" descr="Story">
          <a:hlinkClick xmlns:r="http://schemas.openxmlformats.org/officeDocument/2006/relationships" r:id="rId15"/>
          <a:extLst>
            <a:ext uri="{FF2B5EF4-FFF2-40B4-BE49-F238E27FC236}">
              <a16:creationId xmlns:a16="http://schemas.microsoft.com/office/drawing/2014/main" id="{60B62C95-3E48-43E3-84F4-A81157C0169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1175</xdr:row>
      <xdr:rowOff>0</xdr:rowOff>
    </xdr:from>
    <xdr:to>
      <xdr:col>0</xdr:col>
      <xdr:colOff>152400</xdr:colOff>
      <xdr:row>1175</xdr:row>
      <xdr:rowOff>152400</xdr:rowOff>
    </xdr:to>
    <xdr:sp macro="" textlink="">
      <xdr:nvSpPr>
        <xdr:cNvPr id="340" name="AutoShape 12" descr="Story">
          <a:hlinkClick xmlns:r="http://schemas.openxmlformats.org/officeDocument/2006/relationships" r:id="rId12"/>
          <a:extLst>
            <a:ext uri="{FF2B5EF4-FFF2-40B4-BE49-F238E27FC236}">
              <a16:creationId xmlns:a16="http://schemas.microsoft.com/office/drawing/2014/main" id="{2F1B3EF8-0BEA-4105-814B-41584B79490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1172</xdr:row>
      <xdr:rowOff>0</xdr:rowOff>
    </xdr:from>
    <xdr:to>
      <xdr:col>0</xdr:col>
      <xdr:colOff>152400</xdr:colOff>
      <xdr:row>1172</xdr:row>
      <xdr:rowOff>152400</xdr:rowOff>
    </xdr:to>
    <xdr:sp macro="" textlink="">
      <xdr:nvSpPr>
        <xdr:cNvPr id="341" name="AutoShape 13" descr="Story">
          <a:hlinkClick xmlns:r="http://schemas.openxmlformats.org/officeDocument/2006/relationships" r:id="rId4"/>
          <a:extLst>
            <a:ext uri="{FF2B5EF4-FFF2-40B4-BE49-F238E27FC236}">
              <a16:creationId xmlns:a16="http://schemas.microsoft.com/office/drawing/2014/main" id="{4379D424-235F-429B-B839-6EA2A3AF721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1173</xdr:row>
      <xdr:rowOff>0</xdr:rowOff>
    </xdr:from>
    <xdr:to>
      <xdr:col>0</xdr:col>
      <xdr:colOff>152400</xdr:colOff>
      <xdr:row>1173</xdr:row>
      <xdr:rowOff>152400</xdr:rowOff>
    </xdr:to>
    <xdr:sp macro="" textlink="">
      <xdr:nvSpPr>
        <xdr:cNvPr id="1070" name="AutoShape 14" descr="Story">
          <a:hlinkClick xmlns:r="http://schemas.openxmlformats.org/officeDocument/2006/relationships" r:id="rId4"/>
          <a:extLst>
            <a:ext uri="{FF2B5EF4-FFF2-40B4-BE49-F238E27FC236}">
              <a16:creationId xmlns:a16="http://schemas.microsoft.com/office/drawing/2014/main" id="{C5EDE7EB-9272-47D3-91EC-E3FB16B486EA}"/>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1176</xdr:row>
      <xdr:rowOff>0</xdr:rowOff>
    </xdr:from>
    <xdr:to>
      <xdr:col>0</xdr:col>
      <xdr:colOff>152400</xdr:colOff>
      <xdr:row>1176</xdr:row>
      <xdr:rowOff>152400</xdr:rowOff>
    </xdr:to>
    <xdr:sp macro="" textlink="">
      <xdr:nvSpPr>
        <xdr:cNvPr id="1071" name="AutoShape 15" descr="Story">
          <a:hlinkClick xmlns:r="http://schemas.openxmlformats.org/officeDocument/2006/relationships" r:id="rId4"/>
          <a:extLst>
            <a:ext uri="{FF2B5EF4-FFF2-40B4-BE49-F238E27FC236}">
              <a16:creationId xmlns:a16="http://schemas.microsoft.com/office/drawing/2014/main" id="{BA09FCD1-4227-4930-962A-6E006F1439A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1172</xdr:row>
      <xdr:rowOff>0</xdr:rowOff>
    </xdr:from>
    <xdr:ext cx="152400" cy="152400"/>
    <xdr:sp macro="" textlink="">
      <xdr:nvSpPr>
        <xdr:cNvPr id="1072" name="AutoShape 1" descr="Story">
          <a:hlinkClick xmlns:r="http://schemas.openxmlformats.org/officeDocument/2006/relationships" r:id="rId7"/>
          <a:extLst>
            <a:ext uri="{FF2B5EF4-FFF2-40B4-BE49-F238E27FC236}">
              <a16:creationId xmlns:a16="http://schemas.microsoft.com/office/drawing/2014/main" id="{EFB27DC9-760F-4609-B37D-4041B0F94BA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73" name="AutoShape 2" descr="Story">
          <a:hlinkClick xmlns:r="http://schemas.openxmlformats.org/officeDocument/2006/relationships" r:id="rId8"/>
          <a:extLst>
            <a:ext uri="{FF2B5EF4-FFF2-40B4-BE49-F238E27FC236}">
              <a16:creationId xmlns:a16="http://schemas.microsoft.com/office/drawing/2014/main" id="{5F514CB2-A800-48ED-973F-2535B1E3567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74" name="AutoShape 5" descr="Story">
          <a:hlinkClick xmlns:r="http://schemas.openxmlformats.org/officeDocument/2006/relationships" r:id="rId6"/>
          <a:extLst>
            <a:ext uri="{FF2B5EF4-FFF2-40B4-BE49-F238E27FC236}">
              <a16:creationId xmlns:a16="http://schemas.microsoft.com/office/drawing/2014/main" id="{D7A312FB-FE98-4D52-9E50-DBD1ED4ECEC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75" name="AutoShape 1" descr="Sub-task">
          <a:hlinkClick xmlns:r="http://schemas.openxmlformats.org/officeDocument/2006/relationships" r:id="rId9"/>
          <a:extLst>
            <a:ext uri="{FF2B5EF4-FFF2-40B4-BE49-F238E27FC236}">
              <a16:creationId xmlns:a16="http://schemas.microsoft.com/office/drawing/2014/main" id="{0C30A4A3-6619-4295-8798-4000E1E823B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76" name="AutoShape 2" descr="Sub-task">
          <a:hlinkClick xmlns:r="http://schemas.openxmlformats.org/officeDocument/2006/relationships" r:id="rId10"/>
          <a:extLst>
            <a:ext uri="{FF2B5EF4-FFF2-40B4-BE49-F238E27FC236}">
              <a16:creationId xmlns:a16="http://schemas.microsoft.com/office/drawing/2014/main" id="{7D150AEA-B8B9-46B4-BB4D-10CF38FA31B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77" name="AutoShape 3" descr="Story">
          <a:hlinkClick xmlns:r="http://schemas.openxmlformats.org/officeDocument/2006/relationships" r:id="rId11"/>
          <a:extLst>
            <a:ext uri="{FF2B5EF4-FFF2-40B4-BE49-F238E27FC236}">
              <a16:creationId xmlns:a16="http://schemas.microsoft.com/office/drawing/2014/main" id="{52CBB2BF-101B-4AD1-979A-CD76BFF5C1A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78" name="AutoShape 12" descr="Story">
          <a:hlinkClick xmlns:r="http://schemas.openxmlformats.org/officeDocument/2006/relationships" r:id="rId12"/>
          <a:extLst>
            <a:ext uri="{FF2B5EF4-FFF2-40B4-BE49-F238E27FC236}">
              <a16:creationId xmlns:a16="http://schemas.microsoft.com/office/drawing/2014/main" id="{54531BF8-8C2F-4535-A6CB-C85A5B6BDF3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79" name="AutoShape 1" descr="Story">
          <a:hlinkClick xmlns:r="http://schemas.openxmlformats.org/officeDocument/2006/relationships" r:id="rId13"/>
          <a:extLst>
            <a:ext uri="{FF2B5EF4-FFF2-40B4-BE49-F238E27FC236}">
              <a16:creationId xmlns:a16="http://schemas.microsoft.com/office/drawing/2014/main" id="{931E5513-8D7A-4BBF-8B23-A7CDAD2AFD5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80" name="AutoShape 1" descr="Story">
          <a:hlinkClick xmlns:r="http://schemas.openxmlformats.org/officeDocument/2006/relationships" r:id="rId13"/>
          <a:extLst>
            <a:ext uri="{FF2B5EF4-FFF2-40B4-BE49-F238E27FC236}">
              <a16:creationId xmlns:a16="http://schemas.microsoft.com/office/drawing/2014/main" id="{85B5A02B-B84A-42B2-984C-E0C69FC0478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81" name="AutoShape 3" descr="Story">
          <a:hlinkClick xmlns:r="http://schemas.openxmlformats.org/officeDocument/2006/relationships" r:id="rId4"/>
          <a:extLst>
            <a:ext uri="{FF2B5EF4-FFF2-40B4-BE49-F238E27FC236}">
              <a16:creationId xmlns:a16="http://schemas.microsoft.com/office/drawing/2014/main" id="{EE84168B-AC82-4D96-A775-9D5E434E74E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82" name="AutoShape 4" descr="Story">
          <a:hlinkClick xmlns:r="http://schemas.openxmlformats.org/officeDocument/2006/relationships" r:id="rId5"/>
          <a:extLst>
            <a:ext uri="{FF2B5EF4-FFF2-40B4-BE49-F238E27FC236}">
              <a16:creationId xmlns:a16="http://schemas.microsoft.com/office/drawing/2014/main" id="{939216C0-04CD-4E5C-A1CC-F66D6B81D00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83" name="AutoShape 1" descr="Story">
          <a:hlinkClick xmlns:r="http://schemas.openxmlformats.org/officeDocument/2006/relationships" r:id="rId7"/>
          <a:extLst>
            <a:ext uri="{FF2B5EF4-FFF2-40B4-BE49-F238E27FC236}">
              <a16:creationId xmlns:a16="http://schemas.microsoft.com/office/drawing/2014/main" id="{43F9A24B-E457-49DD-B3FC-C86D41B11CB2}"/>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84" name="AutoShape 2" descr="Story">
          <a:hlinkClick xmlns:r="http://schemas.openxmlformats.org/officeDocument/2006/relationships" r:id="rId8"/>
          <a:extLst>
            <a:ext uri="{FF2B5EF4-FFF2-40B4-BE49-F238E27FC236}">
              <a16:creationId xmlns:a16="http://schemas.microsoft.com/office/drawing/2014/main" id="{EAC58408-96CA-4D80-A379-3EF3604A7364}"/>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85" name="AutoShape 3" descr="Story">
          <a:hlinkClick xmlns:r="http://schemas.openxmlformats.org/officeDocument/2006/relationships" r:id="rId4"/>
          <a:extLst>
            <a:ext uri="{FF2B5EF4-FFF2-40B4-BE49-F238E27FC236}">
              <a16:creationId xmlns:a16="http://schemas.microsoft.com/office/drawing/2014/main" id="{28E445B7-4D36-4EB9-AF26-04B3D25D281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86" name="AutoShape 4" descr="Story">
          <a:hlinkClick xmlns:r="http://schemas.openxmlformats.org/officeDocument/2006/relationships" r:id="rId5"/>
          <a:extLst>
            <a:ext uri="{FF2B5EF4-FFF2-40B4-BE49-F238E27FC236}">
              <a16:creationId xmlns:a16="http://schemas.microsoft.com/office/drawing/2014/main" id="{23ED9ECD-0714-438F-BB14-A887157FB6E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87" name="AutoShape 5" descr="Story">
          <a:hlinkClick xmlns:r="http://schemas.openxmlformats.org/officeDocument/2006/relationships" r:id="rId6"/>
          <a:extLst>
            <a:ext uri="{FF2B5EF4-FFF2-40B4-BE49-F238E27FC236}">
              <a16:creationId xmlns:a16="http://schemas.microsoft.com/office/drawing/2014/main" id="{E71263A3-7860-44C6-82DA-644AFBA7A4B6}"/>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88" name="AutoShape 1" descr="Sub-task">
          <a:hlinkClick xmlns:r="http://schemas.openxmlformats.org/officeDocument/2006/relationships" r:id="rId9"/>
          <a:extLst>
            <a:ext uri="{FF2B5EF4-FFF2-40B4-BE49-F238E27FC236}">
              <a16:creationId xmlns:a16="http://schemas.microsoft.com/office/drawing/2014/main" id="{3C274BA9-73ED-4C79-9E6C-59BFFE650518}"/>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89" name="AutoShape 2" descr="Sub-task">
          <a:hlinkClick xmlns:r="http://schemas.openxmlformats.org/officeDocument/2006/relationships" r:id="rId10"/>
          <a:extLst>
            <a:ext uri="{FF2B5EF4-FFF2-40B4-BE49-F238E27FC236}">
              <a16:creationId xmlns:a16="http://schemas.microsoft.com/office/drawing/2014/main" id="{B1FA2A0A-E17A-49E4-B071-4284C2AC1B5F}"/>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90" name="AutoShape 7" descr="Story">
          <a:hlinkClick xmlns:r="http://schemas.openxmlformats.org/officeDocument/2006/relationships" r:id="rId3"/>
          <a:extLst>
            <a:ext uri="{FF2B5EF4-FFF2-40B4-BE49-F238E27FC236}">
              <a16:creationId xmlns:a16="http://schemas.microsoft.com/office/drawing/2014/main" id="{C4340611-0C96-40F6-A9AE-3843E22C17F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91" name="AutoShape 3" descr="Story">
          <a:hlinkClick xmlns:r="http://schemas.openxmlformats.org/officeDocument/2006/relationships" r:id="rId11"/>
          <a:extLst>
            <a:ext uri="{FF2B5EF4-FFF2-40B4-BE49-F238E27FC236}">
              <a16:creationId xmlns:a16="http://schemas.microsoft.com/office/drawing/2014/main" id="{3FF5BAF5-7DF2-41B0-9268-F6FFD896C05F}"/>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92" name="AutoShape 12" descr="Story">
          <a:hlinkClick xmlns:r="http://schemas.openxmlformats.org/officeDocument/2006/relationships" r:id="rId12"/>
          <a:extLst>
            <a:ext uri="{FF2B5EF4-FFF2-40B4-BE49-F238E27FC236}">
              <a16:creationId xmlns:a16="http://schemas.microsoft.com/office/drawing/2014/main" id="{6E606477-D212-4171-B7E0-E4E061B239DD}"/>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93" name="AutoShape 1" descr="Story">
          <a:hlinkClick xmlns:r="http://schemas.openxmlformats.org/officeDocument/2006/relationships" r:id="rId13"/>
          <a:extLst>
            <a:ext uri="{FF2B5EF4-FFF2-40B4-BE49-F238E27FC236}">
              <a16:creationId xmlns:a16="http://schemas.microsoft.com/office/drawing/2014/main" id="{263E20B6-4438-466A-9E86-D1DC7095E408}"/>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94" name="AutoShape 1" descr="Story">
          <a:hlinkClick xmlns:r="http://schemas.openxmlformats.org/officeDocument/2006/relationships" r:id="rId13"/>
          <a:extLst>
            <a:ext uri="{FF2B5EF4-FFF2-40B4-BE49-F238E27FC236}">
              <a16:creationId xmlns:a16="http://schemas.microsoft.com/office/drawing/2014/main" id="{650DE785-570C-4277-BCE6-052C42DFD092}"/>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95" name="AutoShape 3" descr="Story">
          <a:hlinkClick xmlns:r="http://schemas.openxmlformats.org/officeDocument/2006/relationships" r:id="rId4"/>
          <a:extLst>
            <a:ext uri="{FF2B5EF4-FFF2-40B4-BE49-F238E27FC236}">
              <a16:creationId xmlns:a16="http://schemas.microsoft.com/office/drawing/2014/main" id="{A2C93817-EB0E-4F0E-A034-100DC4BD3CE6}"/>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96" name="AutoShape 4" descr="Story">
          <a:hlinkClick xmlns:r="http://schemas.openxmlformats.org/officeDocument/2006/relationships" r:id="rId5"/>
          <a:extLst>
            <a:ext uri="{FF2B5EF4-FFF2-40B4-BE49-F238E27FC236}">
              <a16:creationId xmlns:a16="http://schemas.microsoft.com/office/drawing/2014/main" id="{CD1641A3-CFEB-4032-8875-B1093D15AB9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1175</xdr:row>
      <xdr:rowOff>0</xdr:rowOff>
    </xdr:from>
    <xdr:ext cx="152400" cy="152400"/>
    <xdr:sp macro="" textlink="">
      <xdr:nvSpPr>
        <xdr:cNvPr id="1097" name="AutoShape 7" descr="Story">
          <a:hlinkClick xmlns:r="http://schemas.openxmlformats.org/officeDocument/2006/relationships" r:id="rId3"/>
          <a:extLst>
            <a:ext uri="{FF2B5EF4-FFF2-40B4-BE49-F238E27FC236}">
              <a16:creationId xmlns:a16="http://schemas.microsoft.com/office/drawing/2014/main" id="{C6E404EA-A683-4E7A-99E8-994C1744AE7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98" name="AutoShape 8" descr="Story">
          <a:hlinkClick xmlns:r="http://schemas.openxmlformats.org/officeDocument/2006/relationships" r:id="rId4"/>
          <a:extLst>
            <a:ext uri="{FF2B5EF4-FFF2-40B4-BE49-F238E27FC236}">
              <a16:creationId xmlns:a16="http://schemas.microsoft.com/office/drawing/2014/main" id="{CC3F3670-4FBA-4D9A-A13F-CF8DF3EA179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1172</xdr:row>
      <xdr:rowOff>0</xdr:rowOff>
    </xdr:from>
    <xdr:ext cx="152400" cy="152400"/>
    <xdr:sp macro="" textlink="">
      <xdr:nvSpPr>
        <xdr:cNvPr id="1099" name="AutoShape 8" descr="Story">
          <a:hlinkClick xmlns:r="http://schemas.openxmlformats.org/officeDocument/2006/relationships" r:id="rId4"/>
          <a:extLst>
            <a:ext uri="{FF2B5EF4-FFF2-40B4-BE49-F238E27FC236}">
              <a16:creationId xmlns:a16="http://schemas.microsoft.com/office/drawing/2014/main" id="{526BC313-4B42-4DF6-997A-42DE445E2E8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1186</xdr:row>
      <xdr:rowOff>0</xdr:rowOff>
    </xdr:from>
    <xdr:to>
      <xdr:col>0</xdr:col>
      <xdr:colOff>152400</xdr:colOff>
      <xdr:row>1186</xdr:row>
      <xdr:rowOff>152400</xdr:rowOff>
    </xdr:to>
    <xdr:sp macro="" textlink="">
      <xdr:nvSpPr>
        <xdr:cNvPr id="1100" name="AutoShape 1" descr="Story">
          <a:hlinkClick xmlns:r="http://schemas.openxmlformats.org/officeDocument/2006/relationships" r:id="rId13"/>
          <a:extLst>
            <a:ext uri="{FF2B5EF4-FFF2-40B4-BE49-F238E27FC236}">
              <a16:creationId xmlns:a16="http://schemas.microsoft.com/office/drawing/2014/main" id="{FF7E2841-96D1-4732-91E4-C2005CE8ADF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1184</xdr:row>
      <xdr:rowOff>0</xdr:rowOff>
    </xdr:from>
    <xdr:to>
      <xdr:col>0</xdr:col>
      <xdr:colOff>152400</xdr:colOff>
      <xdr:row>1184</xdr:row>
      <xdr:rowOff>152400</xdr:rowOff>
    </xdr:to>
    <xdr:sp macro="" textlink="">
      <xdr:nvSpPr>
        <xdr:cNvPr id="1101" name="AutoShape 2" descr="Story">
          <a:hlinkClick xmlns:r="http://schemas.openxmlformats.org/officeDocument/2006/relationships" r:id="rId12"/>
          <a:extLst>
            <a:ext uri="{FF2B5EF4-FFF2-40B4-BE49-F238E27FC236}">
              <a16:creationId xmlns:a16="http://schemas.microsoft.com/office/drawing/2014/main" id="{3C7867E8-CFE8-4DA1-BB08-143310C19A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1183</xdr:row>
      <xdr:rowOff>0</xdr:rowOff>
    </xdr:from>
    <xdr:to>
      <xdr:col>0</xdr:col>
      <xdr:colOff>152400</xdr:colOff>
      <xdr:row>1183</xdr:row>
      <xdr:rowOff>152400</xdr:rowOff>
    </xdr:to>
    <xdr:sp macro="" textlink="">
      <xdr:nvSpPr>
        <xdr:cNvPr id="1102" name="AutoShape 3" descr="Story">
          <a:hlinkClick xmlns:r="http://schemas.openxmlformats.org/officeDocument/2006/relationships" r:id="rId11"/>
          <a:extLst>
            <a:ext uri="{FF2B5EF4-FFF2-40B4-BE49-F238E27FC236}">
              <a16:creationId xmlns:a16="http://schemas.microsoft.com/office/drawing/2014/main" id="{4AEED071-4469-4661-B684-E75EB16BFFD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1180</xdr:row>
      <xdr:rowOff>0</xdr:rowOff>
    </xdr:from>
    <xdr:to>
      <xdr:col>0</xdr:col>
      <xdr:colOff>152400</xdr:colOff>
      <xdr:row>1180</xdr:row>
      <xdr:rowOff>152400</xdr:rowOff>
    </xdr:to>
    <xdr:sp macro="" textlink="">
      <xdr:nvSpPr>
        <xdr:cNvPr id="1103" name="AutoShape 4" descr="Bug">
          <a:hlinkClick xmlns:r="http://schemas.openxmlformats.org/officeDocument/2006/relationships" r:id="rId1"/>
          <a:extLst>
            <a:ext uri="{FF2B5EF4-FFF2-40B4-BE49-F238E27FC236}">
              <a16:creationId xmlns:a16="http://schemas.microsoft.com/office/drawing/2014/main" id="{25359DA1-614D-4BA1-A426-A2FD94542A4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1184</xdr:row>
      <xdr:rowOff>0</xdr:rowOff>
    </xdr:from>
    <xdr:to>
      <xdr:col>0</xdr:col>
      <xdr:colOff>152400</xdr:colOff>
      <xdr:row>1184</xdr:row>
      <xdr:rowOff>152400</xdr:rowOff>
    </xdr:to>
    <xdr:sp macro="" textlink="">
      <xdr:nvSpPr>
        <xdr:cNvPr id="1104" name="AutoShape 5" descr="Story">
          <a:hlinkClick xmlns:r="http://schemas.openxmlformats.org/officeDocument/2006/relationships" r:id="rId14"/>
          <a:extLst>
            <a:ext uri="{FF2B5EF4-FFF2-40B4-BE49-F238E27FC236}">
              <a16:creationId xmlns:a16="http://schemas.microsoft.com/office/drawing/2014/main" id="{550C99A6-D150-43B5-B844-6D582104FC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1180</xdr:row>
      <xdr:rowOff>0</xdr:rowOff>
    </xdr:from>
    <xdr:to>
      <xdr:col>0</xdr:col>
      <xdr:colOff>152400</xdr:colOff>
      <xdr:row>1180</xdr:row>
      <xdr:rowOff>152400</xdr:rowOff>
    </xdr:to>
    <xdr:sp macro="" textlink="">
      <xdr:nvSpPr>
        <xdr:cNvPr id="1105" name="AutoShape 6" descr="Bug">
          <a:hlinkClick xmlns:r="http://schemas.openxmlformats.org/officeDocument/2006/relationships" r:id="rId2"/>
          <a:extLst>
            <a:ext uri="{FF2B5EF4-FFF2-40B4-BE49-F238E27FC236}">
              <a16:creationId xmlns:a16="http://schemas.microsoft.com/office/drawing/2014/main" id="{A6E3B6C5-5FB5-43C4-89D0-3AA5F219A9A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1180</xdr:row>
      <xdr:rowOff>0</xdr:rowOff>
    </xdr:from>
    <xdr:to>
      <xdr:col>0</xdr:col>
      <xdr:colOff>152400</xdr:colOff>
      <xdr:row>1180</xdr:row>
      <xdr:rowOff>152400</xdr:rowOff>
    </xdr:to>
    <xdr:sp macro="" textlink="">
      <xdr:nvSpPr>
        <xdr:cNvPr id="1106" name="AutoShape 7" descr="Story">
          <a:hlinkClick xmlns:r="http://schemas.openxmlformats.org/officeDocument/2006/relationships" r:id="rId3"/>
          <a:extLst>
            <a:ext uri="{FF2B5EF4-FFF2-40B4-BE49-F238E27FC236}">
              <a16:creationId xmlns:a16="http://schemas.microsoft.com/office/drawing/2014/main" id="{C649D362-92D5-4CAA-BA0E-35DEF6510C9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1180</xdr:row>
      <xdr:rowOff>0</xdr:rowOff>
    </xdr:from>
    <xdr:to>
      <xdr:col>0</xdr:col>
      <xdr:colOff>152400</xdr:colOff>
      <xdr:row>1180</xdr:row>
      <xdr:rowOff>152400</xdr:rowOff>
    </xdr:to>
    <xdr:sp macro="" textlink="">
      <xdr:nvSpPr>
        <xdr:cNvPr id="1107" name="AutoShape 8" descr="Story">
          <a:hlinkClick xmlns:r="http://schemas.openxmlformats.org/officeDocument/2006/relationships" r:id="rId4"/>
          <a:extLst>
            <a:ext uri="{FF2B5EF4-FFF2-40B4-BE49-F238E27FC236}">
              <a16:creationId xmlns:a16="http://schemas.microsoft.com/office/drawing/2014/main" id="{7CC2DE43-7F9F-4760-941F-F5D62BA1E5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1180</xdr:row>
      <xdr:rowOff>0</xdr:rowOff>
    </xdr:from>
    <xdr:to>
      <xdr:col>0</xdr:col>
      <xdr:colOff>152400</xdr:colOff>
      <xdr:row>1180</xdr:row>
      <xdr:rowOff>152400</xdr:rowOff>
    </xdr:to>
    <xdr:sp macro="" textlink="">
      <xdr:nvSpPr>
        <xdr:cNvPr id="1108" name="AutoShape 9" descr="Story">
          <a:hlinkClick xmlns:r="http://schemas.openxmlformats.org/officeDocument/2006/relationships" r:id="rId5"/>
          <a:extLst>
            <a:ext uri="{FF2B5EF4-FFF2-40B4-BE49-F238E27FC236}">
              <a16:creationId xmlns:a16="http://schemas.microsoft.com/office/drawing/2014/main" id="{20C01035-30EE-449D-8439-522E00AE57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1181</xdr:row>
      <xdr:rowOff>0</xdr:rowOff>
    </xdr:from>
    <xdr:to>
      <xdr:col>0</xdr:col>
      <xdr:colOff>152400</xdr:colOff>
      <xdr:row>1181</xdr:row>
      <xdr:rowOff>152400</xdr:rowOff>
    </xdr:to>
    <xdr:sp macro="" textlink="">
      <xdr:nvSpPr>
        <xdr:cNvPr id="1109" name="AutoShape 10" descr="Story">
          <a:hlinkClick xmlns:r="http://schemas.openxmlformats.org/officeDocument/2006/relationships" r:id="rId6"/>
          <a:extLst>
            <a:ext uri="{FF2B5EF4-FFF2-40B4-BE49-F238E27FC236}">
              <a16:creationId xmlns:a16="http://schemas.microsoft.com/office/drawing/2014/main" id="{999F0CF8-B90D-4959-A61A-AFC2678A5A9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1184</xdr:row>
      <xdr:rowOff>0</xdr:rowOff>
    </xdr:from>
    <xdr:to>
      <xdr:col>0</xdr:col>
      <xdr:colOff>152400</xdr:colOff>
      <xdr:row>1184</xdr:row>
      <xdr:rowOff>152400</xdr:rowOff>
    </xdr:to>
    <xdr:sp macro="" textlink="">
      <xdr:nvSpPr>
        <xdr:cNvPr id="1110" name="AutoShape 11" descr="Story">
          <a:hlinkClick xmlns:r="http://schemas.openxmlformats.org/officeDocument/2006/relationships" r:id="rId15"/>
          <a:extLst>
            <a:ext uri="{FF2B5EF4-FFF2-40B4-BE49-F238E27FC236}">
              <a16:creationId xmlns:a16="http://schemas.microsoft.com/office/drawing/2014/main" id="{337FE887-584E-49A9-8B40-6EEB208E9CB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1183</xdr:row>
      <xdr:rowOff>0</xdr:rowOff>
    </xdr:from>
    <xdr:to>
      <xdr:col>0</xdr:col>
      <xdr:colOff>152400</xdr:colOff>
      <xdr:row>1183</xdr:row>
      <xdr:rowOff>152400</xdr:rowOff>
    </xdr:to>
    <xdr:sp macro="" textlink="">
      <xdr:nvSpPr>
        <xdr:cNvPr id="1111" name="AutoShape 12" descr="Story">
          <a:hlinkClick xmlns:r="http://schemas.openxmlformats.org/officeDocument/2006/relationships" r:id="rId12"/>
          <a:extLst>
            <a:ext uri="{FF2B5EF4-FFF2-40B4-BE49-F238E27FC236}">
              <a16:creationId xmlns:a16="http://schemas.microsoft.com/office/drawing/2014/main" id="{57EE2BCA-18B3-4E19-84F0-212FF9C088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1180</xdr:row>
      <xdr:rowOff>0</xdr:rowOff>
    </xdr:from>
    <xdr:to>
      <xdr:col>0</xdr:col>
      <xdr:colOff>152400</xdr:colOff>
      <xdr:row>1180</xdr:row>
      <xdr:rowOff>152400</xdr:rowOff>
    </xdr:to>
    <xdr:sp macro="" textlink="">
      <xdr:nvSpPr>
        <xdr:cNvPr id="1112" name="AutoShape 13" descr="Story">
          <a:hlinkClick xmlns:r="http://schemas.openxmlformats.org/officeDocument/2006/relationships" r:id="rId4"/>
          <a:extLst>
            <a:ext uri="{FF2B5EF4-FFF2-40B4-BE49-F238E27FC236}">
              <a16:creationId xmlns:a16="http://schemas.microsoft.com/office/drawing/2014/main" id="{4F548B53-B774-428F-B38D-B8464EAD03A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1181</xdr:row>
      <xdr:rowOff>0</xdr:rowOff>
    </xdr:from>
    <xdr:to>
      <xdr:col>0</xdr:col>
      <xdr:colOff>152400</xdr:colOff>
      <xdr:row>1181</xdr:row>
      <xdr:rowOff>152400</xdr:rowOff>
    </xdr:to>
    <xdr:sp macro="" textlink="">
      <xdr:nvSpPr>
        <xdr:cNvPr id="1113" name="AutoShape 14" descr="Story">
          <a:hlinkClick xmlns:r="http://schemas.openxmlformats.org/officeDocument/2006/relationships" r:id="rId4"/>
          <a:extLst>
            <a:ext uri="{FF2B5EF4-FFF2-40B4-BE49-F238E27FC236}">
              <a16:creationId xmlns:a16="http://schemas.microsoft.com/office/drawing/2014/main" id="{2E52C0AD-1568-4974-93EC-C6A70C0AADF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1184</xdr:row>
      <xdr:rowOff>0</xdr:rowOff>
    </xdr:from>
    <xdr:to>
      <xdr:col>0</xdr:col>
      <xdr:colOff>152400</xdr:colOff>
      <xdr:row>1184</xdr:row>
      <xdr:rowOff>152400</xdr:rowOff>
    </xdr:to>
    <xdr:sp macro="" textlink="">
      <xdr:nvSpPr>
        <xdr:cNvPr id="1114" name="AutoShape 15" descr="Story">
          <a:hlinkClick xmlns:r="http://schemas.openxmlformats.org/officeDocument/2006/relationships" r:id="rId4"/>
          <a:extLst>
            <a:ext uri="{FF2B5EF4-FFF2-40B4-BE49-F238E27FC236}">
              <a16:creationId xmlns:a16="http://schemas.microsoft.com/office/drawing/2014/main" id="{C0B956B5-79AE-4104-B48B-BE64DE0B83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1180</xdr:row>
      <xdr:rowOff>0</xdr:rowOff>
    </xdr:from>
    <xdr:ext cx="152400" cy="152400"/>
    <xdr:sp macro="" textlink="">
      <xdr:nvSpPr>
        <xdr:cNvPr id="1115" name="AutoShape 1" descr="Story">
          <a:hlinkClick xmlns:r="http://schemas.openxmlformats.org/officeDocument/2006/relationships" r:id="rId7"/>
          <a:extLst>
            <a:ext uri="{FF2B5EF4-FFF2-40B4-BE49-F238E27FC236}">
              <a16:creationId xmlns:a16="http://schemas.microsoft.com/office/drawing/2014/main" id="{D4B5DAE0-77D3-4021-BFE5-838B53D24D7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16" name="AutoShape 2" descr="Story">
          <a:hlinkClick xmlns:r="http://schemas.openxmlformats.org/officeDocument/2006/relationships" r:id="rId8"/>
          <a:extLst>
            <a:ext uri="{FF2B5EF4-FFF2-40B4-BE49-F238E27FC236}">
              <a16:creationId xmlns:a16="http://schemas.microsoft.com/office/drawing/2014/main" id="{8463F3BC-F107-41A4-B21C-3E1CCABEB1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17" name="AutoShape 5" descr="Story">
          <a:hlinkClick xmlns:r="http://schemas.openxmlformats.org/officeDocument/2006/relationships" r:id="rId6"/>
          <a:extLst>
            <a:ext uri="{FF2B5EF4-FFF2-40B4-BE49-F238E27FC236}">
              <a16:creationId xmlns:a16="http://schemas.microsoft.com/office/drawing/2014/main" id="{9F169570-147E-4313-B8EB-B96A6580702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18" name="AutoShape 1" descr="Sub-task">
          <a:hlinkClick xmlns:r="http://schemas.openxmlformats.org/officeDocument/2006/relationships" r:id="rId9"/>
          <a:extLst>
            <a:ext uri="{FF2B5EF4-FFF2-40B4-BE49-F238E27FC236}">
              <a16:creationId xmlns:a16="http://schemas.microsoft.com/office/drawing/2014/main" id="{E8E11526-9EBB-4E5A-A5F2-CAB87AA042B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19" name="AutoShape 2" descr="Sub-task">
          <a:hlinkClick xmlns:r="http://schemas.openxmlformats.org/officeDocument/2006/relationships" r:id="rId10"/>
          <a:extLst>
            <a:ext uri="{FF2B5EF4-FFF2-40B4-BE49-F238E27FC236}">
              <a16:creationId xmlns:a16="http://schemas.microsoft.com/office/drawing/2014/main" id="{CECCD234-7D42-412E-A12A-FD156EAA113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0" name="AutoShape 3" descr="Story">
          <a:hlinkClick xmlns:r="http://schemas.openxmlformats.org/officeDocument/2006/relationships" r:id="rId11"/>
          <a:extLst>
            <a:ext uri="{FF2B5EF4-FFF2-40B4-BE49-F238E27FC236}">
              <a16:creationId xmlns:a16="http://schemas.microsoft.com/office/drawing/2014/main" id="{96152451-90EB-4AC7-84F9-C80964B8998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1" name="AutoShape 12" descr="Story">
          <a:hlinkClick xmlns:r="http://schemas.openxmlformats.org/officeDocument/2006/relationships" r:id="rId12"/>
          <a:extLst>
            <a:ext uri="{FF2B5EF4-FFF2-40B4-BE49-F238E27FC236}">
              <a16:creationId xmlns:a16="http://schemas.microsoft.com/office/drawing/2014/main" id="{888B20EE-AED6-4907-B193-06523DA16B9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2" name="AutoShape 1" descr="Story">
          <a:hlinkClick xmlns:r="http://schemas.openxmlformats.org/officeDocument/2006/relationships" r:id="rId13"/>
          <a:extLst>
            <a:ext uri="{FF2B5EF4-FFF2-40B4-BE49-F238E27FC236}">
              <a16:creationId xmlns:a16="http://schemas.microsoft.com/office/drawing/2014/main" id="{107DC135-1451-4BE5-80E5-375B69B985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3" name="AutoShape 1" descr="Story">
          <a:hlinkClick xmlns:r="http://schemas.openxmlformats.org/officeDocument/2006/relationships" r:id="rId13"/>
          <a:extLst>
            <a:ext uri="{FF2B5EF4-FFF2-40B4-BE49-F238E27FC236}">
              <a16:creationId xmlns:a16="http://schemas.microsoft.com/office/drawing/2014/main" id="{09DD61E0-0070-4C9F-A502-5B0720BC6F2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4" name="AutoShape 3" descr="Story">
          <a:hlinkClick xmlns:r="http://schemas.openxmlformats.org/officeDocument/2006/relationships" r:id="rId4"/>
          <a:extLst>
            <a:ext uri="{FF2B5EF4-FFF2-40B4-BE49-F238E27FC236}">
              <a16:creationId xmlns:a16="http://schemas.microsoft.com/office/drawing/2014/main" id="{AE634911-5095-4808-BBAF-33DF751E921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5" name="AutoShape 4" descr="Story">
          <a:hlinkClick xmlns:r="http://schemas.openxmlformats.org/officeDocument/2006/relationships" r:id="rId5"/>
          <a:extLst>
            <a:ext uri="{FF2B5EF4-FFF2-40B4-BE49-F238E27FC236}">
              <a16:creationId xmlns:a16="http://schemas.microsoft.com/office/drawing/2014/main" id="{3B84632E-8E63-453D-91E1-654ED0D465C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26" name="AutoShape 1" descr="Story">
          <a:hlinkClick xmlns:r="http://schemas.openxmlformats.org/officeDocument/2006/relationships" r:id="rId7"/>
          <a:extLst>
            <a:ext uri="{FF2B5EF4-FFF2-40B4-BE49-F238E27FC236}">
              <a16:creationId xmlns:a16="http://schemas.microsoft.com/office/drawing/2014/main" id="{69F4603F-F1BD-455F-AEEF-91160C9723C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27" name="AutoShape 2" descr="Story">
          <a:hlinkClick xmlns:r="http://schemas.openxmlformats.org/officeDocument/2006/relationships" r:id="rId8"/>
          <a:extLst>
            <a:ext uri="{FF2B5EF4-FFF2-40B4-BE49-F238E27FC236}">
              <a16:creationId xmlns:a16="http://schemas.microsoft.com/office/drawing/2014/main" id="{2BAA131B-1CD1-4AB6-8A56-BFEA4AF2AEE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8" name="AutoShape 3" descr="Story">
          <a:hlinkClick xmlns:r="http://schemas.openxmlformats.org/officeDocument/2006/relationships" r:id="rId4"/>
          <a:extLst>
            <a:ext uri="{FF2B5EF4-FFF2-40B4-BE49-F238E27FC236}">
              <a16:creationId xmlns:a16="http://schemas.microsoft.com/office/drawing/2014/main" id="{42980659-3773-4C2B-B0B5-FFEB7DA8BA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29" name="AutoShape 4" descr="Story">
          <a:hlinkClick xmlns:r="http://schemas.openxmlformats.org/officeDocument/2006/relationships" r:id="rId5"/>
          <a:extLst>
            <a:ext uri="{FF2B5EF4-FFF2-40B4-BE49-F238E27FC236}">
              <a16:creationId xmlns:a16="http://schemas.microsoft.com/office/drawing/2014/main" id="{5242DE07-7F27-43C3-81AD-A99BFBD55E2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0" name="AutoShape 5" descr="Story">
          <a:hlinkClick xmlns:r="http://schemas.openxmlformats.org/officeDocument/2006/relationships" r:id="rId6"/>
          <a:extLst>
            <a:ext uri="{FF2B5EF4-FFF2-40B4-BE49-F238E27FC236}">
              <a16:creationId xmlns:a16="http://schemas.microsoft.com/office/drawing/2014/main" id="{4683DAD9-0019-462B-9990-D55411D0EEB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1" name="AutoShape 1" descr="Sub-task">
          <a:hlinkClick xmlns:r="http://schemas.openxmlformats.org/officeDocument/2006/relationships" r:id="rId9"/>
          <a:extLst>
            <a:ext uri="{FF2B5EF4-FFF2-40B4-BE49-F238E27FC236}">
              <a16:creationId xmlns:a16="http://schemas.microsoft.com/office/drawing/2014/main" id="{971125EB-BCA0-4E18-AEA6-AF8644EFC16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2" name="AutoShape 2" descr="Sub-task">
          <a:hlinkClick xmlns:r="http://schemas.openxmlformats.org/officeDocument/2006/relationships" r:id="rId10"/>
          <a:extLst>
            <a:ext uri="{FF2B5EF4-FFF2-40B4-BE49-F238E27FC236}">
              <a16:creationId xmlns:a16="http://schemas.microsoft.com/office/drawing/2014/main" id="{BF6B20A3-0831-41B8-87F2-35BF2E6615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33" name="AutoShape 7" descr="Story">
          <a:hlinkClick xmlns:r="http://schemas.openxmlformats.org/officeDocument/2006/relationships" r:id="rId3"/>
          <a:extLst>
            <a:ext uri="{FF2B5EF4-FFF2-40B4-BE49-F238E27FC236}">
              <a16:creationId xmlns:a16="http://schemas.microsoft.com/office/drawing/2014/main" id="{05827AE2-4028-4308-AE68-179896AB85A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4" name="AutoShape 3" descr="Story">
          <a:hlinkClick xmlns:r="http://schemas.openxmlformats.org/officeDocument/2006/relationships" r:id="rId11"/>
          <a:extLst>
            <a:ext uri="{FF2B5EF4-FFF2-40B4-BE49-F238E27FC236}">
              <a16:creationId xmlns:a16="http://schemas.microsoft.com/office/drawing/2014/main" id="{416E8745-4A64-46A3-A05A-8C29A3821CD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5" name="AutoShape 12" descr="Story">
          <a:hlinkClick xmlns:r="http://schemas.openxmlformats.org/officeDocument/2006/relationships" r:id="rId12"/>
          <a:extLst>
            <a:ext uri="{FF2B5EF4-FFF2-40B4-BE49-F238E27FC236}">
              <a16:creationId xmlns:a16="http://schemas.microsoft.com/office/drawing/2014/main" id="{E8B9BD71-E301-40FF-9B3C-2D76F38AA22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6" name="AutoShape 1" descr="Story">
          <a:hlinkClick xmlns:r="http://schemas.openxmlformats.org/officeDocument/2006/relationships" r:id="rId13"/>
          <a:extLst>
            <a:ext uri="{FF2B5EF4-FFF2-40B4-BE49-F238E27FC236}">
              <a16:creationId xmlns:a16="http://schemas.microsoft.com/office/drawing/2014/main" id="{DC86161F-8B0A-4E9D-96BD-ED38F948683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7" name="AutoShape 1" descr="Story">
          <a:hlinkClick xmlns:r="http://schemas.openxmlformats.org/officeDocument/2006/relationships" r:id="rId13"/>
          <a:extLst>
            <a:ext uri="{FF2B5EF4-FFF2-40B4-BE49-F238E27FC236}">
              <a16:creationId xmlns:a16="http://schemas.microsoft.com/office/drawing/2014/main" id="{61DD5754-BD6D-48D0-82C8-A8C5CEDB77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8" name="AutoShape 3" descr="Story">
          <a:hlinkClick xmlns:r="http://schemas.openxmlformats.org/officeDocument/2006/relationships" r:id="rId4"/>
          <a:extLst>
            <a:ext uri="{FF2B5EF4-FFF2-40B4-BE49-F238E27FC236}">
              <a16:creationId xmlns:a16="http://schemas.microsoft.com/office/drawing/2014/main" id="{E27B22E6-F441-462A-AB7E-99BF6CFAA1D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39" name="AutoShape 4" descr="Story">
          <a:hlinkClick xmlns:r="http://schemas.openxmlformats.org/officeDocument/2006/relationships" r:id="rId5"/>
          <a:extLst>
            <a:ext uri="{FF2B5EF4-FFF2-40B4-BE49-F238E27FC236}">
              <a16:creationId xmlns:a16="http://schemas.microsoft.com/office/drawing/2014/main" id="{4C09DC5A-762A-44A4-8CAB-45B7B2DF5C2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1183</xdr:row>
      <xdr:rowOff>0</xdr:rowOff>
    </xdr:from>
    <xdr:ext cx="152400" cy="152400"/>
    <xdr:sp macro="" textlink="">
      <xdr:nvSpPr>
        <xdr:cNvPr id="1140" name="AutoShape 7" descr="Story">
          <a:hlinkClick xmlns:r="http://schemas.openxmlformats.org/officeDocument/2006/relationships" r:id="rId3"/>
          <a:extLst>
            <a:ext uri="{FF2B5EF4-FFF2-40B4-BE49-F238E27FC236}">
              <a16:creationId xmlns:a16="http://schemas.microsoft.com/office/drawing/2014/main" id="{1ED7DCE5-1480-459E-A153-F7EF84F2800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41" name="AutoShape 8" descr="Story">
          <a:hlinkClick xmlns:r="http://schemas.openxmlformats.org/officeDocument/2006/relationships" r:id="rId4"/>
          <a:extLst>
            <a:ext uri="{FF2B5EF4-FFF2-40B4-BE49-F238E27FC236}">
              <a16:creationId xmlns:a16="http://schemas.microsoft.com/office/drawing/2014/main" id="{1CEB704E-0B5C-4717-9DD3-4E453F399F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1180</xdr:row>
      <xdr:rowOff>0</xdr:rowOff>
    </xdr:from>
    <xdr:ext cx="152400" cy="152400"/>
    <xdr:sp macro="" textlink="">
      <xdr:nvSpPr>
        <xdr:cNvPr id="1142" name="AutoShape 8" descr="Story">
          <a:hlinkClick xmlns:r="http://schemas.openxmlformats.org/officeDocument/2006/relationships" r:id="rId4"/>
          <a:extLst>
            <a:ext uri="{FF2B5EF4-FFF2-40B4-BE49-F238E27FC236}">
              <a16:creationId xmlns:a16="http://schemas.microsoft.com/office/drawing/2014/main" id="{F8F9F3CF-94B0-4BF9-B481-B94E7411171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1159</xdr:row>
      <xdr:rowOff>0</xdr:rowOff>
    </xdr:from>
    <xdr:to>
      <xdr:col>0</xdr:col>
      <xdr:colOff>152400</xdr:colOff>
      <xdr:row>1159</xdr:row>
      <xdr:rowOff>152400</xdr:rowOff>
    </xdr:to>
    <xdr:sp macro="" textlink="">
      <xdr:nvSpPr>
        <xdr:cNvPr id="1143" name="AutoShape 1" descr="Story">
          <a:hlinkClick xmlns:r="http://schemas.openxmlformats.org/officeDocument/2006/relationships" r:id="rId13"/>
          <a:extLst>
            <a:ext uri="{FF2B5EF4-FFF2-40B4-BE49-F238E27FC236}">
              <a16:creationId xmlns:a16="http://schemas.microsoft.com/office/drawing/2014/main" id="{7A93E4A3-F3B3-42BA-962A-DAA19BFA040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1157</xdr:row>
      <xdr:rowOff>0</xdr:rowOff>
    </xdr:from>
    <xdr:to>
      <xdr:col>0</xdr:col>
      <xdr:colOff>152400</xdr:colOff>
      <xdr:row>1157</xdr:row>
      <xdr:rowOff>152400</xdr:rowOff>
    </xdr:to>
    <xdr:sp macro="" textlink="">
      <xdr:nvSpPr>
        <xdr:cNvPr id="1144" name="AutoShape 2" descr="Story">
          <a:hlinkClick xmlns:r="http://schemas.openxmlformats.org/officeDocument/2006/relationships" r:id="rId12"/>
          <a:extLst>
            <a:ext uri="{FF2B5EF4-FFF2-40B4-BE49-F238E27FC236}">
              <a16:creationId xmlns:a16="http://schemas.microsoft.com/office/drawing/2014/main" id="{D737409B-D209-45B8-ADEE-84B6EDF11A1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1156</xdr:row>
      <xdr:rowOff>0</xdr:rowOff>
    </xdr:from>
    <xdr:to>
      <xdr:col>0</xdr:col>
      <xdr:colOff>152400</xdr:colOff>
      <xdr:row>1156</xdr:row>
      <xdr:rowOff>152400</xdr:rowOff>
    </xdr:to>
    <xdr:sp macro="" textlink="">
      <xdr:nvSpPr>
        <xdr:cNvPr id="1145" name="AutoShape 3" descr="Story">
          <a:hlinkClick xmlns:r="http://schemas.openxmlformats.org/officeDocument/2006/relationships" r:id="rId11"/>
          <a:extLst>
            <a:ext uri="{FF2B5EF4-FFF2-40B4-BE49-F238E27FC236}">
              <a16:creationId xmlns:a16="http://schemas.microsoft.com/office/drawing/2014/main" id="{C143DF4A-898E-4DE7-96AC-0F162E243C6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1153</xdr:row>
      <xdr:rowOff>0</xdr:rowOff>
    </xdr:from>
    <xdr:to>
      <xdr:col>0</xdr:col>
      <xdr:colOff>152400</xdr:colOff>
      <xdr:row>1153</xdr:row>
      <xdr:rowOff>152400</xdr:rowOff>
    </xdr:to>
    <xdr:sp macro="" textlink="">
      <xdr:nvSpPr>
        <xdr:cNvPr id="1146" name="AutoShape 4" descr="Bug">
          <a:hlinkClick xmlns:r="http://schemas.openxmlformats.org/officeDocument/2006/relationships" r:id="rId1"/>
          <a:extLst>
            <a:ext uri="{FF2B5EF4-FFF2-40B4-BE49-F238E27FC236}">
              <a16:creationId xmlns:a16="http://schemas.microsoft.com/office/drawing/2014/main" id="{70F98037-E826-4D44-B821-2EDD963FD02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1157</xdr:row>
      <xdr:rowOff>0</xdr:rowOff>
    </xdr:from>
    <xdr:to>
      <xdr:col>0</xdr:col>
      <xdr:colOff>152400</xdr:colOff>
      <xdr:row>1157</xdr:row>
      <xdr:rowOff>152400</xdr:rowOff>
    </xdr:to>
    <xdr:sp macro="" textlink="">
      <xdr:nvSpPr>
        <xdr:cNvPr id="1147" name="AutoShape 5" descr="Story">
          <a:hlinkClick xmlns:r="http://schemas.openxmlformats.org/officeDocument/2006/relationships" r:id="rId14"/>
          <a:extLst>
            <a:ext uri="{FF2B5EF4-FFF2-40B4-BE49-F238E27FC236}">
              <a16:creationId xmlns:a16="http://schemas.microsoft.com/office/drawing/2014/main" id="{C40FE01E-4836-4659-908A-6122AC313A0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1153</xdr:row>
      <xdr:rowOff>0</xdr:rowOff>
    </xdr:from>
    <xdr:to>
      <xdr:col>0</xdr:col>
      <xdr:colOff>152400</xdr:colOff>
      <xdr:row>1153</xdr:row>
      <xdr:rowOff>152400</xdr:rowOff>
    </xdr:to>
    <xdr:sp macro="" textlink="">
      <xdr:nvSpPr>
        <xdr:cNvPr id="1148" name="AutoShape 6" descr="Bug">
          <a:hlinkClick xmlns:r="http://schemas.openxmlformats.org/officeDocument/2006/relationships" r:id="rId2"/>
          <a:extLst>
            <a:ext uri="{FF2B5EF4-FFF2-40B4-BE49-F238E27FC236}">
              <a16:creationId xmlns:a16="http://schemas.microsoft.com/office/drawing/2014/main" id="{8E9E2AE2-E82C-48E8-B833-192DFE7E3B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1153</xdr:row>
      <xdr:rowOff>0</xdr:rowOff>
    </xdr:from>
    <xdr:to>
      <xdr:col>0</xdr:col>
      <xdr:colOff>152400</xdr:colOff>
      <xdr:row>1153</xdr:row>
      <xdr:rowOff>152400</xdr:rowOff>
    </xdr:to>
    <xdr:sp macro="" textlink="">
      <xdr:nvSpPr>
        <xdr:cNvPr id="1149" name="AutoShape 7" descr="Story">
          <a:hlinkClick xmlns:r="http://schemas.openxmlformats.org/officeDocument/2006/relationships" r:id="rId3"/>
          <a:extLst>
            <a:ext uri="{FF2B5EF4-FFF2-40B4-BE49-F238E27FC236}">
              <a16:creationId xmlns:a16="http://schemas.microsoft.com/office/drawing/2014/main" id="{685CCB86-2510-45C0-B855-CA86D933F12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1153</xdr:row>
      <xdr:rowOff>0</xdr:rowOff>
    </xdr:from>
    <xdr:to>
      <xdr:col>0</xdr:col>
      <xdr:colOff>152400</xdr:colOff>
      <xdr:row>1153</xdr:row>
      <xdr:rowOff>152400</xdr:rowOff>
    </xdr:to>
    <xdr:sp macro="" textlink="">
      <xdr:nvSpPr>
        <xdr:cNvPr id="1150" name="AutoShape 8" descr="Story">
          <a:hlinkClick xmlns:r="http://schemas.openxmlformats.org/officeDocument/2006/relationships" r:id="rId4"/>
          <a:extLst>
            <a:ext uri="{FF2B5EF4-FFF2-40B4-BE49-F238E27FC236}">
              <a16:creationId xmlns:a16="http://schemas.microsoft.com/office/drawing/2014/main" id="{A60115E7-D9EB-4044-BD3A-328B65955C6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1153</xdr:row>
      <xdr:rowOff>0</xdr:rowOff>
    </xdr:from>
    <xdr:to>
      <xdr:col>0</xdr:col>
      <xdr:colOff>152400</xdr:colOff>
      <xdr:row>1153</xdr:row>
      <xdr:rowOff>152400</xdr:rowOff>
    </xdr:to>
    <xdr:sp macro="" textlink="">
      <xdr:nvSpPr>
        <xdr:cNvPr id="1151" name="AutoShape 9" descr="Story">
          <a:hlinkClick xmlns:r="http://schemas.openxmlformats.org/officeDocument/2006/relationships" r:id="rId5"/>
          <a:extLst>
            <a:ext uri="{FF2B5EF4-FFF2-40B4-BE49-F238E27FC236}">
              <a16:creationId xmlns:a16="http://schemas.microsoft.com/office/drawing/2014/main" id="{8D0A7A2B-CB74-497B-85D8-D4537DB9F74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1154</xdr:row>
      <xdr:rowOff>0</xdr:rowOff>
    </xdr:from>
    <xdr:to>
      <xdr:col>0</xdr:col>
      <xdr:colOff>152400</xdr:colOff>
      <xdr:row>1154</xdr:row>
      <xdr:rowOff>152400</xdr:rowOff>
    </xdr:to>
    <xdr:sp macro="" textlink="">
      <xdr:nvSpPr>
        <xdr:cNvPr id="1152" name="AutoShape 10" descr="Story">
          <a:hlinkClick xmlns:r="http://schemas.openxmlformats.org/officeDocument/2006/relationships" r:id="rId6"/>
          <a:extLst>
            <a:ext uri="{FF2B5EF4-FFF2-40B4-BE49-F238E27FC236}">
              <a16:creationId xmlns:a16="http://schemas.microsoft.com/office/drawing/2014/main" id="{1F4AE03A-2C3B-41B7-9994-16E05F90128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1157</xdr:row>
      <xdr:rowOff>0</xdr:rowOff>
    </xdr:from>
    <xdr:to>
      <xdr:col>0</xdr:col>
      <xdr:colOff>152400</xdr:colOff>
      <xdr:row>1157</xdr:row>
      <xdr:rowOff>152400</xdr:rowOff>
    </xdr:to>
    <xdr:sp macro="" textlink="">
      <xdr:nvSpPr>
        <xdr:cNvPr id="1153" name="AutoShape 11" descr="Story">
          <a:hlinkClick xmlns:r="http://schemas.openxmlformats.org/officeDocument/2006/relationships" r:id="rId15"/>
          <a:extLst>
            <a:ext uri="{FF2B5EF4-FFF2-40B4-BE49-F238E27FC236}">
              <a16:creationId xmlns:a16="http://schemas.microsoft.com/office/drawing/2014/main" id="{5429F7F5-DC47-4BB4-8959-CD6E3902F2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1156</xdr:row>
      <xdr:rowOff>0</xdr:rowOff>
    </xdr:from>
    <xdr:to>
      <xdr:col>0</xdr:col>
      <xdr:colOff>152400</xdr:colOff>
      <xdr:row>1156</xdr:row>
      <xdr:rowOff>152400</xdr:rowOff>
    </xdr:to>
    <xdr:sp macro="" textlink="">
      <xdr:nvSpPr>
        <xdr:cNvPr id="1154" name="AutoShape 12" descr="Story">
          <a:hlinkClick xmlns:r="http://schemas.openxmlformats.org/officeDocument/2006/relationships" r:id="rId12"/>
          <a:extLst>
            <a:ext uri="{FF2B5EF4-FFF2-40B4-BE49-F238E27FC236}">
              <a16:creationId xmlns:a16="http://schemas.microsoft.com/office/drawing/2014/main" id="{0559373B-1962-44CD-99E0-90B0DFD2078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1153</xdr:row>
      <xdr:rowOff>0</xdr:rowOff>
    </xdr:from>
    <xdr:to>
      <xdr:col>0</xdr:col>
      <xdr:colOff>152400</xdr:colOff>
      <xdr:row>1153</xdr:row>
      <xdr:rowOff>152400</xdr:rowOff>
    </xdr:to>
    <xdr:sp macro="" textlink="">
      <xdr:nvSpPr>
        <xdr:cNvPr id="1155" name="AutoShape 13" descr="Story">
          <a:hlinkClick xmlns:r="http://schemas.openxmlformats.org/officeDocument/2006/relationships" r:id="rId4"/>
          <a:extLst>
            <a:ext uri="{FF2B5EF4-FFF2-40B4-BE49-F238E27FC236}">
              <a16:creationId xmlns:a16="http://schemas.microsoft.com/office/drawing/2014/main" id="{87EC8D79-E74A-49E1-9565-6A7B49FEF9E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1154</xdr:row>
      <xdr:rowOff>0</xdr:rowOff>
    </xdr:from>
    <xdr:to>
      <xdr:col>0</xdr:col>
      <xdr:colOff>152400</xdr:colOff>
      <xdr:row>1154</xdr:row>
      <xdr:rowOff>152400</xdr:rowOff>
    </xdr:to>
    <xdr:sp macro="" textlink="">
      <xdr:nvSpPr>
        <xdr:cNvPr id="1156" name="AutoShape 14" descr="Story">
          <a:hlinkClick xmlns:r="http://schemas.openxmlformats.org/officeDocument/2006/relationships" r:id="rId4"/>
          <a:extLst>
            <a:ext uri="{FF2B5EF4-FFF2-40B4-BE49-F238E27FC236}">
              <a16:creationId xmlns:a16="http://schemas.microsoft.com/office/drawing/2014/main" id="{2065D26D-8ACF-4166-B8B9-A17BDE8945C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1157</xdr:row>
      <xdr:rowOff>0</xdr:rowOff>
    </xdr:from>
    <xdr:to>
      <xdr:col>0</xdr:col>
      <xdr:colOff>152400</xdr:colOff>
      <xdr:row>1157</xdr:row>
      <xdr:rowOff>152400</xdr:rowOff>
    </xdr:to>
    <xdr:sp macro="" textlink="">
      <xdr:nvSpPr>
        <xdr:cNvPr id="1157" name="AutoShape 15" descr="Story">
          <a:hlinkClick xmlns:r="http://schemas.openxmlformats.org/officeDocument/2006/relationships" r:id="rId4"/>
          <a:extLst>
            <a:ext uri="{FF2B5EF4-FFF2-40B4-BE49-F238E27FC236}">
              <a16:creationId xmlns:a16="http://schemas.microsoft.com/office/drawing/2014/main" id="{5D96DEC8-D79A-4CFE-A12F-51230D5AE49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1153</xdr:row>
      <xdr:rowOff>0</xdr:rowOff>
    </xdr:from>
    <xdr:ext cx="152400" cy="152400"/>
    <xdr:sp macro="" textlink="">
      <xdr:nvSpPr>
        <xdr:cNvPr id="1158" name="AutoShape 1" descr="Story">
          <a:hlinkClick xmlns:r="http://schemas.openxmlformats.org/officeDocument/2006/relationships" r:id="rId7"/>
          <a:extLst>
            <a:ext uri="{FF2B5EF4-FFF2-40B4-BE49-F238E27FC236}">
              <a16:creationId xmlns:a16="http://schemas.microsoft.com/office/drawing/2014/main" id="{65BA6FAE-BA38-426E-B5B0-8691D661F2E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59" name="AutoShape 2" descr="Story">
          <a:hlinkClick xmlns:r="http://schemas.openxmlformats.org/officeDocument/2006/relationships" r:id="rId8"/>
          <a:extLst>
            <a:ext uri="{FF2B5EF4-FFF2-40B4-BE49-F238E27FC236}">
              <a16:creationId xmlns:a16="http://schemas.microsoft.com/office/drawing/2014/main" id="{1B9F3BFD-DE8A-4319-8FE8-BBA60D740CC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0" name="AutoShape 5" descr="Story">
          <a:hlinkClick xmlns:r="http://schemas.openxmlformats.org/officeDocument/2006/relationships" r:id="rId6"/>
          <a:extLst>
            <a:ext uri="{FF2B5EF4-FFF2-40B4-BE49-F238E27FC236}">
              <a16:creationId xmlns:a16="http://schemas.microsoft.com/office/drawing/2014/main" id="{18403992-9321-4755-968E-B5A3BB646D6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1" name="AutoShape 1" descr="Sub-task">
          <a:hlinkClick xmlns:r="http://schemas.openxmlformats.org/officeDocument/2006/relationships" r:id="rId9"/>
          <a:extLst>
            <a:ext uri="{FF2B5EF4-FFF2-40B4-BE49-F238E27FC236}">
              <a16:creationId xmlns:a16="http://schemas.microsoft.com/office/drawing/2014/main" id="{F290C5E1-C9D4-481C-8668-58323E67AA9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2" name="AutoShape 2" descr="Sub-task">
          <a:hlinkClick xmlns:r="http://schemas.openxmlformats.org/officeDocument/2006/relationships" r:id="rId10"/>
          <a:extLst>
            <a:ext uri="{FF2B5EF4-FFF2-40B4-BE49-F238E27FC236}">
              <a16:creationId xmlns:a16="http://schemas.microsoft.com/office/drawing/2014/main" id="{10CE32BB-239B-410B-91F2-1D40CEB6F13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3" name="AutoShape 3" descr="Story">
          <a:hlinkClick xmlns:r="http://schemas.openxmlformats.org/officeDocument/2006/relationships" r:id="rId11"/>
          <a:extLst>
            <a:ext uri="{FF2B5EF4-FFF2-40B4-BE49-F238E27FC236}">
              <a16:creationId xmlns:a16="http://schemas.microsoft.com/office/drawing/2014/main" id="{93F58EB3-68CA-492F-A3C5-5DA4E1595C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4" name="AutoShape 12" descr="Story">
          <a:hlinkClick xmlns:r="http://schemas.openxmlformats.org/officeDocument/2006/relationships" r:id="rId12"/>
          <a:extLst>
            <a:ext uri="{FF2B5EF4-FFF2-40B4-BE49-F238E27FC236}">
              <a16:creationId xmlns:a16="http://schemas.microsoft.com/office/drawing/2014/main" id="{D17D71B4-8100-49F7-B68B-FBC482A1E3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5" name="AutoShape 1" descr="Story">
          <a:hlinkClick xmlns:r="http://schemas.openxmlformats.org/officeDocument/2006/relationships" r:id="rId13"/>
          <a:extLst>
            <a:ext uri="{FF2B5EF4-FFF2-40B4-BE49-F238E27FC236}">
              <a16:creationId xmlns:a16="http://schemas.microsoft.com/office/drawing/2014/main" id="{B9774295-0009-43ED-B449-DCFCE12E3E4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6" name="AutoShape 1" descr="Story">
          <a:hlinkClick xmlns:r="http://schemas.openxmlformats.org/officeDocument/2006/relationships" r:id="rId13"/>
          <a:extLst>
            <a:ext uri="{FF2B5EF4-FFF2-40B4-BE49-F238E27FC236}">
              <a16:creationId xmlns:a16="http://schemas.microsoft.com/office/drawing/2014/main" id="{28F3A189-9427-4B30-B1B0-FA33F7A8ACD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7" name="AutoShape 3" descr="Story">
          <a:hlinkClick xmlns:r="http://schemas.openxmlformats.org/officeDocument/2006/relationships" r:id="rId4"/>
          <a:extLst>
            <a:ext uri="{FF2B5EF4-FFF2-40B4-BE49-F238E27FC236}">
              <a16:creationId xmlns:a16="http://schemas.microsoft.com/office/drawing/2014/main" id="{D03D8F4E-28AB-4993-9AFE-9E4757FB025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68" name="AutoShape 4" descr="Story">
          <a:hlinkClick xmlns:r="http://schemas.openxmlformats.org/officeDocument/2006/relationships" r:id="rId5"/>
          <a:extLst>
            <a:ext uri="{FF2B5EF4-FFF2-40B4-BE49-F238E27FC236}">
              <a16:creationId xmlns:a16="http://schemas.microsoft.com/office/drawing/2014/main" id="{556FB9E8-59A7-4F9A-AED4-FEF907DA1A8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69" name="AutoShape 1" descr="Story">
          <a:hlinkClick xmlns:r="http://schemas.openxmlformats.org/officeDocument/2006/relationships" r:id="rId7"/>
          <a:extLst>
            <a:ext uri="{FF2B5EF4-FFF2-40B4-BE49-F238E27FC236}">
              <a16:creationId xmlns:a16="http://schemas.microsoft.com/office/drawing/2014/main" id="{A5D903F5-816B-4EEF-87E6-32C75AC990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70" name="AutoShape 2" descr="Story">
          <a:hlinkClick xmlns:r="http://schemas.openxmlformats.org/officeDocument/2006/relationships" r:id="rId8"/>
          <a:extLst>
            <a:ext uri="{FF2B5EF4-FFF2-40B4-BE49-F238E27FC236}">
              <a16:creationId xmlns:a16="http://schemas.microsoft.com/office/drawing/2014/main" id="{83810ED9-AE46-444F-BC93-8A2320479DF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71" name="AutoShape 3" descr="Story">
          <a:hlinkClick xmlns:r="http://schemas.openxmlformats.org/officeDocument/2006/relationships" r:id="rId4"/>
          <a:extLst>
            <a:ext uri="{FF2B5EF4-FFF2-40B4-BE49-F238E27FC236}">
              <a16:creationId xmlns:a16="http://schemas.microsoft.com/office/drawing/2014/main" id="{9457B05B-209A-41F0-B310-825762DA4A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72" name="AutoShape 4" descr="Story">
          <a:hlinkClick xmlns:r="http://schemas.openxmlformats.org/officeDocument/2006/relationships" r:id="rId5"/>
          <a:extLst>
            <a:ext uri="{FF2B5EF4-FFF2-40B4-BE49-F238E27FC236}">
              <a16:creationId xmlns:a16="http://schemas.microsoft.com/office/drawing/2014/main" id="{9B3A425C-B54E-403F-8F42-1028238BE0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73" name="AutoShape 5" descr="Story">
          <a:hlinkClick xmlns:r="http://schemas.openxmlformats.org/officeDocument/2006/relationships" r:id="rId6"/>
          <a:extLst>
            <a:ext uri="{FF2B5EF4-FFF2-40B4-BE49-F238E27FC236}">
              <a16:creationId xmlns:a16="http://schemas.microsoft.com/office/drawing/2014/main" id="{E24320D2-0AE8-4E25-B7E9-A1D6E83096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74" name="AutoShape 1" descr="Sub-task">
          <a:hlinkClick xmlns:r="http://schemas.openxmlformats.org/officeDocument/2006/relationships" r:id="rId9"/>
          <a:extLst>
            <a:ext uri="{FF2B5EF4-FFF2-40B4-BE49-F238E27FC236}">
              <a16:creationId xmlns:a16="http://schemas.microsoft.com/office/drawing/2014/main" id="{38C4085F-DC87-4821-AC38-AB8AACE754E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75" name="AutoShape 2" descr="Sub-task">
          <a:hlinkClick xmlns:r="http://schemas.openxmlformats.org/officeDocument/2006/relationships" r:id="rId10"/>
          <a:extLst>
            <a:ext uri="{FF2B5EF4-FFF2-40B4-BE49-F238E27FC236}">
              <a16:creationId xmlns:a16="http://schemas.microsoft.com/office/drawing/2014/main" id="{053813D7-59BD-424F-A96B-523662AA3A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76" name="AutoShape 7" descr="Story">
          <a:hlinkClick xmlns:r="http://schemas.openxmlformats.org/officeDocument/2006/relationships" r:id="rId3"/>
          <a:extLst>
            <a:ext uri="{FF2B5EF4-FFF2-40B4-BE49-F238E27FC236}">
              <a16:creationId xmlns:a16="http://schemas.microsoft.com/office/drawing/2014/main" id="{FB1D4EE4-EA40-4015-9A5F-F108165995D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77" name="AutoShape 3" descr="Story">
          <a:hlinkClick xmlns:r="http://schemas.openxmlformats.org/officeDocument/2006/relationships" r:id="rId11"/>
          <a:extLst>
            <a:ext uri="{FF2B5EF4-FFF2-40B4-BE49-F238E27FC236}">
              <a16:creationId xmlns:a16="http://schemas.microsoft.com/office/drawing/2014/main" id="{CBE48A15-19BF-4B8A-B52D-66129975CDC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78" name="AutoShape 12" descr="Story">
          <a:hlinkClick xmlns:r="http://schemas.openxmlformats.org/officeDocument/2006/relationships" r:id="rId12"/>
          <a:extLst>
            <a:ext uri="{FF2B5EF4-FFF2-40B4-BE49-F238E27FC236}">
              <a16:creationId xmlns:a16="http://schemas.microsoft.com/office/drawing/2014/main" id="{658A5408-0A47-4EAA-8BCC-D913CD8EE2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79" name="AutoShape 1" descr="Story">
          <a:hlinkClick xmlns:r="http://schemas.openxmlformats.org/officeDocument/2006/relationships" r:id="rId13"/>
          <a:extLst>
            <a:ext uri="{FF2B5EF4-FFF2-40B4-BE49-F238E27FC236}">
              <a16:creationId xmlns:a16="http://schemas.microsoft.com/office/drawing/2014/main" id="{DC73454C-D9DD-49C3-8137-37648BE2D7C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80" name="AutoShape 1" descr="Story">
          <a:hlinkClick xmlns:r="http://schemas.openxmlformats.org/officeDocument/2006/relationships" r:id="rId13"/>
          <a:extLst>
            <a:ext uri="{FF2B5EF4-FFF2-40B4-BE49-F238E27FC236}">
              <a16:creationId xmlns:a16="http://schemas.microsoft.com/office/drawing/2014/main" id="{D96D70EF-3D02-4AF7-83AA-B8065BEC2BD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81" name="AutoShape 3" descr="Story">
          <a:hlinkClick xmlns:r="http://schemas.openxmlformats.org/officeDocument/2006/relationships" r:id="rId4"/>
          <a:extLst>
            <a:ext uri="{FF2B5EF4-FFF2-40B4-BE49-F238E27FC236}">
              <a16:creationId xmlns:a16="http://schemas.microsoft.com/office/drawing/2014/main" id="{30B78D16-8A9B-4236-8B81-FFAF56551E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82" name="AutoShape 4" descr="Story">
          <a:hlinkClick xmlns:r="http://schemas.openxmlformats.org/officeDocument/2006/relationships" r:id="rId5"/>
          <a:extLst>
            <a:ext uri="{FF2B5EF4-FFF2-40B4-BE49-F238E27FC236}">
              <a16:creationId xmlns:a16="http://schemas.microsoft.com/office/drawing/2014/main" id="{C16F8CA1-2616-4E16-94FD-2210A135BCF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1156</xdr:row>
      <xdr:rowOff>0</xdr:rowOff>
    </xdr:from>
    <xdr:ext cx="152400" cy="152400"/>
    <xdr:sp macro="" textlink="">
      <xdr:nvSpPr>
        <xdr:cNvPr id="1183" name="AutoShape 7" descr="Story">
          <a:hlinkClick xmlns:r="http://schemas.openxmlformats.org/officeDocument/2006/relationships" r:id="rId3"/>
          <a:extLst>
            <a:ext uri="{FF2B5EF4-FFF2-40B4-BE49-F238E27FC236}">
              <a16:creationId xmlns:a16="http://schemas.microsoft.com/office/drawing/2014/main" id="{D90790DC-96A7-4F67-94EC-C9BFDA79A6E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84" name="AutoShape 8" descr="Story">
          <a:hlinkClick xmlns:r="http://schemas.openxmlformats.org/officeDocument/2006/relationships" r:id="rId4"/>
          <a:extLst>
            <a:ext uri="{FF2B5EF4-FFF2-40B4-BE49-F238E27FC236}">
              <a16:creationId xmlns:a16="http://schemas.microsoft.com/office/drawing/2014/main" id="{E7DAB793-7201-49D7-9C22-D008B37F677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1153</xdr:row>
      <xdr:rowOff>0</xdr:rowOff>
    </xdr:from>
    <xdr:ext cx="152400" cy="152400"/>
    <xdr:sp macro="" textlink="">
      <xdr:nvSpPr>
        <xdr:cNvPr id="1185" name="AutoShape 8" descr="Story">
          <a:hlinkClick xmlns:r="http://schemas.openxmlformats.org/officeDocument/2006/relationships" r:id="rId4"/>
          <a:extLst>
            <a:ext uri="{FF2B5EF4-FFF2-40B4-BE49-F238E27FC236}">
              <a16:creationId xmlns:a16="http://schemas.microsoft.com/office/drawing/2014/main" id="{14F72E59-9B99-4E1F-BFD5-5C97874D974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1217</xdr:row>
      <xdr:rowOff>0</xdr:rowOff>
    </xdr:from>
    <xdr:to>
      <xdr:col>0</xdr:col>
      <xdr:colOff>152400</xdr:colOff>
      <xdr:row>1217</xdr:row>
      <xdr:rowOff>152400</xdr:rowOff>
    </xdr:to>
    <xdr:sp macro="" textlink="">
      <xdr:nvSpPr>
        <xdr:cNvPr id="1186" name="AutoShape 3" descr="Story">
          <a:hlinkClick xmlns:r="http://schemas.openxmlformats.org/officeDocument/2006/relationships" r:id="rId11"/>
          <a:extLst>
            <a:ext uri="{FF2B5EF4-FFF2-40B4-BE49-F238E27FC236}">
              <a16:creationId xmlns:a16="http://schemas.microsoft.com/office/drawing/2014/main" id="{A3D49BC1-C673-44F0-B842-A3C5B4F29F00}"/>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1214</xdr:row>
      <xdr:rowOff>0</xdr:rowOff>
    </xdr:from>
    <xdr:to>
      <xdr:col>0</xdr:col>
      <xdr:colOff>152400</xdr:colOff>
      <xdr:row>1214</xdr:row>
      <xdr:rowOff>152400</xdr:rowOff>
    </xdr:to>
    <xdr:sp macro="" textlink="">
      <xdr:nvSpPr>
        <xdr:cNvPr id="1187" name="AutoShape 4" descr="Bug">
          <a:hlinkClick xmlns:r="http://schemas.openxmlformats.org/officeDocument/2006/relationships" r:id="rId1"/>
          <a:extLst>
            <a:ext uri="{FF2B5EF4-FFF2-40B4-BE49-F238E27FC236}">
              <a16:creationId xmlns:a16="http://schemas.microsoft.com/office/drawing/2014/main" id="{DEAAA569-CCDE-4A67-9C9B-9498C800E2DE}"/>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1214</xdr:row>
      <xdr:rowOff>0</xdr:rowOff>
    </xdr:from>
    <xdr:to>
      <xdr:col>0</xdr:col>
      <xdr:colOff>152400</xdr:colOff>
      <xdr:row>1214</xdr:row>
      <xdr:rowOff>152400</xdr:rowOff>
    </xdr:to>
    <xdr:sp macro="" textlink="">
      <xdr:nvSpPr>
        <xdr:cNvPr id="1188" name="AutoShape 6" descr="Bug">
          <a:hlinkClick xmlns:r="http://schemas.openxmlformats.org/officeDocument/2006/relationships" r:id="rId2"/>
          <a:extLst>
            <a:ext uri="{FF2B5EF4-FFF2-40B4-BE49-F238E27FC236}">
              <a16:creationId xmlns:a16="http://schemas.microsoft.com/office/drawing/2014/main" id="{0ADF2038-DDA7-414D-AF0C-5E2494CEE786}"/>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1214</xdr:row>
      <xdr:rowOff>0</xdr:rowOff>
    </xdr:from>
    <xdr:to>
      <xdr:col>0</xdr:col>
      <xdr:colOff>152400</xdr:colOff>
      <xdr:row>1214</xdr:row>
      <xdr:rowOff>152400</xdr:rowOff>
    </xdr:to>
    <xdr:sp macro="" textlink="">
      <xdr:nvSpPr>
        <xdr:cNvPr id="1189" name="AutoShape 7" descr="Story">
          <a:hlinkClick xmlns:r="http://schemas.openxmlformats.org/officeDocument/2006/relationships" r:id="rId3"/>
          <a:extLst>
            <a:ext uri="{FF2B5EF4-FFF2-40B4-BE49-F238E27FC236}">
              <a16:creationId xmlns:a16="http://schemas.microsoft.com/office/drawing/2014/main" id="{29C05294-3039-4026-9FF8-FA64FFE7D850}"/>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1214</xdr:row>
      <xdr:rowOff>0</xdr:rowOff>
    </xdr:from>
    <xdr:to>
      <xdr:col>0</xdr:col>
      <xdr:colOff>152400</xdr:colOff>
      <xdr:row>1214</xdr:row>
      <xdr:rowOff>152400</xdr:rowOff>
    </xdr:to>
    <xdr:sp macro="" textlink="">
      <xdr:nvSpPr>
        <xdr:cNvPr id="1190" name="AutoShape 8" descr="Story">
          <a:hlinkClick xmlns:r="http://schemas.openxmlformats.org/officeDocument/2006/relationships" r:id="rId4"/>
          <a:extLst>
            <a:ext uri="{FF2B5EF4-FFF2-40B4-BE49-F238E27FC236}">
              <a16:creationId xmlns:a16="http://schemas.microsoft.com/office/drawing/2014/main" id="{D15E5E5A-7163-46C8-A2B8-CB257922EA0C}"/>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1214</xdr:row>
      <xdr:rowOff>0</xdr:rowOff>
    </xdr:from>
    <xdr:to>
      <xdr:col>0</xdr:col>
      <xdr:colOff>152400</xdr:colOff>
      <xdr:row>1214</xdr:row>
      <xdr:rowOff>152400</xdr:rowOff>
    </xdr:to>
    <xdr:sp macro="" textlink="">
      <xdr:nvSpPr>
        <xdr:cNvPr id="1191" name="AutoShape 9" descr="Story">
          <a:hlinkClick xmlns:r="http://schemas.openxmlformats.org/officeDocument/2006/relationships" r:id="rId5"/>
          <a:extLst>
            <a:ext uri="{FF2B5EF4-FFF2-40B4-BE49-F238E27FC236}">
              <a16:creationId xmlns:a16="http://schemas.microsoft.com/office/drawing/2014/main" id="{FF4A3AAF-1E57-403F-9FF9-301E32F764C1}"/>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1215</xdr:row>
      <xdr:rowOff>0</xdr:rowOff>
    </xdr:from>
    <xdr:to>
      <xdr:col>0</xdr:col>
      <xdr:colOff>152400</xdr:colOff>
      <xdr:row>1215</xdr:row>
      <xdr:rowOff>152400</xdr:rowOff>
    </xdr:to>
    <xdr:sp macro="" textlink="">
      <xdr:nvSpPr>
        <xdr:cNvPr id="1192" name="AutoShape 10" descr="Story">
          <a:hlinkClick xmlns:r="http://schemas.openxmlformats.org/officeDocument/2006/relationships" r:id="rId6"/>
          <a:extLst>
            <a:ext uri="{FF2B5EF4-FFF2-40B4-BE49-F238E27FC236}">
              <a16:creationId xmlns:a16="http://schemas.microsoft.com/office/drawing/2014/main" id="{62796492-C09E-44A0-90A9-B2E690B58384}"/>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1217</xdr:row>
      <xdr:rowOff>0</xdr:rowOff>
    </xdr:from>
    <xdr:to>
      <xdr:col>0</xdr:col>
      <xdr:colOff>152400</xdr:colOff>
      <xdr:row>1217</xdr:row>
      <xdr:rowOff>152400</xdr:rowOff>
    </xdr:to>
    <xdr:sp macro="" textlink="">
      <xdr:nvSpPr>
        <xdr:cNvPr id="1193" name="AutoShape 12" descr="Story">
          <a:hlinkClick xmlns:r="http://schemas.openxmlformats.org/officeDocument/2006/relationships" r:id="rId12"/>
          <a:extLst>
            <a:ext uri="{FF2B5EF4-FFF2-40B4-BE49-F238E27FC236}">
              <a16:creationId xmlns:a16="http://schemas.microsoft.com/office/drawing/2014/main" id="{59DD116F-F036-43CE-A2B9-F3E9383C0EDF}"/>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1214</xdr:row>
      <xdr:rowOff>0</xdr:rowOff>
    </xdr:from>
    <xdr:to>
      <xdr:col>0</xdr:col>
      <xdr:colOff>152400</xdr:colOff>
      <xdr:row>1214</xdr:row>
      <xdr:rowOff>152400</xdr:rowOff>
    </xdr:to>
    <xdr:sp macro="" textlink="">
      <xdr:nvSpPr>
        <xdr:cNvPr id="1194" name="AutoShape 13" descr="Story">
          <a:hlinkClick xmlns:r="http://schemas.openxmlformats.org/officeDocument/2006/relationships" r:id="rId4"/>
          <a:extLst>
            <a:ext uri="{FF2B5EF4-FFF2-40B4-BE49-F238E27FC236}">
              <a16:creationId xmlns:a16="http://schemas.microsoft.com/office/drawing/2014/main" id="{9B159905-6229-4187-800D-2C4D0965B5F0}"/>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1215</xdr:row>
      <xdr:rowOff>0</xdr:rowOff>
    </xdr:from>
    <xdr:to>
      <xdr:col>0</xdr:col>
      <xdr:colOff>152400</xdr:colOff>
      <xdr:row>1215</xdr:row>
      <xdr:rowOff>152400</xdr:rowOff>
    </xdr:to>
    <xdr:sp macro="" textlink="">
      <xdr:nvSpPr>
        <xdr:cNvPr id="1195" name="AutoShape 14" descr="Story">
          <a:hlinkClick xmlns:r="http://schemas.openxmlformats.org/officeDocument/2006/relationships" r:id="rId4"/>
          <a:extLst>
            <a:ext uri="{FF2B5EF4-FFF2-40B4-BE49-F238E27FC236}">
              <a16:creationId xmlns:a16="http://schemas.microsoft.com/office/drawing/2014/main" id="{52AC2108-26E2-4E32-95D8-F2FC504B74DA}"/>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1214</xdr:row>
      <xdr:rowOff>0</xdr:rowOff>
    </xdr:from>
    <xdr:ext cx="152400" cy="152400"/>
    <xdr:sp macro="" textlink="">
      <xdr:nvSpPr>
        <xdr:cNvPr id="1196" name="AutoShape 1" descr="Story">
          <a:hlinkClick xmlns:r="http://schemas.openxmlformats.org/officeDocument/2006/relationships" r:id="rId7"/>
          <a:extLst>
            <a:ext uri="{FF2B5EF4-FFF2-40B4-BE49-F238E27FC236}">
              <a16:creationId xmlns:a16="http://schemas.microsoft.com/office/drawing/2014/main" id="{D451FF77-2DE8-40C0-B0CC-F21A2BC81851}"/>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197" name="AutoShape 2" descr="Story">
          <a:hlinkClick xmlns:r="http://schemas.openxmlformats.org/officeDocument/2006/relationships" r:id="rId8"/>
          <a:extLst>
            <a:ext uri="{FF2B5EF4-FFF2-40B4-BE49-F238E27FC236}">
              <a16:creationId xmlns:a16="http://schemas.microsoft.com/office/drawing/2014/main" id="{28E1BF20-0A46-4310-9649-84BA9CE60861}"/>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198" name="AutoShape 5" descr="Story">
          <a:hlinkClick xmlns:r="http://schemas.openxmlformats.org/officeDocument/2006/relationships" r:id="rId6"/>
          <a:extLst>
            <a:ext uri="{FF2B5EF4-FFF2-40B4-BE49-F238E27FC236}">
              <a16:creationId xmlns:a16="http://schemas.microsoft.com/office/drawing/2014/main" id="{9378E6BC-63F1-4905-8C6F-A676E94F4E96}"/>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199" name="AutoShape 1" descr="Sub-task">
          <a:hlinkClick xmlns:r="http://schemas.openxmlformats.org/officeDocument/2006/relationships" r:id="rId9"/>
          <a:extLst>
            <a:ext uri="{FF2B5EF4-FFF2-40B4-BE49-F238E27FC236}">
              <a16:creationId xmlns:a16="http://schemas.microsoft.com/office/drawing/2014/main" id="{0C4D76CC-9537-4758-96A3-146E36F1E9F3}"/>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0" name="AutoShape 2" descr="Sub-task">
          <a:hlinkClick xmlns:r="http://schemas.openxmlformats.org/officeDocument/2006/relationships" r:id="rId10"/>
          <a:extLst>
            <a:ext uri="{FF2B5EF4-FFF2-40B4-BE49-F238E27FC236}">
              <a16:creationId xmlns:a16="http://schemas.microsoft.com/office/drawing/2014/main" id="{D252E160-AA4A-4322-A3C5-E642AD1BFE3B}"/>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1" name="AutoShape 3" descr="Story">
          <a:hlinkClick xmlns:r="http://schemas.openxmlformats.org/officeDocument/2006/relationships" r:id="rId11"/>
          <a:extLst>
            <a:ext uri="{FF2B5EF4-FFF2-40B4-BE49-F238E27FC236}">
              <a16:creationId xmlns:a16="http://schemas.microsoft.com/office/drawing/2014/main" id="{A15381CB-EA2B-4A19-B902-9D800E3C9435}"/>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2" name="AutoShape 12" descr="Story">
          <a:hlinkClick xmlns:r="http://schemas.openxmlformats.org/officeDocument/2006/relationships" r:id="rId12"/>
          <a:extLst>
            <a:ext uri="{FF2B5EF4-FFF2-40B4-BE49-F238E27FC236}">
              <a16:creationId xmlns:a16="http://schemas.microsoft.com/office/drawing/2014/main" id="{938972B8-40B4-4DCA-84DA-074CD941C474}"/>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3" name="AutoShape 1" descr="Story">
          <a:hlinkClick xmlns:r="http://schemas.openxmlformats.org/officeDocument/2006/relationships" r:id="rId13"/>
          <a:extLst>
            <a:ext uri="{FF2B5EF4-FFF2-40B4-BE49-F238E27FC236}">
              <a16:creationId xmlns:a16="http://schemas.microsoft.com/office/drawing/2014/main" id="{B0A6FC16-02B9-4CCD-8685-D5201C52EE57}"/>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4" name="AutoShape 1" descr="Story">
          <a:hlinkClick xmlns:r="http://schemas.openxmlformats.org/officeDocument/2006/relationships" r:id="rId13"/>
          <a:extLst>
            <a:ext uri="{FF2B5EF4-FFF2-40B4-BE49-F238E27FC236}">
              <a16:creationId xmlns:a16="http://schemas.microsoft.com/office/drawing/2014/main" id="{A0178F0D-0638-4127-A6DE-82133B9985C4}"/>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5" name="AutoShape 3" descr="Story">
          <a:hlinkClick xmlns:r="http://schemas.openxmlformats.org/officeDocument/2006/relationships" r:id="rId4"/>
          <a:extLst>
            <a:ext uri="{FF2B5EF4-FFF2-40B4-BE49-F238E27FC236}">
              <a16:creationId xmlns:a16="http://schemas.microsoft.com/office/drawing/2014/main" id="{F3561AF0-A141-48C5-BC25-D41AFD82C483}"/>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6" name="AutoShape 4" descr="Story">
          <a:hlinkClick xmlns:r="http://schemas.openxmlformats.org/officeDocument/2006/relationships" r:id="rId5"/>
          <a:extLst>
            <a:ext uri="{FF2B5EF4-FFF2-40B4-BE49-F238E27FC236}">
              <a16:creationId xmlns:a16="http://schemas.microsoft.com/office/drawing/2014/main" id="{EA83E249-78D4-4C95-AD28-1EFD653D70EB}"/>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07" name="AutoShape 1" descr="Story">
          <a:hlinkClick xmlns:r="http://schemas.openxmlformats.org/officeDocument/2006/relationships" r:id="rId7"/>
          <a:extLst>
            <a:ext uri="{FF2B5EF4-FFF2-40B4-BE49-F238E27FC236}">
              <a16:creationId xmlns:a16="http://schemas.microsoft.com/office/drawing/2014/main" id="{1FC85560-984D-4509-9065-6109796779FB}"/>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08" name="AutoShape 2" descr="Story">
          <a:hlinkClick xmlns:r="http://schemas.openxmlformats.org/officeDocument/2006/relationships" r:id="rId8"/>
          <a:extLst>
            <a:ext uri="{FF2B5EF4-FFF2-40B4-BE49-F238E27FC236}">
              <a16:creationId xmlns:a16="http://schemas.microsoft.com/office/drawing/2014/main" id="{B6E929D4-92EB-44A2-886A-6320A33396E4}"/>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09" name="AutoShape 3" descr="Story">
          <a:hlinkClick xmlns:r="http://schemas.openxmlformats.org/officeDocument/2006/relationships" r:id="rId4"/>
          <a:extLst>
            <a:ext uri="{FF2B5EF4-FFF2-40B4-BE49-F238E27FC236}">
              <a16:creationId xmlns:a16="http://schemas.microsoft.com/office/drawing/2014/main" id="{09AE2991-7390-44CD-BDD2-E3B4A339EDE6}"/>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10" name="AutoShape 4" descr="Story">
          <a:hlinkClick xmlns:r="http://schemas.openxmlformats.org/officeDocument/2006/relationships" r:id="rId5"/>
          <a:extLst>
            <a:ext uri="{FF2B5EF4-FFF2-40B4-BE49-F238E27FC236}">
              <a16:creationId xmlns:a16="http://schemas.microsoft.com/office/drawing/2014/main" id="{3B1F72D5-B224-4E88-8636-21F9029B438E}"/>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1" name="AutoShape 5" descr="Story">
          <a:hlinkClick xmlns:r="http://schemas.openxmlformats.org/officeDocument/2006/relationships" r:id="rId6"/>
          <a:extLst>
            <a:ext uri="{FF2B5EF4-FFF2-40B4-BE49-F238E27FC236}">
              <a16:creationId xmlns:a16="http://schemas.microsoft.com/office/drawing/2014/main" id="{4965FEC2-A814-4949-B4F0-11A81C0161B6}"/>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2" name="AutoShape 1" descr="Sub-task">
          <a:hlinkClick xmlns:r="http://schemas.openxmlformats.org/officeDocument/2006/relationships" r:id="rId9"/>
          <a:extLst>
            <a:ext uri="{FF2B5EF4-FFF2-40B4-BE49-F238E27FC236}">
              <a16:creationId xmlns:a16="http://schemas.microsoft.com/office/drawing/2014/main" id="{C3BF4D77-6349-4052-9317-22B7F4489110}"/>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3" name="AutoShape 2" descr="Sub-task">
          <a:hlinkClick xmlns:r="http://schemas.openxmlformats.org/officeDocument/2006/relationships" r:id="rId10"/>
          <a:extLst>
            <a:ext uri="{FF2B5EF4-FFF2-40B4-BE49-F238E27FC236}">
              <a16:creationId xmlns:a16="http://schemas.microsoft.com/office/drawing/2014/main" id="{8167AAF8-9484-4E9C-9E6A-161AC26E373E}"/>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14" name="AutoShape 7" descr="Story">
          <a:hlinkClick xmlns:r="http://schemas.openxmlformats.org/officeDocument/2006/relationships" r:id="rId3"/>
          <a:extLst>
            <a:ext uri="{FF2B5EF4-FFF2-40B4-BE49-F238E27FC236}">
              <a16:creationId xmlns:a16="http://schemas.microsoft.com/office/drawing/2014/main" id="{208FD4BA-6A6C-4C74-9117-27A7DB741611}"/>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5" name="AutoShape 3" descr="Story">
          <a:hlinkClick xmlns:r="http://schemas.openxmlformats.org/officeDocument/2006/relationships" r:id="rId11"/>
          <a:extLst>
            <a:ext uri="{FF2B5EF4-FFF2-40B4-BE49-F238E27FC236}">
              <a16:creationId xmlns:a16="http://schemas.microsoft.com/office/drawing/2014/main" id="{91F65D70-46F0-4FAB-9C66-F4BFECEC3B3A}"/>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6" name="AutoShape 12" descr="Story">
          <a:hlinkClick xmlns:r="http://schemas.openxmlformats.org/officeDocument/2006/relationships" r:id="rId12"/>
          <a:extLst>
            <a:ext uri="{FF2B5EF4-FFF2-40B4-BE49-F238E27FC236}">
              <a16:creationId xmlns:a16="http://schemas.microsoft.com/office/drawing/2014/main" id="{03A81D84-1BF1-4343-A0AB-B70F8CD3C0B8}"/>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7" name="AutoShape 1" descr="Story">
          <a:hlinkClick xmlns:r="http://schemas.openxmlformats.org/officeDocument/2006/relationships" r:id="rId13"/>
          <a:extLst>
            <a:ext uri="{FF2B5EF4-FFF2-40B4-BE49-F238E27FC236}">
              <a16:creationId xmlns:a16="http://schemas.microsoft.com/office/drawing/2014/main" id="{C9909EB9-5D66-4CF9-93AE-0D6328887E53}"/>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8" name="AutoShape 1" descr="Story">
          <a:hlinkClick xmlns:r="http://schemas.openxmlformats.org/officeDocument/2006/relationships" r:id="rId13"/>
          <a:extLst>
            <a:ext uri="{FF2B5EF4-FFF2-40B4-BE49-F238E27FC236}">
              <a16:creationId xmlns:a16="http://schemas.microsoft.com/office/drawing/2014/main" id="{793051A0-D643-438C-ABB0-7E4758662C34}"/>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19" name="AutoShape 3" descr="Story">
          <a:hlinkClick xmlns:r="http://schemas.openxmlformats.org/officeDocument/2006/relationships" r:id="rId4"/>
          <a:extLst>
            <a:ext uri="{FF2B5EF4-FFF2-40B4-BE49-F238E27FC236}">
              <a16:creationId xmlns:a16="http://schemas.microsoft.com/office/drawing/2014/main" id="{93F03D78-790E-49E0-91E9-70A66AEDF108}"/>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20" name="AutoShape 4" descr="Story">
          <a:hlinkClick xmlns:r="http://schemas.openxmlformats.org/officeDocument/2006/relationships" r:id="rId5"/>
          <a:extLst>
            <a:ext uri="{FF2B5EF4-FFF2-40B4-BE49-F238E27FC236}">
              <a16:creationId xmlns:a16="http://schemas.microsoft.com/office/drawing/2014/main" id="{2C06B855-D7DA-48BE-B13E-AD0E897BD2F5}"/>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1217</xdr:row>
      <xdr:rowOff>0</xdr:rowOff>
    </xdr:from>
    <xdr:ext cx="152400" cy="152400"/>
    <xdr:sp macro="" textlink="">
      <xdr:nvSpPr>
        <xdr:cNvPr id="1221" name="AutoShape 7" descr="Story">
          <a:hlinkClick xmlns:r="http://schemas.openxmlformats.org/officeDocument/2006/relationships" r:id="rId3"/>
          <a:extLst>
            <a:ext uri="{FF2B5EF4-FFF2-40B4-BE49-F238E27FC236}">
              <a16:creationId xmlns:a16="http://schemas.microsoft.com/office/drawing/2014/main" id="{0F7D9938-43F6-4907-A118-A0AC78C26E05}"/>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22" name="AutoShape 8" descr="Story">
          <a:hlinkClick xmlns:r="http://schemas.openxmlformats.org/officeDocument/2006/relationships" r:id="rId4"/>
          <a:extLst>
            <a:ext uri="{FF2B5EF4-FFF2-40B4-BE49-F238E27FC236}">
              <a16:creationId xmlns:a16="http://schemas.microsoft.com/office/drawing/2014/main" id="{C6B7F650-9645-4F40-BCA3-301E649B4630}"/>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1214</xdr:row>
      <xdr:rowOff>0</xdr:rowOff>
    </xdr:from>
    <xdr:ext cx="152400" cy="152400"/>
    <xdr:sp macro="" textlink="">
      <xdr:nvSpPr>
        <xdr:cNvPr id="1223" name="AutoShape 8" descr="Story">
          <a:hlinkClick xmlns:r="http://schemas.openxmlformats.org/officeDocument/2006/relationships" r:id="rId4"/>
          <a:extLst>
            <a:ext uri="{FF2B5EF4-FFF2-40B4-BE49-F238E27FC236}">
              <a16:creationId xmlns:a16="http://schemas.microsoft.com/office/drawing/2014/main" id="{3FC7E0B1-7EF5-48F5-B2FB-A3AD0C978F5C}"/>
            </a:ext>
          </a:extLst>
        </xdr:cNvPr>
        <xdr:cNvSpPr>
          <a:spLocks noChangeAspect="1" noChangeArrowheads="1"/>
        </xdr:cNvSpPr>
      </xdr:nvSpPr>
      <xdr:spPr bwMode="auto">
        <a:xfrm>
          <a:off x="0" y="23774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1211</xdr:row>
      <xdr:rowOff>0</xdr:rowOff>
    </xdr:from>
    <xdr:to>
      <xdr:col>0</xdr:col>
      <xdr:colOff>152400</xdr:colOff>
      <xdr:row>1211</xdr:row>
      <xdr:rowOff>152400</xdr:rowOff>
    </xdr:to>
    <xdr:sp macro="" textlink="">
      <xdr:nvSpPr>
        <xdr:cNvPr id="1224" name="AutoShape 1" descr="Story">
          <a:hlinkClick xmlns:r="http://schemas.openxmlformats.org/officeDocument/2006/relationships" r:id="rId13"/>
          <a:extLst>
            <a:ext uri="{FF2B5EF4-FFF2-40B4-BE49-F238E27FC236}">
              <a16:creationId xmlns:a16="http://schemas.microsoft.com/office/drawing/2014/main" id="{B9D3838B-F5A1-4822-B76C-34A18D2D944E}"/>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25" name="AutoShape 2" descr="Story">
          <a:hlinkClick xmlns:r="http://schemas.openxmlformats.org/officeDocument/2006/relationships" r:id="rId12"/>
          <a:extLst>
            <a:ext uri="{FF2B5EF4-FFF2-40B4-BE49-F238E27FC236}">
              <a16:creationId xmlns:a16="http://schemas.microsoft.com/office/drawing/2014/main" id="{112707B1-8933-4296-9120-5165ABEF7BA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26" name="AutoShape 5" descr="Story">
          <a:hlinkClick xmlns:r="http://schemas.openxmlformats.org/officeDocument/2006/relationships" r:id="rId14"/>
          <a:extLst>
            <a:ext uri="{FF2B5EF4-FFF2-40B4-BE49-F238E27FC236}">
              <a16:creationId xmlns:a16="http://schemas.microsoft.com/office/drawing/2014/main" id="{9E23A61A-BB75-4E82-BFB6-D8D46774F27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27" name="AutoShape 11" descr="Story">
          <a:hlinkClick xmlns:r="http://schemas.openxmlformats.org/officeDocument/2006/relationships" r:id="rId15"/>
          <a:extLst>
            <a:ext uri="{FF2B5EF4-FFF2-40B4-BE49-F238E27FC236}">
              <a16:creationId xmlns:a16="http://schemas.microsoft.com/office/drawing/2014/main" id="{ED848085-7B5B-441D-8B22-B84B42AA8526}"/>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28" name="AutoShape 15" descr="Story">
          <a:hlinkClick xmlns:r="http://schemas.openxmlformats.org/officeDocument/2006/relationships" r:id="rId4"/>
          <a:extLst>
            <a:ext uri="{FF2B5EF4-FFF2-40B4-BE49-F238E27FC236}">
              <a16:creationId xmlns:a16="http://schemas.microsoft.com/office/drawing/2014/main" id="{5416220C-1307-4FF4-847B-90B2F9E06913}"/>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1215</xdr:row>
      <xdr:rowOff>0</xdr:rowOff>
    </xdr:from>
    <xdr:to>
      <xdr:col>0</xdr:col>
      <xdr:colOff>152400</xdr:colOff>
      <xdr:row>1215</xdr:row>
      <xdr:rowOff>152400</xdr:rowOff>
    </xdr:to>
    <xdr:sp macro="" textlink="">
      <xdr:nvSpPr>
        <xdr:cNvPr id="1229" name="AutoShape 1" descr="Story">
          <a:hlinkClick xmlns:r="http://schemas.openxmlformats.org/officeDocument/2006/relationships" r:id="rId13"/>
          <a:extLst>
            <a:ext uri="{FF2B5EF4-FFF2-40B4-BE49-F238E27FC236}">
              <a16:creationId xmlns:a16="http://schemas.microsoft.com/office/drawing/2014/main" id="{F25D044E-2609-4BEC-8E09-B19C366E2E5F}"/>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30" name="AutoShape 2" descr="Story">
          <a:hlinkClick xmlns:r="http://schemas.openxmlformats.org/officeDocument/2006/relationships" r:id="rId12"/>
          <a:extLst>
            <a:ext uri="{FF2B5EF4-FFF2-40B4-BE49-F238E27FC236}">
              <a16:creationId xmlns:a16="http://schemas.microsoft.com/office/drawing/2014/main" id="{751891A4-5F94-4402-81F6-13A0CC09D7E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1212</xdr:row>
      <xdr:rowOff>0</xdr:rowOff>
    </xdr:from>
    <xdr:to>
      <xdr:col>0</xdr:col>
      <xdr:colOff>152400</xdr:colOff>
      <xdr:row>1212</xdr:row>
      <xdr:rowOff>152400</xdr:rowOff>
    </xdr:to>
    <xdr:sp macro="" textlink="">
      <xdr:nvSpPr>
        <xdr:cNvPr id="1231" name="AutoShape 3" descr="Story">
          <a:hlinkClick xmlns:r="http://schemas.openxmlformats.org/officeDocument/2006/relationships" r:id="rId11"/>
          <a:extLst>
            <a:ext uri="{FF2B5EF4-FFF2-40B4-BE49-F238E27FC236}">
              <a16:creationId xmlns:a16="http://schemas.microsoft.com/office/drawing/2014/main" id="{0353E5DB-CD42-4CAE-A9C5-98F30D023946}"/>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32" name="AutoShape 4" descr="Bug">
          <a:hlinkClick xmlns:r="http://schemas.openxmlformats.org/officeDocument/2006/relationships" r:id="rId1"/>
          <a:extLst>
            <a:ext uri="{FF2B5EF4-FFF2-40B4-BE49-F238E27FC236}">
              <a16:creationId xmlns:a16="http://schemas.microsoft.com/office/drawing/2014/main" id="{FB1919E4-CE28-4A90-BDE2-58D0589BC6C1}"/>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33" name="AutoShape 5" descr="Story">
          <a:hlinkClick xmlns:r="http://schemas.openxmlformats.org/officeDocument/2006/relationships" r:id="rId14"/>
          <a:extLst>
            <a:ext uri="{FF2B5EF4-FFF2-40B4-BE49-F238E27FC236}">
              <a16:creationId xmlns:a16="http://schemas.microsoft.com/office/drawing/2014/main" id="{03B556EA-1F57-4AF7-95E3-F818E3C67870}"/>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34" name="AutoShape 6" descr="Bug">
          <a:hlinkClick xmlns:r="http://schemas.openxmlformats.org/officeDocument/2006/relationships" r:id="rId2"/>
          <a:extLst>
            <a:ext uri="{FF2B5EF4-FFF2-40B4-BE49-F238E27FC236}">
              <a16:creationId xmlns:a16="http://schemas.microsoft.com/office/drawing/2014/main" id="{F08FFC0C-2DB5-46E1-A58F-6327233D08A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35" name="AutoShape 7" descr="Story">
          <a:hlinkClick xmlns:r="http://schemas.openxmlformats.org/officeDocument/2006/relationships" r:id="rId3"/>
          <a:extLst>
            <a:ext uri="{FF2B5EF4-FFF2-40B4-BE49-F238E27FC236}">
              <a16:creationId xmlns:a16="http://schemas.microsoft.com/office/drawing/2014/main" id="{5E381F47-00F8-4F2E-8E42-487FB9CAFB7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36" name="AutoShape 8" descr="Story">
          <a:hlinkClick xmlns:r="http://schemas.openxmlformats.org/officeDocument/2006/relationships" r:id="rId4"/>
          <a:extLst>
            <a:ext uri="{FF2B5EF4-FFF2-40B4-BE49-F238E27FC236}">
              <a16:creationId xmlns:a16="http://schemas.microsoft.com/office/drawing/2014/main" id="{73962FDA-A2F8-4B1C-B282-020BDFAF2B51}"/>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37" name="AutoShape 9" descr="Story">
          <a:hlinkClick xmlns:r="http://schemas.openxmlformats.org/officeDocument/2006/relationships" r:id="rId5"/>
          <a:extLst>
            <a:ext uri="{FF2B5EF4-FFF2-40B4-BE49-F238E27FC236}">
              <a16:creationId xmlns:a16="http://schemas.microsoft.com/office/drawing/2014/main" id="{33CEA8DB-8F53-45D4-B48A-AFC87083ED7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1210</xdr:row>
      <xdr:rowOff>0</xdr:rowOff>
    </xdr:from>
    <xdr:to>
      <xdr:col>0</xdr:col>
      <xdr:colOff>152400</xdr:colOff>
      <xdr:row>1210</xdr:row>
      <xdr:rowOff>152400</xdr:rowOff>
    </xdr:to>
    <xdr:sp macro="" textlink="">
      <xdr:nvSpPr>
        <xdr:cNvPr id="1238" name="AutoShape 10" descr="Story">
          <a:hlinkClick xmlns:r="http://schemas.openxmlformats.org/officeDocument/2006/relationships" r:id="rId6"/>
          <a:extLst>
            <a:ext uri="{FF2B5EF4-FFF2-40B4-BE49-F238E27FC236}">
              <a16:creationId xmlns:a16="http://schemas.microsoft.com/office/drawing/2014/main" id="{81DEA793-E804-4BB5-B7DC-78AE8B240ADF}"/>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39" name="AutoShape 11" descr="Story">
          <a:hlinkClick xmlns:r="http://schemas.openxmlformats.org/officeDocument/2006/relationships" r:id="rId15"/>
          <a:extLst>
            <a:ext uri="{FF2B5EF4-FFF2-40B4-BE49-F238E27FC236}">
              <a16:creationId xmlns:a16="http://schemas.microsoft.com/office/drawing/2014/main" id="{C84C3B73-69C3-4F71-9DBD-B8512E7402B5}"/>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1212</xdr:row>
      <xdr:rowOff>0</xdr:rowOff>
    </xdr:from>
    <xdr:to>
      <xdr:col>0</xdr:col>
      <xdr:colOff>152400</xdr:colOff>
      <xdr:row>1212</xdr:row>
      <xdr:rowOff>152400</xdr:rowOff>
    </xdr:to>
    <xdr:sp macro="" textlink="">
      <xdr:nvSpPr>
        <xdr:cNvPr id="1240" name="AutoShape 12" descr="Story">
          <a:hlinkClick xmlns:r="http://schemas.openxmlformats.org/officeDocument/2006/relationships" r:id="rId12"/>
          <a:extLst>
            <a:ext uri="{FF2B5EF4-FFF2-40B4-BE49-F238E27FC236}">
              <a16:creationId xmlns:a16="http://schemas.microsoft.com/office/drawing/2014/main" id="{5ABE8247-1A8D-4C16-92F6-8C6A55B9EF9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41" name="AutoShape 13" descr="Story">
          <a:hlinkClick xmlns:r="http://schemas.openxmlformats.org/officeDocument/2006/relationships" r:id="rId4"/>
          <a:extLst>
            <a:ext uri="{FF2B5EF4-FFF2-40B4-BE49-F238E27FC236}">
              <a16:creationId xmlns:a16="http://schemas.microsoft.com/office/drawing/2014/main" id="{30374FD9-07F4-49C6-B0FA-8CDF60B03FB0}"/>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1210</xdr:row>
      <xdr:rowOff>0</xdr:rowOff>
    </xdr:from>
    <xdr:to>
      <xdr:col>0</xdr:col>
      <xdr:colOff>152400</xdr:colOff>
      <xdr:row>1210</xdr:row>
      <xdr:rowOff>152400</xdr:rowOff>
    </xdr:to>
    <xdr:sp macro="" textlink="">
      <xdr:nvSpPr>
        <xdr:cNvPr id="1242" name="AutoShape 14" descr="Story">
          <a:hlinkClick xmlns:r="http://schemas.openxmlformats.org/officeDocument/2006/relationships" r:id="rId4"/>
          <a:extLst>
            <a:ext uri="{FF2B5EF4-FFF2-40B4-BE49-F238E27FC236}">
              <a16:creationId xmlns:a16="http://schemas.microsoft.com/office/drawing/2014/main" id="{371C1157-9237-4029-81CB-925A9F84D02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43" name="AutoShape 15" descr="Story">
          <a:hlinkClick xmlns:r="http://schemas.openxmlformats.org/officeDocument/2006/relationships" r:id="rId4"/>
          <a:extLst>
            <a:ext uri="{FF2B5EF4-FFF2-40B4-BE49-F238E27FC236}">
              <a16:creationId xmlns:a16="http://schemas.microsoft.com/office/drawing/2014/main" id="{48E82F9F-C4D7-4AE9-8ADA-46CB9844CABA}"/>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1209</xdr:row>
      <xdr:rowOff>0</xdr:rowOff>
    </xdr:from>
    <xdr:ext cx="152400" cy="152400"/>
    <xdr:sp macro="" textlink="">
      <xdr:nvSpPr>
        <xdr:cNvPr id="1244" name="AutoShape 1" descr="Story">
          <a:hlinkClick xmlns:r="http://schemas.openxmlformats.org/officeDocument/2006/relationships" r:id="rId7"/>
          <a:extLst>
            <a:ext uri="{FF2B5EF4-FFF2-40B4-BE49-F238E27FC236}">
              <a16:creationId xmlns:a16="http://schemas.microsoft.com/office/drawing/2014/main" id="{0911F115-A818-40E6-9AA7-8A0744A23B68}"/>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45" name="AutoShape 2" descr="Story">
          <a:hlinkClick xmlns:r="http://schemas.openxmlformats.org/officeDocument/2006/relationships" r:id="rId8"/>
          <a:extLst>
            <a:ext uri="{FF2B5EF4-FFF2-40B4-BE49-F238E27FC236}">
              <a16:creationId xmlns:a16="http://schemas.microsoft.com/office/drawing/2014/main" id="{2860E1C4-F5B2-40C6-B6CA-A3AB3A5FD861}"/>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46" name="AutoShape 5" descr="Story">
          <a:hlinkClick xmlns:r="http://schemas.openxmlformats.org/officeDocument/2006/relationships" r:id="rId6"/>
          <a:extLst>
            <a:ext uri="{FF2B5EF4-FFF2-40B4-BE49-F238E27FC236}">
              <a16:creationId xmlns:a16="http://schemas.microsoft.com/office/drawing/2014/main" id="{FC88A892-2A06-48D8-8426-2B7EB947D7D5}"/>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47" name="AutoShape 1" descr="Sub-task">
          <a:hlinkClick xmlns:r="http://schemas.openxmlformats.org/officeDocument/2006/relationships" r:id="rId9"/>
          <a:extLst>
            <a:ext uri="{FF2B5EF4-FFF2-40B4-BE49-F238E27FC236}">
              <a16:creationId xmlns:a16="http://schemas.microsoft.com/office/drawing/2014/main" id="{FF32F795-DA70-49EF-8685-ACCBE97C618D}"/>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48" name="AutoShape 2" descr="Sub-task">
          <a:hlinkClick xmlns:r="http://schemas.openxmlformats.org/officeDocument/2006/relationships" r:id="rId10"/>
          <a:extLst>
            <a:ext uri="{FF2B5EF4-FFF2-40B4-BE49-F238E27FC236}">
              <a16:creationId xmlns:a16="http://schemas.microsoft.com/office/drawing/2014/main" id="{1BE03FC2-258B-46A2-86B9-D5C05C24FEA5}"/>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49" name="AutoShape 3" descr="Story">
          <a:hlinkClick xmlns:r="http://schemas.openxmlformats.org/officeDocument/2006/relationships" r:id="rId11"/>
          <a:extLst>
            <a:ext uri="{FF2B5EF4-FFF2-40B4-BE49-F238E27FC236}">
              <a16:creationId xmlns:a16="http://schemas.microsoft.com/office/drawing/2014/main" id="{4F54DD51-2D1A-48D5-8649-84E24B8E7CD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50" name="AutoShape 12" descr="Story">
          <a:hlinkClick xmlns:r="http://schemas.openxmlformats.org/officeDocument/2006/relationships" r:id="rId12"/>
          <a:extLst>
            <a:ext uri="{FF2B5EF4-FFF2-40B4-BE49-F238E27FC236}">
              <a16:creationId xmlns:a16="http://schemas.microsoft.com/office/drawing/2014/main" id="{F2A52B75-170C-4EBD-A001-C3CB2398E90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51" name="AutoShape 1" descr="Story">
          <a:hlinkClick xmlns:r="http://schemas.openxmlformats.org/officeDocument/2006/relationships" r:id="rId13"/>
          <a:extLst>
            <a:ext uri="{FF2B5EF4-FFF2-40B4-BE49-F238E27FC236}">
              <a16:creationId xmlns:a16="http://schemas.microsoft.com/office/drawing/2014/main" id="{8F920750-42EC-4831-A92D-A39ED4D5623A}"/>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52" name="AutoShape 1" descr="Story">
          <a:hlinkClick xmlns:r="http://schemas.openxmlformats.org/officeDocument/2006/relationships" r:id="rId13"/>
          <a:extLst>
            <a:ext uri="{FF2B5EF4-FFF2-40B4-BE49-F238E27FC236}">
              <a16:creationId xmlns:a16="http://schemas.microsoft.com/office/drawing/2014/main" id="{77E30F9E-0885-44EE-8089-E92ACF1CDFE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53" name="AutoShape 3" descr="Story">
          <a:hlinkClick xmlns:r="http://schemas.openxmlformats.org/officeDocument/2006/relationships" r:id="rId4"/>
          <a:extLst>
            <a:ext uri="{FF2B5EF4-FFF2-40B4-BE49-F238E27FC236}">
              <a16:creationId xmlns:a16="http://schemas.microsoft.com/office/drawing/2014/main" id="{CD2F58B1-06EF-4360-800F-7B6FF0BE074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54" name="AutoShape 4" descr="Story">
          <a:hlinkClick xmlns:r="http://schemas.openxmlformats.org/officeDocument/2006/relationships" r:id="rId5"/>
          <a:extLst>
            <a:ext uri="{FF2B5EF4-FFF2-40B4-BE49-F238E27FC236}">
              <a16:creationId xmlns:a16="http://schemas.microsoft.com/office/drawing/2014/main" id="{652A9751-3418-4A2A-B0A5-0DE9C5885253}"/>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55" name="AutoShape 1" descr="Story">
          <a:hlinkClick xmlns:r="http://schemas.openxmlformats.org/officeDocument/2006/relationships" r:id="rId7"/>
          <a:extLst>
            <a:ext uri="{FF2B5EF4-FFF2-40B4-BE49-F238E27FC236}">
              <a16:creationId xmlns:a16="http://schemas.microsoft.com/office/drawing/2014/main" id="{9B4077BD-7B9D-4C1F-84D5-BD48924FEBD5}"/>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56" name="AutoShape 2" descr="Story">
          <a:hlinkClick xmlns:r="http://schemas.openxmlformats.org/officeDocument/2006/relationships" r:id="rId8"/>
          <a:extLst>
            <a:ext uri="{FF2B5EF4-FFF2-40B4-BE49-F238E27FC236}">
              <a16:creationId xmlns:a16="http://schemas.microsoft.com/office/drawing/2014/main" id="{FE11D29C-07E0-4A00-8DAF-DF766C46B7AF}"/>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57" name="AutoShape 3" descr="Story">
          <a:hlinkClick xmlns:r="http://schemas.openxmlformats.org/officeDocument/2006/relationships" r:id="rId4"/>
          <a:extLst>
            <a:ext uri="{FF2B5EF4-FFF2-40B4-BE49-F238E27FC236}">
              <a16:creationId xmlns:a16="http://schemas.microsoft.com/office/drawing/2014/main" id="{36EFCFD9-FB7D-4319-8EF1-C4220CE66A79}"/>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58" name="AutoShape 4" descr="Story">
          <a:hlinkClick xmlns:r="http://schemas.openxmlformats.org/officeDocument/2006/relationships" r:id="rId5"/>
          <a:extLst>
            <a:ext uri="{FF2B5EF4-FFF2-40B4-BE49-F238E27FC236}">
              <a16:creationId xmlns:a16="http://schemas.microsoft.com/office/drawing/2014/main" id="{3276EC1F-AFA4-46A6-B843-5B9AE0B3884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59" name="AutoShape 5" descr="Story">
          <a:hlinkClick xmlns:r="http://schemas.openxmlformats.org/officeDocument/2006/relationships" r:id="rId6"/>
          <a:extLst>
            <a:ext uri="{FF2B5EF4-FFF2-40B4-BE49-F238E27FC236}">
              <a16:creationId xmlns:a16="http://schemas.microsoft.com/office/drawing/2014/main" id="{B92AC75C-4C64-42AD-8E0A-AC374415C658}"/>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0" name="AutoShape 1" descr="Sub-task">
          <a:hlinkClick xmlns:r="http://schemas.openxmlformats.org/officeDocument/2006/relationships" r:id="rId9"/>
          <a:extLst>
            <a:ext uri="{FF2B5EF4-FFF2-40B4-BE49-F238E27FC236}">
              <a16:creationId xmlns:a16="http://schemas.microsoft.com/office/drawing/2014/main" id="{09B4CF74-2305-458D-AC63-713A2FC4256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1" name="AutoShape 2" descr="Sub-task">
          <a:hlinkClick xmlns:r="http://schemas.openxmlformats.org/officeDocument/2006/relationships" r:id="rId10"/>
          <a:extLst>
            <a:ext uri="{FF2B5EF4-FFF2-40B4-BE49-F238E27FC236}">
              <a16:creationId xmlns:a16="http://schemas.microsoft.com/office/drawing/2014/main" id="{E3C12F3F-C4E0-4472-B615-5C83DD5CD20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62" name="AutoShape 7" descr="Story">
          <a:hlinkClick xmlns:r="http://schemas.openxmlformats.org/officeDocument/2006/relationships" r:id="rId3"/>
          <a:extLst>
            <a:ext uri="{FF2B5EF4-FFF2-40B4-BE49-F238E27FC236}">
              <a16:creationId xmlns:a16="http://schemas.microsoft.com/office/drawing/2014/main" id="{D699C496-3D30-47D3-B5DE-5A9BFFE8574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3" name="AutoShape 3" descr="Story">
          <a:hlinkClick xmlns:r="http://schemas.openxmlformats.org/officeDocument/2006/relationships" r:id="rId11"/>
          <a:extLst>
            <a:ext uri="{FF2B5EF4-FFF2-40B4-BE49-F238E27FC236}">
              <a16:creationId xmlns:a16="http://schemas.microsoft.com/office/drawing/2014/main" id="{CC30F1C5-DCC3-4CFE-8E00-2789911C41B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4" name="AutoShape 12" descr="Story">
          <a:hlinkClick xmlns:r="http://schemas.openxmlformats.org/officeDocument/2006/relationships" r:id="rId12"/>
          <a:extLst>
            <a:ext uri="{FF2B5EF4-FFF2-40B4-BE49-F238E27FC236}">
              <a16:creationId xmlns:a16="http://schemas.microsoft.com/office/drawing/2014/main" id="{3DF62799-D7E7-4C62-878F-91237A9F0320}"/>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5" name="AutoShape 1" descr="Story">
          <a:hlinkClick xmlns:r="http://schemas.openxmlformats.org/officeDocument/2006/relationships" r:id="rId13"/>
          <a:extLst>
            <a:ext uri="{FF2B5EF4-FFF2-40B4-BE49-F238E27FC236}">
              <a16:creationId xmlns:a16="http://schemas.microsoft.com/office/drawing/2014/main" id="{0DFDFD53-01E1-4639-B727-7863090A7349}"/>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6" name="AutoShape 1" descr="Story">
          <a:hlinkClick xmlns:r="http://schemas.openxmlformats.org/officeDocument/2006/relationships" r:id="rId13"/>
          <a:extLst>
            <a:ext uri="{FF2B5EF4-FFF2-40B4-BE49-F238E27FC236}">
              <a16:creationId xmlns:a16="http://schemas.microsoft.com/office/drawing/2014/main" id="{C83A99B8-672C-472C-8B11-253F44B19179}"/>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7" name="AutoShape 3" descr="Story">
          <a:hlinkClick xmlns:r="http://schemas.openxmlformats.org/officeDocument/2006/relationships" r:id="rId4"/>
          <a:extLst>
            <a:ext uri="{FF2B5EF4-FFF2-40B4-BE49-F238E27FC236}">
              <a16:creationId xmlns:a16="http://schemas.microsoft.com/office/drawing/2014/main" id="{54D70C39-F192-4CDD-B37D-C5AE27A0E0F6}"/>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8" name="AutoShape 4" descr="Story">
          <a:hlinkClick xmlns:r="http://schemas.openxmlformats.org/officeDocument/2006/relationships" r:id="rId5"/>
          <a:extLst>
            <a:ext uri="{FF2B5EF4-FFF2-40B4-BE49-F238E27FC236}">
              <a16:creationId xmlns:a16="http://schemas.microsoft.com/office/drawing/2014/main" id="{D0CC8E4B-BE16-4C0F-A97E-F51D493ED41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69" name="AutoShape 7" descr="Story">
          <a:hlinkClick xmlns:r="http://schemas.openxmlformats.org/officeDocument/2006/relationships" r:id="rId3"/>
          <a:extLst>
            <a:ext uri="{FF2B5EF4-FFF2-40B4-BE49-F238E27FC236}">
              <a16:creationId xmlns:a16="http://schemas.microsoft.com/office/drawing/2014/main" id="{F853C46E-3848-45FF-B3BC-462CAFCFF3F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70" name="AutoShape 8" descr="Story">
          <a:hlinkClick xmlns:r="http://schemas.openxmlformats.org/officeDocument/2006/relationships" r:id="rId4"/>
          <a:extLst>
            <a:ext uri="{FF2B5EF4-FFF2-40B4-BE49-F238E27FC236}">
              <a16:creationId xmlns:a16="http://schemas.microsoft.com/office/drawing/2014/main" id="{FA613758-4F8E-4C28-B970-EF6E532E2F22}"/>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71" name="AutoShape 8" descr="Story">
          <a:hlinkClick xmlns:r="http://schemas.openxmlformats.org/officeDocument/2006/relationships" r:id="rId4"/>
          <a:extLst>
            <a:ext uri="{FF2B5EF4-FFF2-40B4-BE49-F238E27FC236}">
              <a16:creationId xmlns:a16="http://schemas.microsoft.com/office/drawing/2014/main" id="{A9CB39C3-6D8C-49B8-ABA5-7E555157A240}"/>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1214</xdr:row>
      <xdr:rowOff>0</xdr:rowOff>
    </xdr:from>
    <xdr:to>
      <xdr:col>0</xdr:col>
      <xdr:colOff>152400</xdr:colOff>
      <xdr:row>1214</xdr:row>
      <xdr:rowOff>152400</xdr:rowOff>
    </xdr:to>
    <xdr:sp macro="" textlink="">
      <xdr:nvSpPr>
        <xdr:cNvPr id="1272" name="AutoShape 1" descr="Story">
          <a:hlinkClick xmlns:r="http://schemas.openxmlformats.org/officeDocument/2006/relationships" r:id="rId13"/>
          <a:extLst>
            <a:ext uri="{FF2B5EF4-FFF2-40B4-BE49-F238E27FC236}">
              <a16:creationId xmlns:a16="http://schemas.microsoft.com/office/drawing/2014/main" id="{8C5F2A23-F149-493E-AE82-4D502840FC9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73" name="AutoShape 2" descr="Story">
          <a:hlinkClick xmlns:r="http://schemas.openxmlformats.org/officeDocument/2006/relationships" r:id="rId12"/>
          <a:extLst>
            <a:ext uri="{FF2B5EF4-FFF2-40B4-BE49-F238E27FC236}">
              <a16:creationId xmlns:a16="http://schemas.microsoft.com/office/drawing/2014/main" id="{5D5E663C-E3D4-417C-82E1-88D6977AD9C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1212</xdr:row>
      <xdr:rowOff>0</xdr:rowOff>
    </xdr:from>
    <xdr:to>
      <xdr:col>0</xdr:col>
      <xdr:colOff>152400</xdr:colOff>
      <xdr:row>1212</xdr:row>
      <xdr:rowOff>152400</xdr:rowOff>
    </xdr:to>
    <xdr:sp macro="" textlink="">
      <xdr:nvSpPr>
        <xdr:cNvPr id="1274" name="AutoShape 3" descr="Story">
          <a:hlinkClick xmlns:r="http://schemas.openxmlformats.org/officeDocument/2006/relationships" r:id="rId11"/>
          <a:extLst>
            <a:ext uri="{FF2B5EF4-FFF2-40B4-BE49-F238E27FC236}">
              <a16:creationId xmlns:a16="http://schemas.microsoft.com/office/drawing/2014/main" id="{8A8D6896-2510-45E9-86DC-80921D0EEAB9}"/>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75" name="AutoShape 4" descr="Bug">
          <a:hlinkClick xmlns:r="http://schemas.openxmlformats.org/officeDocument/2006/relationships" r:id="rId1"/>
          <a:extLst>
            <a:ext uri="{FF2B5EF4-FFF2-40B4-BE49-F238E27FC236}">
              <a16:creationId xmlns:a16="http://schemas.microsoft.com/office/drawing/2014/main" id="{83FFD2DE-30AE-41EB-A06E-0F60BAB9FA78}"/>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76" name="AutoShape 5" descr="Story">
          <a:hlinkClick xmlns:r="http://schemas.openxmlformats.org/officeDocument/2006/relationships" r:id="rId14"/>
          <a:extLst>
            <a:ext uri="{FF2B5EF4-FFF2-40B4-BE49-F238E27FC236}">
              <a16:creationId xmlns:a16="http://schemas.microsoft.com/office/drawing/2014/main" id="{65AC3590-3F9C-400A-985F-72DE305E930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77" name="AutoShape 6" descr="Bug">
          <a:hlinkClick xmlns:r="http://schemas.openxmlformats.org/officeDocument/2006/relationships" r:id="rId2"/>
          <a:extLst>
            <a:ext uri="{FF2B5EF4-FFF2-40B4-BE49-F238E27FC236}">
              <a16:creationId xmlns:a16="http://schemas.microsoft.com/office/drawing/2014/main" id="{9D91627E-9C61-4800-AB97-3CAB837B5A7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78" name="AutoShape 7" descr="Story">
          <a:hlinkClick xmlns:r="http://schemas.openxmlformats.org/officeDocument/2006/relationships" r:id="rId3"/>
          <a:extLst>
            <a:ext uri="{FF2B5EF4-FFF2-40B4-BE49-F238E27FC236}">
              <a16:creationId xmlns:a16="http://schemas.microsoft.com/office/drawing/2014/main" id="{CDDC840F-BFAA-4511-AFE5-79F6CF9FFDA8}"/>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79" name="AutoShape 8" descr="Story">
          <a:hlinkClick xmlns:r="http://schemas.openxmlformats.org/officeDocument/2006/relationships" r:id="rId4"/>
          <a:extLst>
            <a:ext uri="{FF2B5EF4-FFF2-40B4-BE49-F238E27FC236}">
              <a16:creationId xmlns:a16="http://schemas.microsoft.com/office/drawing/2014/main" id="{927007E8-1A3F-4D7D-B877-989AF90FEE78}"/>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80" name="AutoShape 9" descr="Story">
          <a:hlinkClick xmlns:r="http://schemas.openxmlformats.org/officeDocument/2006/relationships" r:id="rId5"/>
          <a:extLst>
            <a:ext uri="{FF2B5EF4-FFF2-40B4-BE49-F238E27FC236}">
              <a16:creationId xmlns:a16="http://schemas.microsoft.com/office/drawing/2014/main" id="{2C050585-121C-412A-B352-A4E32DD2840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1210</xdr:row>
      <xdr:rowOff>0</xdr:rowOff>
    </xdr:from>
    <xdr:to>
      <xdr:col>0</xdr:col>
      <xdr:colOff>152400</xdr:colOff>
      <xdr:row>1210</xdr:row>
      <xdr:rowOff>152400</xdr:rowOff>
    </xdr:to>
    <xdr:sp macro="" textlink="">
      <xdr:nvSpPr>
        <xdr:cNvPr id="1281" name="AutoShape 10" descr="Story">
          <a:hlinkClick xmlns:r="http://schemas.openxmlformats.org/officeDocument/2006/relationships" r:id="rId6"/>
          <a:extLst>
            <a:ext uri="{FF2B5EF4-FFF2-40B4-BE49-F238E27FC236}">
              <a16:creationId xmlns:a16="http://schemas.microsoft.com/office/drawing/2014/main" id="{1FCEC3E5-11B2-4F4D-898F-0AECCA74C432}"/>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82" name="AutoShape 11" descr="Story">
          <a:hlinkClick xmlns:r="http://schemas.openxmlformats.org/officeDocument/2006/relationships" r:id="rId15"/>
          <a:extLst>
            <a:ext uri="{FF2B5EF4-FFF2-40B4-BE49-F238E27FC236}">
              <a16:creationId xmlns:a16="http://schemas.microsoft.com/office/drawing/2014/main" id="{EE237499-206D-4832-B39F-765009C5B22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1212</xdr:row>
      <xdr:rowOff>0</xdr:rowOff>
    </xdr:from>
    <xdr:to>
      <xdr:col>0</xdr:col>
      <xdr:colOff>152400</xdr:colOff>
      <xdr:row>1212</xdr:row>
      <xdr:rowOff>152400</xdr:rowOff>
    </xdr:to>
    <xdr:sp macro="" textlink="">
      <xdr:nvSpPr>
        <xdr:cNvPr id="1283" name="AutoShape 12" descr="Story">
          <a:hlinkClick xmlns:r="http://schemas.openxmlformats.org/officeDocument/2006/relationships" r:id="rId12"/>
          <a:extLst>
            <a:ext uri="{FF2B5EF4-FFF2-40B4-BE49-F238E27FC236}">
              <a16:creationId xmlns:a16="http://schemas.microsoft.com/office/drawing/2014/main" id="{EFF0C989-6676-4224-A152-24F97257B74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152400</xdr:colOff>
      <xdr:row>1209</xdr:row>
      <xdr:rowOff>152400</xdr:rowOff>
    </xdr:to>
    <xdr:sp macro="" textlink="">
      <xdr:nvSpPr>
        <xdr:cNvPr id="1284" name="AutoShape 13" descr="Story">
          <a:hlinkClick xmlns:r="http://schemas.openxmlformats.org/officeDocument/2006/relationships" r:id="rId4"/>
          <a:extLst>
            <a:ext uri="{FF2B5EF4-FFF2-40B4-BE49-F238E27FC236}">
              <a16:creationId xmlns:a16="http://schemas.microsoft.com/office/drawing/2014/main" id="{03245869-7077-4D93-9D2C-14F3446F4CD6}"/>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1210</xdr:row>
      <xdr:rowOff>0</xdr:rowOff>
    </xdr:from>
    <xdr:to>
      <xdr:col>0</xdr:col>
      <xdr:colOff>152400</xdr:colOff>
      <xdr:row>1210</xdr:row>
      <xdr:rowOff>152400</xdr:rowOff>
    </xdr:to>
    <xdr:sp macro="" textlink="">
      <xdr:nvSpPr>
        <xdr:cNvPr id="1285" name="AutoShape 14" descr="Story">
          <a:hlinkClick xmlns:r="http://schemas.openxmlformats.org/officeDocument/2006/relationships" r:id="rId4"/>
          <a:extLst>
            <a:ext uri="{FF2B5EF4-FFF2-40B4-BE49-F238E27FC236}">
              <a16:creationId xmlns:a16="http://schemas.microsoft.com/office/drawing/2014/main" id="{5673678A-12C6-4995-8FB2-06177BD5724E}"/>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1213</xdr:row>
      <xdr:rowOff>0</xdr:rowOff>
    </xdr:from>
    <xdr:to>
      <xdr:col>0</xdr:col>
      <xdr:colOff>152400</xdr:colOff>
      <xdr:row>1213</xdr:row>
      <xdr:rowOff>152400</xdr:rowOff>
    </xdr:to>
    <xdr:sp macro="" textlink="">
      <xdr:nvSpPr>
        <xdr:cNvPr id="1286" name="AutoShape 15" descr="Story">
          <a:hlinkClick xmlns:r="http://schemas.openxmlformats.org/officeDocument/2006/relationships" r:id="rId4"/>
          <a:extLst>
            <a:ext uri="{FF2B5EF4-FFF2-40B4-BE49-F238E27FC236}">
              <a16:creationId xmlns:a16="http://schemas.microsoft.com/office/drawing/2014/main" id="{4A98440C-A670-48AA-AEE4-3F121977211D}"/>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1209</xdr:row>
      <xdr:rowOff>0</xdr:rowOff>
    </xdr:from>
    <xdr:ext cx="152400" cy="152400"/>
    <xdr:sp macro="" textlink="">
      <xdr:nvSpPr>
        <xdr:cNvPr id="1287" name="AutoShape 1" descr="Story">
          <a:hlinkClick xmlns:r="http://schemas.openxmlformats.org/officeDocument/2006/relationships" r:id="rId7"/>
          <a:extLst>
            <a:ext uri="{FF2B5EF4-FFF2-40B4-BE49-F238E27FC236}">
              <a16:creationId xmlns:a16="http://schemas.microsoft.com/office/drawing/2014/main" id="{B9B03610-1814-4BDB-BD6D-A1C0E6D00E0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88" name="AutoShape 2" descr="Story">
          <a:hlinkClick xmlns:r="http://schemas.openxmlformats.org/officeDocument/2006/relationships" r:id="rId8"/>
          <a:extLst>
            <a:ext uri="{FF2B5EF4-FFF2-40B4-BE49-F238E27FC236}">
              <a16:creationId xmlns:a16="http://schemas.microsoft.com/office/drawing/2014/main" id="{CE568BD5-7F90-4EB7-A4E8-D3E2BFD5F34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89" name="AutoShape 5" descr="Story">
          <a:hlinkClick xmlns:r="http://schemas.openxmlformats.org/officeDocument/2006/relationships" r:id="rId6"/>
          <a:extLst>
            <a:ext uri="{FF2B5EF4-FFF2-40B4-BE49-F238E27FC236}">
              <a16:creationId xmlns:a16="http://schemas.microsoft.com/office/drawing/2014/main" id="{6177644F-9012-484B-9D2B-C3CAB6B0933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0" name="AutoShape 1" descr="Sub-task">
          <a:hlinkClick xmlns:r="http://schemas.openxmlformats.org/officeDocument/2006/relationships" r:id="rId9"/>
          <a:extLst>
            <a:ext uri="{FF2B5EF4-FFF2-40B4-BE49-F238E27FC236}">
              <a16:creationId xmlns:a16="http://schemas.microsoft.com/office/drawing/2014/main" id="{61B90775-4497-48F8-B9B1-1F68294250B2}"/>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1" name="AutoShape 2" descr="Sub-task">
          <a:hlinkClick xmlns:r="http://schemas.openxmlformats.org/officeDocument/2006/relationships" r:id="rId10"/>
          <a:extLst>
            <a:ext uri="{FF2B5EF4-FFF2-40B4-BE49-F238E27FC236}">
              <a16:creationId xmlns:a16="http://schemas.microsoft.com/office/drawing/2014/main" id="{3336BB6B-038E-451D-A235-CBB29A33AE41}"/>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2" name="AutoShape 3" descr="Story">
          <a:hlinkClick xmlns:r="http://schemas.openxmlformats.org/officeDocument/2006/relationships" r:id="rId11"/>
          <a:extLst>
            <a:ext uri="{FF2B5EF4-FFF2-40B4-BE49-F238E27FC236}">
              <a16:creationId xmlns:a16="http://schemas.microsoft.com/office/drawing/2014/main" id="{72172C98-2730-4CEA-A953-EAE079674696}"/>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3" name="AutoShape 12" descr="Story">
          <a:hlinkClick xmlns:r="http://schemas.openxmlformats.org/officeDocument/2006/relationships" r:id="rId12"/>
          <a:extLst>
            <a:ext uri="{FF2B5EF4-FFF2-40B4-BE49-F238E27FC236}">
              <a16:creationId xmlns:a16="http://schemas.microsoft.com/office/drawing/2014/main" id="{F233D9A7-E2CC-4081-B196-14F8662CB82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4" name="AutoShape 1" descr="Story">
          <a:hlinkClick xmlns:r="http://schemas.openxmlformats.org/officeDocument/2006/relationships" r:id="rId13"/>
          <a:extLst>
            <a:ext uri="{FF2B5EF4-FFF2-40B4-BE49-F238E27FC236}">
              <a16:creationId xmlns:a16="http://schemas.microsoft.com/office/drawing/2014/main" id="{56E1C113-F2F9-4C6B-8A2B-59E299982F35}"/>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5" name="AutoShape 1" descr="Story">
          <a:hlinkClick xmlns:r="http://schemas.openxmlformats.org/officeDocument/2006/relationships" r:id="rId13"/>
          <a:extLst>
            <a:ext uri="{FF2B5EF4-FFF2-40B4-BE49-F238E27FC236}">
              <a16:creationId xmlns:a16="http://schemas.microsoft.com/office/drawing/2014/main" id="{C5762BEF-1832-48D1-9930-3DBC2699BC6E}"/>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6" name="AutoShape 3" descr="Story">
          <a:hlinkClick xmlns:r="http://schemas.openxmlformats.org/officeDocument/2006/relationships" r:id="rId4"/>
          <a:extLst>
            <a:ext uri="{FF2B5EF4-FFF2-40B4-BE49-F238E27FC236}">
              <a16:creationId xmlns:a16="http://schemas.microsoft.com/office/drawing/2014/main" id="{D92230B3-1FC1-4174-A671-45DDAB62A081}"/>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297" name="AutoShape 4" descr="Story">
          <a:hlinkClick xmlns:r="http://schemas.openxmlformats.org/officeDocument/2006/relationships" r:id="rId5"/>
          <a:extLst>
            <a:ext uri="{FF2B5EF4-FFF2-40B4-BE49-F238E27FC236}">
              <a16:creationId xmlns:a16="http://schemas.microsoft.com/office/drawing/2014/main" id="{277869D3-2275-4B11-BF5A-7B4BC1C3CADC}"/>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98" name="AutoShape 1" descr="Story">
          <a:hlinkClick xmlns:r="http://schemas.openxmlformats.org/officeDocument/2006/relationships" r:id="rId7"/>
          <a:extLst>
            <a:ext uri="{FF2B5EF4-FFF2-40B4-BE49-F238E27FC236}">
              <a16:creationId xmlns:a16="http://schemas.microsoft.com/office/drawing/2014/main" id="{C4EEA463-0EE9-4AD1-812C-66394AC0460F}"/>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299" name="AutoShape 2" descr="Story">
          <a:hlinkClick xmlns:r="http://schemas.openxmlformats.org/officeDocument/2006/relationships" r:id="rId8"/>
          <a:extLst>
            <a:ext uri="{FF2B5EF4-FFF2-40B4-BE49-F238E27FC236}">
              <a16:creationId xmlns:a16="http://schemas.microsoft.com/office/drawing/2014/main" id="{5C34538A-6CEF-4950-A20F-86BB3DB3A5B7}"/>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300" name="AutoShape 3" descr="Story">
          <a:hlinkClick xmlns:r="http://schemas.openxmlformats.org/officeDocument/2006/relationships" r:id="rId4"/>
          <a:extLst>
            <a:ext uri="{FF2B5EF4-FFF2-40B4-BE49-F238E27FC236}">
              <a16:creationId xmlns:a16="http://schemas.microsoft.com/office/drawing/2014/main" id="{DD7D0BDD-5970-4CCB-9051-CE5B028D2254}"/>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301" name="AutoShape 4" descr="Story">
          <a:hlinkClick xmlns:r="http://schemas.openxmlformats.org/officeDocument/2006/relationships" r:id="rId5"/>
          <a:extLst>
            <a:ext uri="{FF2B5EF4-FFF2-40B4-BE49-F238E27FC236}">
              <a16:creationId xmlns:a16="http://schemas.microsoft.com/office/drawing/2014/main" id="{52E68320-E624-4F3E-9ADE-A0187A35AA46}"/>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02" name="AutoShape 5" descr="Story">
          <a:hlinkClick xmlns:r="http://schemas.openxmlformats.org/officeDocument/2006/relationships" r:id="rId6"/>
          <a:extLst>
            <a:ext uri="{FF2B5EF4-FFF2-40B4-BE49-F238E27FC236}">
              <a16:creationId xmlns:a16="http://schemas.microsoft.com/office/drawing/2014/main" id="{7DA75BED-71AD-42B7-9F8A-39558C737F0D}"/>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03" name="AutoShape 1" descr="Sub-task">
          <a:hlinkClick xmlns:r="http://schemas.openxmlformats.org/officeDocument/2006/relationships" r:id="rId9"/>
          <a:extLst>
            <a:ext uri="{FF2B5EF4-FFF2-40B4-BE49-F238E27FC236}">
              <a16:creationId xmlns:a16="http://schemas.microsoft.com/office/drawing/2014/main" id="{EF210D56-7A31-4D94-92A0-A35401551E2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04" name="AutoShape 2" descr="Sub-task">
          <a:hlinkClick xmlns:r="http://schemas.openxmlformats.org/officeDocument/2006/relationships" r:id="rId10"/>
          <a:extLst>
            <a:ext uri="{FF2B5EF4-FFF2-40B4-BE49-F238E27FC236}">
              <a16:creationId xmlns:a16="http://schemas.microsoft.com/office/drawing/2014/main" id="{ACE4F8B9-37BE-4D28-AA09-789AC4E7F862}"/>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305" name="AutoShape 7" descr="Story">
          <a:hlinkClick xmlns:r="http://schemas.openxmlformats.org/officeDocument/2006/relationships" r:id="rId3"/>
          <a:extLst>
            <a:ext uri="{FF2B5EF4-FFF2-40B4-BE49-F238E27FC236}">
              <a16:creationId xmlns:a16="http://schemas.microsoft.com/office/drawing/2014/main" id="{F10F2805-8D37-4724-94A1-F56EED3986A2}"/>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06" name="AutoShape 3" descr="Story">
          <a:hlinkClick xmlns:r="http://schemas.openxmlformats.org/officeDocument/2006/relationships" r:id="rId11"/>
          <a:extLst>
            <a:ext uri="{FF2B5EF4-FFF2-40B4-BE49-F238E27FC236}">
              <a16:creationId xmlns:a16="http://schemas.microsoft.com/office/drawing/2014/main" id="{09231704-B145-46B6-98C3-0F0CD473E39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07" name="AutoShape 12" descr="Story">
          <a:hlinkClick xmlns:r="http://schemas.openxmlformats.org/officeDocument/2006/relationships" r:id="rId12"/>
          <a:extLst>
            <a:ext uri="{FF2B5EF4-FFF2-40B4-BE49-F238E27FC236}">
              <a16:creationId xmlns:a16="http://schemas.microsoft.com/office/drawing/2014/main" id="{845F8C12-30B5-4B32-B347-F26C0B277613}"/>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08" name="AutoShape 1" descr="Story">
          <a:hlinkClick xmlns:r="http://schemas.openxmlformats.org/officeDocument/2006/relationships" r:id="rId13"/>
          <a:extLst>
            <a:ext uri="{FF2B5EF4-FFF2-40B4-BE49-F238E27FC236}">
              <a16:creationId xmlns:a16="http://schemas.microsoft.com/office/drawing/2014/main" id="{8B48B50E-600C-4C1A-8E2E-E98D5B41D285}"/>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09" name="AutoShape 1" descr="Story">
          <a:hlinkClick xmlns:r="http://schemas.openxmlformats.org/officeDocument/2006/relationships" r:id="rId13"/>
          <a:extLst>
            <a:ext uri="{FF2B5EF4-FFF2-40B4-BE49-F238E27FC236}">
              <a16:creationId xmlns:a16="http://schemas.microsoft.com/office/drawing/2014/main" id="{FC773290-9FB9-4D55-BD1F-2B9028E806A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10" name="AutoShape 3" descr="Story">
          <a:hlinkClick xmlns:r="http://schemas.openxmlformats.org/officeDocument/2006/relationships" r:id="rId4"/>
          <a:extLst>
            <a:ext uri="{FF2B5EF4-FFF2-40B4-BE49-F238E27FC236}">
              <a16:creationId xmlns:a16="http://schemas.microsoft.com/office/drawing/2014/main" id="{F00B6D6C-6D32-4F21-A12A-630D66ACE213}"/>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11" name="AutoShape 4" descr="Story">
          <a:hlinkClick xmlns:r="http://schemas.openxmlformats.org/officeDocument/2006/relationships" r:id="rId5"/>
          <a:extLst>
            <a:ext uri="{FF2B5EF4-FFF2-40B4-BE49-F238E27FC236}">
              <a16:creationId xmlns:a16="http://schemas.microsoft.com/office/drawing/2014/main" id="{AEDDC197-E23F-4CB2-9C55-67406D8CFEAB}"/>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1212</xdr:row>
      <xdr:rowOff>0</xdr:rowOff>
    </xdr:from>
    <xdr:ext cx="152400" cy="152400"/>
    <xdr:sp macro="" textlink="">
      <xdr:nvSpPr>
        <xdr:cNvPr id="1312" name="AutoShape 7" descr="Story">
          <a:hlinkClick xmlns:r="http://schemas.openxmlformats.org/officeDocument/2006/relationships" r:id="rId3"/>
          <a:extLst>
            <a:ext uri="{FF2B5EF4-FFF2-40B4-BE49-F238E27FC236}">
              <a16:creationId xmlns:a16="http://schemas.microsoft.com/office/drawing/2014/main" id="{B1B01B36-82BB-482A-96BA-0FBDD1B17481}"/>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313" name="AutoShape 8" descr="Story">
          <a:hlinkClick xmlns:r="http://schemas.openxmlformats.org/officeDocument/2006/relationships" r:id="rId4"/>
          <a:extLst>
            <a:ext uri="{FF2B5EF4-FFF2-40B4-BE49-F238E27FC236}">
              <a16:creationId xmlns:a16="http://schemas.microsoft.com/office/drawing/2014/main" id="{CD192C3C-D802-49ED-B102-0A278D1B34E0}"/>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1209</xdr:row>
      <xdr:rowOff>0</xdr:rowOff>
    </xdr:from>
    <xdr:ext cx="152400" cy="152400"/>
    <xdr:sp macro="" textlink="">
      <xdr:nvSpPr>
        <xdr:cNvPr id="1314" name="AutoShape 8" descr="Story">
          <a:hlinkClick xmlns:r="http://schemas.openxmlformats.org/officeDocument/2006/relationships" r:id="rId4"/>
          <a:extLst>
            <a:ext uri="{FF2B5EF4-FFF2-40B4-BE49-F238E27FC236}">
              <a16:creationId xmlns:a16="http://schemas.microsoft.com/office/drawing/2014/main" id="{0DA73E2B-6CE7-45A2-AA0D-3A0DBE996DCE}"/>
            </a:ext>
          </a:extLst>
        </xdr:cNvPr>
        <xdr:cNvSpPr>
          <a:spLocks noChangeAspect="1" noChangeArrowheads="1"/>
        </xdr:cNvSpPr>
      </xdr:nvSpPr>
      <xdr:spPr bwMode="auto">
        <a:xfrm>
          <a:off x="0" y="25603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1222</xdr:row>
      <xdr:rowOff>0</xdr:rowOff>
    </xdr:from>
    <xdr:to>
      <xdr:col>0</xdr:col>
      <xdr:colOff>152400</xdr:colOff>
      <xdr:row>1222</xdr:row>
      <xdr:rowOff>152400</xdr:rowOff>
    </xdr:to>
    <xdr:sp macro="" textlink="">
      <xdr:nvSpPr>
        <xdr:cNvPr id="1315" name="AutoShape 4" descr="Bug">
          <a:hlinkClick xmlns:r="http://schemas.openxmlformats.org/officeDocument/2006/relationships" r:id="rId1"/>
          <a:extLst>
            <a:ext uri="{FF2B5EF4-FFF2-40B4-BE49-F238E27FC236}">
              <a16:creationId xmlns:a16="http://schemas.microsoft.com/office/drawing/2014/main" id="{64821F94-FF52-4E38-AA3D-D6B2E67FE179}"/>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1222</xdr:row>
      <xdr:rowOff>0</xdr:rowOff>
    </xdr:from>
    <xdr:to>
      <xdr:col>0</xdr:col>
      <xdr:colOff>152400</xdr:colOff>
      <xdr:row>1222</xdr:row>
      <xdr:rowOff>152400</xdr:rowOff>
    </xdr:to>
    <xdr:sp macro="" textlink="">
      <xdr:nvSpPr>
        <xdr:cNvPr id="1316" name="AutoShape 6" descr="Bug">
          <a:hlinkClick xmlns:r="http://schemas.openxmlformats.org/officeDocument/2006/relationships" r:id="rId2"/>
          <a:extLst>
            <a:ext uri="{FF2B5EF4-FFF2-40B4-BE49-F238E27FC236}">
              <a16:creationId xmlns:a16="http://schemas.microsoft.com/office/drawing/2014/main" id="{15340372-82AB-4E83-BE0B-F6B0000673FE}"/>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1222</xdr:row>
      <xdr:rowOff>0</xdr:rowOff>
    </xdr:from>
    <xdr:to>
      <xdr:col>0</xdr:col>
      <xdr:colOff>152400</xdr:colOff>
      <xdr:row>1222</xdr:row>
      <xdr:rowOff>152400</xdr:rowOff>
    </xdr:to>
    <xdr:sp macro="" textlink="">
      <xdr:nvSpPr>
        <xdr:cNvPr id="1317" name="AutoShape 7" descr="Story">
          <a:hlinkClick xmlns:r="http://schemas.openxmlformats.org/officeDocument/2006/relationships" r:id="rId3"/>
          <a:extLst>
            <a:ext uri="{FF2B5EF4-FFF2-40B4-BE49-F238E27FC236}">
              <a16:creationId xmlns:a16="http://schemas.microsoft.com/office/drawing/2014/main" id="{475BFDD6-177B-440C-8C74-7E88A60E05AC}"/>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1222</xdr:row>
      <xdr:rowOff>0</xdr:rowOff>
    </xdr:from>
    <xdr:to>
      <xdr:col>0</xdr:col>
      <xdr:colOff>152400</xdr:colOff>
      <xdr:row>1222</xdr:row>
      <xdr:rowOff>152400</xdr:rowOff>
    </xdr:to>
    <xdr:sp macro="" textlink="">
      <xdr:nvSpPr>
        <xdr:cNvPr id="1318" name="AutoShape 8" descr="Story">
          <a:hlinkClick xmlns:r="http://schemas.openxmlformats.org/officeDocument/2006/relationships" r:id="rId4"/>
          <a:extLst>
            <a:ext uri="{FF2B5EF4-FFF2-40B4-BE49-F238E27FC236}">
              <a16:creationId xmlns:a16="http://schemas.microsoft.com/office/drawing/2014/main" id="{AC4D8BB5-5363-46EF-AC73-82CBB51ADFEA}"/>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1222</xdr:row>
      <xdr:rowOff>0</xdr:rowOff>
    </xdr:from>
    <xdr:to>
      <xdr:col>0</xdr:col>
      <xdr:colOff>152400</xdr:colOff>
      <xdr:row>1222</xdr:row>
      <xdr:rowOff>152400</xdr:rowOff>
    </xdr:to>
    <xdr:sp macro="" textlink="">
      <xdr:nvSpPr>
        <xdr:cNvPr id="1319" name="AutoShape 9" descr="Story">
          <a:hlinkClick xmlns:r="http://schemas.openxmlformats.org/officeDocument/2006/relationships" r:id="rId5"/>
          <a:extLst>
            <a:ext uri="{FF2B5EF4-FFF2-40B4-BE49-F238E27FC236}">
              <a16:creationId xmlns:a16="http://schemas.microsoft.com/office/drawing/2014/main" id="{023A2782-7C8C-4E30-B07C-A992D4A5D8E8}"/>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1223</xdr:row>
      <xdr:rowOff>0</xdr:rowOff>
    </xdr:from>
    <xdr:to>
      <xdr:col>0</xdr:col>
      <xdr:colOff>152400</xdr:colOff>
      <xdr:row>1223</xdr:row>
      <xdr:rowOff>152400</xdr:rowOff>
    </xdr:to>
    <xdr:sp macro="" textlink="">
      <xdr:nvSpPr>
        <xdr:cNvPr id="1320" name="AutoShape 10" descr="Story">
          <a:hlinkClick xmlns:r="http://schemas.openxmlformats.org/officeDocument/2006/relationships" r:id="rId6"/>
          <a:extLst>
            <a:ext uri="{FF2B5EF4-FFF2-40B4-BE49-F238E27FC236}">
              <a16:creationId xmlns:a16="http://schemas.microsoft.com/office/drawing/2014/main" id="{2E9E1D14-F686-4704-8942-302EEEC5F8D8}"/>
            </a:ext>
          </a:extLst>
        </xdr:cNvPr>
        <xdr:cNvSpPr>
          <a:spLocks noChangeAspect="1" noChangeArrowheads="1"/>
        </xdr:cNvSpPr>
      </xdr:nvSpPr>
      <xdr:spPr bwMode="auto">
        <a:xfrm>
          <a:off x="0" y="3474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1222</xdr:row>
      <xdr:rowOff>0</xdr:rowOff>
    </xdr:from>
    <xdr:to>
      <xdr:col>0</xdr:col>
      <xdr:colOff>152400</xdr:colOff>
      <xdr:row>1222</xdr:row>
      <xdr:rowOff>152400</xdr:rowOff>
    </xdr:to>
    <xdr:sp macro="" textlink="">
      <xdr:nvSpPr>
        <xdr:cNvPr id="1321" name="AutoShape 13" descr="Story">
          <a:hlinkClick xmlns:r="http://schemas.openxmlformats.org/officeDocument/2006/relationships" r:id="rId4"/>
          <a:extLst>
            <a:ext uri="{FF2B5EF4-FFF2-40B4-BE49-F238E27FC236}">
              <a16:creationId xmlns:a16="http://schemas.microsoft.com/office/drawing/2014/main" id="{F177A688-AF12-420B-81AE-6F87C870A8BD}"/>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1223</xdr:row>
      <xdr:rowOff>0</xdr:rowOff>
    </xdr:from>
    <xdr:to>
      <xdr:col>0</xdr:col>
      <xdr:colOff>152400</xdr:colOff>
      <xdr:row>1223</xdr:row>
      <xdr:rowOff>152400</xdr:rowOff>
    </xdr:to>
    <xdr:sp macro="" textlink="">
      <xdr:nvSpPr>
        <xdr:cNvPr id="1322" name="AutoShape 14" descr="Story">
          <a:hlinkClick xmlns:r="http://schemas.openxmlformats.org/officeDocument/2006/relationships" r:id="rId4"/>
          <a:extLst>
            <a:ext uri="{FF2B5EF4-FFF2-40B4-BE49-F238E27FC236}">
              <a16:creationId xmlns:a16="http://schemas.microsoft.com/office/drawing/2014/main" id="{955217FC-ABEF-46A6-B8D7-F4ABEB89D086}"/>
            </a:ext>
          </a:extLst>
        </xdr:cNvPr>
        <xdr:cNvSpPr>
          <a:spLocks noChangeAspect="1" noChangeArrowheads="1"/>
        </xdr:cNvSpPr>
      </xdr:nvSpPr>
      <xdr:spPr bwMode="auto">
        <a:xfrm>
          <a:off x="0" y="34747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1222</xdr:row>
      <xdr:rowOff>0</xdr:rowOff>
    </xdr:from>
    <xdr:ext cx="152400" cy="152400"/>
    <xdr:sp macro="" textlink="">
      <xdr:nvSpPr>
        <xdr:cNvPr id="1323" name="AutoShape 1" descr="Story">
          <a:hlinkClick xmlns:r="http://schemas.openxmlformats.org/officeDocument/2006/relationships" r:id="rId7"/>
          <a:extLst>
            <a:ext uri="{FF2B5EF4-FFF2-40B4-BE49-F238E27FC236}">
              <a16:creationId xmlns:a16="http://schemas.microsoft.com/office/drawing/2014/main" id="{5AB69121-A02E-4488-B1C7-725B917BEEB6}"/>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24" name="AutoShape 2" descr="Story">
          <a:hlinkClick xmlns:r="http://schemas.openxmlformats.org/officeDocument/2006/relationships" r:id="rId8"/>
          <a:extLst>
            <a:ext uri="{FF2B5EF4-FFF2-40B4-BE49-F238E27FC236}">
              <a16:creationId xmlns:a16="http://schemas.microsoft.com/office/drawing/2014/main" id="{E8D10B48-7770-4352-981E-4325E80615B3}"/>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25" name="AutoShape 5" descr="Story">
          <a:hlinkClick xmlns:r="http://schemas.openxmlformats.org/officeDocument/2006/relationships" r:id="rId6"/>
          <a:extLst>
            <a:ext uri="{FF2B5EF4-FFF2-40B4-BE49-F238E27FC236}">
              <a16:creationId xmlns:a16="http://schemas.microsoft.com/office/drawing/2014/main" id="{A36D238D-E562-42BB-BCD5-8270444C603C}"/>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26" name="AutoShape 1" descr="Sub-task">
          <a:hlinkClick xmlns:r="http://schemas.openxmlformats.org/officeDocument/2006/relationships" r:id="rId9"/>
          <a:extLst>
            <a:ext uri="{FF2B5EF4-FFF2-40B4-BE49-F238E27FC236}">
              <a16:creationId xmlns:a16="http://schemas.microsoft.com/office/drawing/2014/main" id="{1F68368E-18FF-458C-AE20-3402A0608451}"/>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27" name="AutoShape 2" descr="Sub-task">
          <a:hlinkClick xmlns:r="http://schemas.openxmlformats.org/officeDocument/2006/relationships" r:id="rId10"/>
          <a:extLst>
            <a:ext uri="{FF2B5EF4-FFF2-40B4-BE49-F238E27FC236}">
              <a16:creationId xmlns:a16="http://schemas.microsoft.com/office/drawing/2014/main" id="{F06F3A6D-E7E1-46B7-9336-74C6ADAC8C85}"/>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28" name="AutoShape 3" descr="Story">
          <a:hlinkClick xmlns:r="http://schemas.openxmlformats.org/officeDocument/2006/relationships" r:id="rId11"/>
          <a:extLst>
            <a:ext uri="{FF2B5EF4-FFF2-40B4-BE49-F238E27FC236}">
              <a16:creationId xmlns:a16="http://schemas.microsoft.com/office/drawing/2014/main" id="{E1BA58F8-5D65-4252-8C9C-8DC2E298E4CE}"/>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29" name="AutoShape 12" descr="Story">
          <a:hlinkClick xmlns:r="http://schemas.openxmlformats.org/officeDocument/2006/relationships" r:id="rId12"/>
          <a:extLst>
            <a:ext uri="{FF2B5EF4-FFF2-40B4-BE49-F238E27FC236}">
              <a16:creationId xmlns:a16="http://schemas.microsoft.com/office/drawing/2014/main" id="{36DB5B89-0D20-4240-89A8-00712CAE1E4F}"/>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0" name="AutoShape 1" descr="Story">
          <a:hlinkClick xmlns:r="http://schemas.openxmlformats.org/officeDocument/2006/relationships" r:id="rId13"/>
          <a:extLst>
            <a:ext uri="{FF2B5EF4-FFF2-40B4-BE49-F238E27FC236}">
              <a16:creationId xmlns:a16="http://schemas.microsoft.com/office/drawing/2014/main" id="{2DBA536E-7BA9-40F2-8F8A-67B7F0D8DC3F}"/>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1" name="AutoShape 1" descr="Story">
          <a:hlinkClick xmlns:r="http://schemas.openxmlformats.org/officeDocument/2006/relationships" r:id="rId13"/>
          <a:extLst>
            <a:ext uri="{FF2B5EF4-FFF2-40B4-BE49-F238E27FC236}">
              <a16:creationId xmlns:a16="http://schemas.microsoft.com/office/drawing/2014/main" id="{15E49EAB-0A90-494B-BEF0-F9ABAD34F4A2}"/>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2" name="AutoShape 3" descr="Story">
          <a:hlinkClick xmlns:r="http://schemas.openxmlformats.org/officeDocument/2006/relationships" r:id="rId4"/>
          <a:extLst>
            <a:ext uri="{FF2B5EF4-FFF2-40B4-BE49-F238E27FC236}">
              <a16:creationId xmlns:a16="http://schemas.microsoft.com/office/drawing/2014/main" id="{24E7DF1F-FF5E-4703-938D-EF65F98E6488}"/>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3" name="AutoShape 4" descr="Story">
          <a:hlinkClick xmlns:r="http://schemas.openxmlformats.org/officeDocument/2006/relationships" r:id="rId5"/>
          <a:extLst>
            <a:ext uri="{FF2B5EF4-FFF2-40B4-BE49-F238E27FC236}">
              <a16:creationId xmlns:a16="http://schemas.microsoft.com/office/drawing/2014/main" id="{358FA88D-846D-428F-88E7-190066BD4001}"/>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4" name="AutoShape 3" descr="Story">
          <a:hlinkClick xmlns:r="http://schemas.openxmlformats.org/officeDocument/2006/relationships" r:id="rId4"/>
          <a:extLst>
            <a:ext uri="{FF2B5EF4-FFF2-40B4-BE49-F238E27FC236}">
              <a16:creationId xmlns:a16="http://schemas.microsoft.com/office/drawing/2014/main" id="{28E0F625-E3DB-4CE8-805F-307693C82DEE}"/>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5" name="AutoShape 4" descr="Story">
          <a:hlinkClick xmlns:r="http://schemas.openxmlformats.org/officeDocument/2006/relationships" r:id="rId5"/>
          <a:extLst>
            <a:ext uri="{FF2B5EF4-FFF2-40B4-BE49-F238E27FC236}">
              <a16:creationId xmlns:a16="http://schemas.microsoft.com/office/drawing/2014/main" id="{70152254-BF22-4857-83D5-73C70104AA10}"/>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6" name="AutoShape 7" descr="Story">
          <a:hlinkClick xmlns:r="http://schemas.openxmlformats.org/officeDocument/2006/relationships" r:id="rId3"/>
          <a:extLst>
            <a:ext uri="{FF2B5EF4-FFF2-40B4-BE49-F238E27FC236}">
              <a16:creationId xmlns:a16="http://schemas.microsoft.com/office/drawing/2014/main" id="{65D3D0BF-2610-414E-B3C6-61E6D2FD7936}"/>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7" name="AutoShape 8" descr="Story">
          <a:hlinkClick xmlns:r="http://schemas.openxmlformats.org/officeDocument/2006/relationships" r:id="rId4"/>
          <a:extLst>
            <a:ext uri="{FF2B5EF4-FFF2-40B4-BE49-F238E27FC236}">
              <a16:creationId xmlns:a16="http://schemas.microsoft.com/office/drawing/2014/main" id="{D2526855-CA43-4826-A638-5D444A960DDF}"/>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1222</xdr:row>
      <xdr:rowOff>0</xdr:rowOff>
    </xdr:from>
    <xdr:ext cx="152400" cy="152400"/>
    <xdr:sp macro="" textlink="">
      <xdr:nvSpPr>
        <xdr:cNvPr id="1338" name="AutoShape 8" descr="Story">
          <a:hlinkClick xmlns:r="http://schemas.openxmlformats.org/officeDocument/2006/relationships" r:id="rId4"/>
          <a:extLst>
            <a:ext uri="{FF2B5EF4-FFF2-40B4-BE49-F238E27FC236}">
              <a16:creationId xmlns:a16="http://schemas.microsoft.com/office/drawing/2014/main" id="{B0690760-D7B0-42D2-8DA2-FDD06DA6A0A8}"/>
            </a:ext>
          </a:extLst>
        </xdr:cNvPr>
        <xdr:cNvSpPr>
          <a:spLocks noChangeAspect="1" noChangeArrowheads="1"/>
        </xdr:cNvSpPr>
      </xdr:nvSpPr>
      <xdr:spPr bwMode="auto">
        <a:xfrm>
          <a:off x="0" y="32918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1224</xdr:row>
      <xdr:rowOff>0</xdr:rowOff>
    </xdr:from>
    <xdr:to>
      <xdr:col>0</xdr:col>
      <xdr:colOff>152400</xdr:colOff>
      <xdr:row>1224</xdr:row>
      <xdr:rowOff>152400</xdr:rowOff>
    </xdr:to>
    <xdr:sp macro="" textlink="">
      <xdr:nvSpPr>
        <xdr:cNvPr id="1339" name="AutoShape 3" descr="Story">
          <a:hlinkClick xmlns:r="http://schemas.openxmlformats.org/officeDocument/2006/relationships" r:id="rId11"/>
          <a:extLst>
            <a:ext uri="{FF2B5EF4-FFF2-40B4-BE49-F238E27FC236}">
              <a16:creationId xmlns:a16="http://schemas.microsoft.com/office/drawing/2014/main" id="{42A628AD-F8C0-46EF-9E46-A8C4E432BBCF}"/>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1224</xdr:row>
      <xdr:rowOff>0</xdr:rowOff>
    </xdr:from>
    <xdr:to>
      <xdr:col>0</xdr:col>
      <xdr:colOff>152400</xdr:colOff>
      <xdr:row>1224</xdr:row>
      <xdr:rowOff>152400</xdr:rowOff>
    </xdr:to>
    <xdr:sp macro="" textlink="">
      <xdr:nvSpPr>
        <xdr:cNvPr id="1340" name="AutoShape 12" descr="Story">
          <a:hlinkClick xmlns:r="http://schemas.openxmlformats.org/officeDocument/2006/relationships" r:id="rId12"/>
          <a:extLst>
            <a:ext uri="{FF2B5EF4-FFF2-40B4-BE49-F238E27FC236}">
              <a16:creationId xmlns:a16="http://schemas.microsoft.com/office/drawing/2014/main" id="{D430DE7F-9CA8-42A7-B57C-452D9F87BD01}"/>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1224</xdr:row>
      <xdr:rowOff>0</xdr:rowOff>
    </xdr:from>
    <xdr:ext cx="152400" cy="152400"/>
    <xdr:sp macro="" textlink="">
      <xdr:nvSpPr>
        <xdr:cNvPr id="1341" name="AutoShape 1" descr="Story">
          <a:hlinkClick xmlns:r="http://schemas.openxmlformats.org/officeDocument/2006/relationships" r:id="rId7"/>
          <a:extLst>
            <a:ext uri="{FF2B5EF4-FFF2-40B4-BE49-F238E27FC236}">
              <a16:creationId xmlns:a16="http://schemas.microsoft.com/office/drawing/2014/main" id="{3A422CE3-6313-465F-90F7-3F75B1E31666}"/>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2" name="AutoShape 2" descr="Story">
          <a:hlinkClick xmlns:r="http://schemas.openxmlformats.org/officeDocument/2006/relationships" r:id="rId8"/>
          <a:extLst>
            <a:ext uri="{FF2B5EF4-FFF2-40B4-BE49-F238E27FC236}">
              <a16:creationId xmlns:a16="http://schemas.microsoft.com/office/drawing/2014/main" id="{452E0414-8DDD-457F-9284-A5DCCCC3220D}"/>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3" name="AutoShape 5" descr="Story">
          <a:hlinkClick xmlns:r="http://schemas.openxmlformats.org/officeDocument/2006/relationships" r:id="rId6"/>
          <a:extLst>
            <a:ext uri="{FF2B5EF4-FFF2-40B4-BE49-F238E27FC236}">
              <a16:creationId xmlns:a16="http://schemas.microsoft.com/office/drawing/2014/main" id="{9B10F506-24F0-44D6-B8A1-ECE338ABB23A}"/>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4" name="AutoShape 1" descr="Sub-task">
          <a:hlinkClick xmlns:r="http://schemas.openxmlformats.org/officeDocument/2006/relationships" r:id="rId9"/>
          <a:extLst>
            <a:ext uri="{FF2B5EF4-FFF2-40B4-BE49-F238E27FC236}">
              <a16:creationId xmlns:a16="http://schemas.microsoft.com/office/drawing/2014/main" id="{B003E32C-9B7D-48AF-BB99-EE6A43424E70}"/>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5" name="AutoShape 2" descr="Sub-task">
          <a:hlinkClick xmlns:r="http://schemas.openxmlformats.org/officeDocument/2006/relationships" r:id="rId10"/>
          <a:extLst>
            <a:ext uri="{FF2B5EF4-FFF2-40B4-BE49-F238E27FC236}">
              <a16:creationId xmlns:a16="http://schemas.microsoft.com/office/drawing/2014/main" id="{EF92337C-DCE5-4772-AA20-241228B084DB}"/>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6" name="AutoShape 3" descr="Story">
          <a:hlinkClick xmlns:r="http://schemas.openxmlformats.org/officeDocument/2006/relationships" r:id="rId11"/>
          <a:extLst>
            <a:ext uri="{FF2B5EF4-FFF2-40B4-BE49-F238E27FC236}">
              <a16:creationId xmlns:a16="http://schemas.microsoft.com/office/drawing/2014/main" id="{5CA96F4B-5859-4A13-B2D6-EF3788A8B0EF}"/>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7" name="AutoShape 12" descr="Story">
          <a:hlinkClick xmlns:r="http://schemas.openxmlformats.org/officeDocument/2006/relationships" r:id="rId12"/>
          <a:extLst>
            <a:ext uri="{FF2B5EF4-FFF2-40B4-BE49-F238E27FC236}">
              <a16:creationId xmlns:a16="http://schemas.microsoft.com/office/drawing/2014/main" id="{E755F961-61B8-4EB5-B550-98CE9DD5126F}"/>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8" name="AutoShape 1" descr="Story">
          <a:hlinkClick xmlns:r="http://schemas.openxmlformats.org/officeDocument/2006/relationships" r:id="rId13"/>
          <a:extLst>
            <a:ext uri="{FF2B5EF4-FFF2-40B4-BE49-F238E27FC236}">
              <a16:creationId xmlns:a16="http://schemas.microsoft.com/office/drawing/2014/main" id="{37841C84-B920-4F75-935B-7CBD5DB99875}"/>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49" name="AutoShape 1" descr="Story">
          <a:hlinkClick xmlns:r="http://schemas.openxmlformats.org/officeDocument/2006/relationships" r:id="rId13"/>
          <a:extLst>
            <a:ext uri="{FF2B5EF4-FFF2-40B4-BE49-F238E27FC236}">
              <a16:creationId xmlns:a16="http://schemas.microsoft.com/office/drawing/2014/main" id="{0A404B56-62B2-4E4E-A923-F1D3F3066F0E}"/>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50" name="AutoShape 3" descr="Story">
          <a:hlinkClick xmlns:r="http://schemas.openxmlformats.org/officeDocument/2006/relationships" r:id="rId4"/>
          <a:extLst>
            <a:ext uri="{FF2B5EF4-FFF2-40B4-BE49-F238E27FC236}">
              <a16:creationId xmlns:a16="http://schemas.microsoft.com/office/drawing/2014/main" id="{67FC5045-196E-4E0F-AC82-B2898A374671}"/>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51" name="AutoShape 4" descr="Story">
          <a:hlinkClick xmlns:r="http://schemas.openxmlformats.org/officeDocument/2006/relationships" r:id="rId5"/>
          <a:extLst>
            <a:ext uri="{FF2B5EF4-FFF2-40B4-BE49-F238E27FC236}">
              <a16:creationId xmlns:a16="http://schemas.microsoft.com/office/drawing/2014/main" id="{B5E5ABF2-C1FA-4E5A-A06F-AB9B3D51E238}"/>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1224</xdr:row>
      <xdr:rowOff>0</xdr:rowOff>
    </xdr:from>
    <xdr:ext cx="152400" cy="152400"/>
    <xdr:sp macro="" textlink="">
      <xdr:nvSpPr>
        <xdr:cNvPr id="1352" name="AutoShape 7" descr="Story">
          <a:hlinkClick xmlns:r="http://schemas.openxmlformats.org/officeDocument/2006/relationships" r:id="rId3"/>
          <a:extLst>
            <a:ext uri="{FF2B5EF4-FFF2-40B4-BE49-F238E27FC236}">
              <a16:creationId xmlns:a16="http://schemas.microsoft.com/office/drawing/2014/main" id="{C9C05531-98B8-4596-B38F-9EFCDB9F27FD}"/>
            </a:ext>
          </a:extLst>
        </xdr:cNvPr>
        <xdr:cNvSpPr>
          <a:spLocks noChangeAspect="1" noChangeArrowheads="1"/>
        </xdr:cNvSpPr>
      </xdr:nvSpPr>
      <xdr:spPr bwMode="auto">
        <a:xfrm>
          <a:off x="0" y="36576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1289</xdr:row>
      <xdr:rowOff>0</xdr:rowOff>
    </xdr:from>
    <xdr:to>
      <xdr:col>0</xdr:col>
      <xdr:colOff>152400</xdr:colOff>
      <xdr:row>1289</xdr:row>
      <xdr:rowOff>152400</xdr:rowOff>
    </xdr:to>
    <xdr:sp macro="" textlink="">
      <xdr:nvSpPr>
        <xdr:cNvPr id="1353" name="AutoShape 4" descr="Bug">
          <a:hlinkClick xmlns:r="http://schemas.openxmlformats.org/officeDocument/2006/relationships" r:id="rId1"/>
          <a:extLst>
            <a:ext uri="{FF2B5EF4-FFF2-40B4-BE49-F238E27FC236}">
              <a16:creationId xmlns:a16="http://schemas.microsoft.com/office/drawing/2014/main" id="{D70D2CBB-D29B-455C-8755-A223558DFBC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354" name="AutoShape 6" descr="Bug">
          <a:hlinkClick xmlns:r="http://schemas.openxmlformats.org/officeDocument/2006/relationships" r:id="rId2"/>
          <a:extLst>
            <a:ext uri="{FF2B5EF4-FFF2-40B4-BE49-F238E27FC236}">
              <a16:creationId xmlns:a16="http://schemas.microsoft.com/office/drawing/2014/main" id="{7328D89D-0ED2-450B-8FDF-CF90C9AD1B27}"/>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355" name="AutoShape 7" descr="Story">
          <a:hlinkClick xmlns:r="http://schemas.openxmlformats.org/officeDocument/2006/relationships" r:id="rId3"/>
          <a:extLst>
            <a:ext uri="{FF2B5EF4-FFF2-40B4-BE49-F238E27FC236}">
              <a16:creationId xmlns:a16="http://schemas.microsoft.com/office/drawing/2014/main" id="{7FFE27EA-B5AC-4B9D-BD2B-35777D4512C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356" name="AutoShape 8" descr="Story">
          <a:hlinkClick xmlns:r="http://schemas.openxmlformats.org/officeDocument/2006/relationships" r:id="rId4"/>
          <a:extLst>
            <a:ext uri="{FF2B5EF4-FFF2-40B4-BE49-F238E27FC236}">
              <a16:creationId xmlns:a16="http://schemas.microsoft.com/office/drawing/2014/main" id="{27EE0C20-66D6-42EE-88BB-EEA07C7E618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357" name="AutoShape 9" descr="Story">
          <a:hlinkClick xmlns:r="http://schemas.openxmlformats.org/officeDocument/2006/relationships" r:id="rId5"/>
          <a:extLst>
            <a:ext uri="{FF2B5EF4-FFF2-40B4-BE49-F238E27FC236}">
              <a16:creationId xmlns:a16="http://schemas.microsoft.com/office/drawing/2014/main" id="{28C96777-46A6-4152-ABF3-AF1D01EAA95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358" name="AutoShape 10" descr="Story">
          <a:hlinkClick xmlns:r="http://schemas.openxmlformats.org/officeDocument/2006/relationships" r:id="rId6"/>
          <a:extLst>
            <a:ext uri="{FF2B5EF4-FFF2-40B4-BE49-F238E27FC236}">
              <a16:creationId xmlns:a16="http://schemas.microsoft.com/office/drawing/2014/main" id="{31394FDC-B8F4-444F-848E-B04FCE0ADBDC}"/>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359" name="AutoShape 13" descr="Story">
          <a:hlinkClick xmlns:r="http://schemas.openxmlformats.org/officeDocument/2006/relationships" r:id="rId4"/>
          <a:extLst>
            <a:ext uri="{FF2B5EF4-FFF2-40B4-BE49-F238E27FC236}">
              <a16:creationId xmlns:a16="http://schemas.microsoft.com/office/drawing/2014/main" id="{E23D15F2-747A-44A7-A9DD-A2AC92E2503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360" name="AutoShape 14" descr="Story">
          <a:hlinkClick xmlns:r="http://schemas.openxmlformats.org/officeDocument/2006/relationships" r:id="rId4"/>
          <a:extLst>
            <a:ext uri="{FF2B5EF4-FFF2-40B4-BE49-F238E27FC236}">
              <a16:creationId xmlns:a16="http://schemas.microsoft.com/office/drawing/2014/main" id="{57B2AE62-232E-42AB-8009-E6E7F977E972}"/>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1289</xdr:row>
      <xdr:rowOff>0</xdr:rowOff>
    </xdr:from>
    <xdr:ext cx="152400" cy="152400"/>
    <xdr:sp macro="" textlink="">
      <xdr:nvSpPr>
        <xdr:cNvPr id="1361" name="AutoShape 1" descr="Story">
          <a:hlinkClick xmlns:r="http://schemas.openxmlformats.org/officeDocument/2006/relationships" r:id="rId7"/>
          <a:extLst>
            <a:ext uri="{FF2B5EF4-FFF2-40B4-BE49-F238E27FC236}">
              <a16:creationId xmlns:a16="http://schemas.microsoft.com/office/drawing/2014/main" id="{DE6806C7-7B04-4F05-9802-CE71F3C5E8D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2" name="AutoShape 2" descr="Story">
          <a:hlinkClick xmlns:r="http://schemas.openxmlformats.org/officeDocument/2006/relationships" r:id="rId8"/>
          <a:extLst>
            <a:ext uri="{FF2B5EF4-FFF2-40B4-BE49-F238E27FC236}">
              <a16:creationId xmlns:a16="http://schemas.microsoft.com/office/drawing/2014/main" id="{ED25CF45-058D-493B-9A36-A552DA9724B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3" name="AutoShape 5" descr="Story">
          <a:hlinkClick xmlns:r="http://schemas.openxmlformats.org/officeDocument/2006/relationships" r:id="rId6"/>
          <a:extLst>
            <a:ext uri="{FF2B5EF4-FFF2-40B4-BE49-F238E27FC236}">
              <a16:creationId xmlns:a16="http://schemas.microsoft.com/office/drawing/2014/main" id="{1142528D-DCB8-4C8D-9423-567EF0A6E7C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4" name="AutoShape 1" descr="Sub-task">
          <a:hlinkClick xmlns:r="http://schemas.openxmlformats.org/officeDocument/2006/relationships" r:id="rId9"/>
          <a:extLst>
            <a:ext uri="{FF2B5EF4-FFF2-40B4-BE49-F238E27FC236}">
              <a16:creationId xmlns:a16="http://schemas.microsoft.com/office/drawing/2014/main" id="{21CF1B59-1895-4553-82B6-D80E0E2254C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5" name="AutoShape 2" descr="Sub-task">
          <a:hlinkClick xmlns:r="http://schemas.openxmlformats.org/officeDocument/2006/relationships" r:id="rId10"/>
          <a:extLst>
            <a:ext uri="{FF2B5EF4-FFF2-40B4-BE49-F238E27FC236}">
              <a16:creationId xmlns:a16="http://schemas.microsoft.com/office/drawing/2014/main" id="{CD7DC8A7-0D34-48C0-B329-6730568D1F4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6" name="AutoShape 3" descr="Story">
          <a:hlinkClick xmlns:r="http://schemas.openxmlformats.org/officeDocument/2006/relationships" r:id="rId11"/>
          <a:extLst>
            <a:ext uri="{FF2B5EF4-FFF2-40B4-BE49-F238E27FC236}">
              <a16:creationId xmlns:a16="http://schemas.microsoft.com/office/drawing/2014/main" id="{ECE71275-4566-43E5-8462-1D7BBA39868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7" name="AutoShape 12" descr="Story">
          <a:hlinkClick xmlns:r="http://schemas.openxmlformats.org/officeDocument/2006/relationships" r:id="rId12"/>
          <a:extLst>
            <a:ext uri="{FF2B5EF4-FFF2-40B4-BE49-F238E27FC236}">
              <a16:creationId xmlns:a16="http://schemas.microsoft.com/office/drawing/2014/main" id="{A05F2C76-087C-4784-B4A9-89FF9024239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8" name="AutoShape 1" descr="Story">
          <a:hlinkClick xmlns:r="http://schemas.openxmlformats.org/officeDocument/2006/relationships" r:id="rId13"/>
          <a:extLst>
            <a:ext uri="{FF2B5EF4-FFF2-40B4-BE49-F238E27FC236}">
              <a16:creationId xmlns:a16="http://schemas.microsoft.com/office/drawing/2014/main" id="{41D3F6E9-0F44-4255-95A0-3B69A58486F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69" name="AutoShape 1" descr="Story">
          <a:hlinkClick xmlns:r="http://schemas.openxmlformats.org/officeDocument/2006/relationships" r:id="rId13"/>
          <a:extLst>
            <a:ext uri="{FF2B5EF4-FFF2-40B4-BE49-F238E27FC236}">
              <a16:creationId xmlns:a16="http://schemas.microsoft.com/office/drawing/2014/main" id="{B63CBCD5-B73C-4662-8A88-54ACF980F22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70" name="AutoShape 3" descr="Story">
          <a:hlinkClick xmlns:r="http://schemas.openxmlformats.org/officeDocument/2006/relationships" r:id="rId4"/>
          <a:extLst>
            <a:ext uri="{FF2B5EF4-FFF2-40B4-BE49-F238E27FC236}">
              <a16:creationId xmlns:a16="http://schemas.microsoft.com/office/drawing/2014/main" id="{1E16DB61-D82A-459E-B25D-BDB2C91DDED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71" name="AutoShape 4" descr="Story">
          <a:hlinkClick xmlns:r="http://schemas.openxmlformats.org/officeDocument/2006/relationships" r:id="rId5"/>
          <a:extLst>
            <a:ext uri="{FF2B5EF4-FFF2-40B4-BE49-F238E27FC236}">
              <a16:creationId xmlns:a16="http://schemas.microsoft.com/office/drawing/2014/main" id="{72CA707E-7F02-47FE-B506-8A5A826E51DB}"/>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72" name="AutoShape 3" descr="Story">
          <a:hlinkClick xmlns:r="http://schemas.openxmlformats.org/officeDocument/2006/relationships" r:id="rId4"/>
          <a:extLst>
            <a:ext uri="{FF2B5EF4-FFF2-40B4-BE49-F238E27FC236}">
              <a16:creationId xmlns:a16="http://schemas.microsoft.com/office/drawing/2014/main" id="{3B1FF727-8B34-4BC0-8808-42A7AAF8E7E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73" name="AutoShape 4" descr="Story">
          <a:hlinkClick xmlns:r="http://schemas.openxmlformats.org/officeDocument/2006/relationships" r:id="rId5"/>
          <a:extLst>
            <a:ext uri="{FF2B5EF4-FFF2-40B4-BE49-F238E27FC236}">
              <a16:creationId xmlns:a16="http://schemas.microsoft.com/office/drawing/2014/main" id="{A9D19C09-9E3B-46B7-85C0-F448744C83E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74" name="AutoShape 7" descr="Story">
          <a:hlinkClick xmlns:r="http://schemas.openxmlformats.org/officeDocument/2006/relationships" r:id="rId3"/>
          <a:extLst>
            <a:ext uri="{FF2B5EF4-FFF2-40B4-BE49-F238E27FC236}">
              <a16:creationId xmlns:a16="http://schemas.microsoft.com/office/drawing/2014/main" id="{E37DD6B5-E6E3-4DEF-A599-347BD1490FB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75" name="AutoShape 8" descr="Story">
          <a:hlinkClick xmlns:r="http://schemas.openxmlformats.org/officeDocument/2006/relationships" r:id="rId4"/>
          <a:extLst>
            <a:ext uri="{FF2B5EF4-FFF2-40B4-BE49-F238E27FC236}">
              <a16:creationId xmlns:a16="http://schemas.microsoft.com/office/drawing/2014/main" id="{03456373-BBEC-489C-991B-EF81B53BAEF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376" name="AutoShape 8" descr="Story">
          <a:hlinkClick xmlns:r="http://schemas.openxmlformats.org/officeDocument/2006/relationships" r:id="rId4"/>
          <a:extLst>
            <a:ext uri="{FF2B5EF4-FFF2-40B4-BE49-F238E27FC236}">
              <a16:creationId xmlns:a16="http://schemas.microsoft.com/office/drawing/2014/main" id="{24B18FEA-8A33-475B-BE24-7C3C0A04184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1269</xdr:row>
      <xdr:rowOff>0</xdr:rowOff>
    </xdr:from>
    <xdr:to>
      <xdr:col>0</xdr:col>
      <xdr:colOff>152400</xdr:colOff>
      <xdr:row>1269</xdr:row>
      <xdr:rowOff>152400</xdr:rowOff>
    </xdr:to>
    <xdr:sp macro="" textlink="">
      <xdr:nvSpPr>
        <xdr:cNvPr id="1377" name="AutoShape 1" descr="Story">
          <a:hlinkClick xmlns:r="http://schemas.openxmlformats.org/officeDocument/2006/relationships" r:id="rId13"/>
          <a:extLst>
            <a:ext uri="{FF2B5EF4-FFF2-40B4-BE49-F238E27FC236}">
              <a16:creationId xmlns:a16="http://schemas.microsoft.com/office/drawing/2014/main" id="{A227E8D2-CE7F-49C2-A7A2-FE2EE919AFAE}"/>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378" name="AutoShape 2" descr="Story">
          <a:hlinkClick xmlns:r="http://schemas.openxmlformats.org/officeDocument/2006/relationships" r:id="rId12"/>
          <a:extLst>
            <a:ext uri="{FF2B5EF4-FFF2-40B4-BE49-F238E27FC236}">
              <a16:creationId xmlns:a16="http://schemas.microsoft.com/office/drawing/2014/main" id="{A0D4A2B3-7826-4FD7-88F5-4756F31B92D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1266</xdr:row>
      <xdr:rowOff>0</xdr:rowOff>
    </xdr:from>
    <xdr:to>
      <xdr:col>0</xdr:col>
      <xdr:colOff>152400</xdr:colOff>
      <xdr:row>1266</xdr:row>
      <xdr:rowOff>152400</xdr:rowOff>
    </xdr:to>
    <xdr:sp macro="" textlink="">
      <xdr:nvSpPr>
        <xdr:cNvPr id="1379" name="AutoShape 3" descr="Story">
          <a:hlinkClick xmlns:r="http://schemas.openxmlformats.org/officeDocument/2006/relationships" r:id="rId11"/>
          <a:extLst>
            <a:ext uri="{FF2B5EF4-FFF2-40B4-BE49-F238E27FC236}">
              <a16:creationId xmlns:a16="http://schemas.microsoft.com/office/drawing/2014/main" id="{AD521C08-83EB-4AF1-A556-329C4CEB290C}"/>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1263</xdr:row>
      <xdr:rowOff>0</xdr:rowOff>
    </xdr:from>
    <xdr:to>
      <xdr:col>0</xdr:col>
      <xdr:colOff>152400</xdr:colOff>
      <xdr:row>1263</xdr:row>
      <xdr:rowOff>152400</xdr:rowOff>
    </xdr:to>
    <xdr:sp macro="" textlink="">
      <xdr:nvSpPr>
        <xdr:cNvPr id="1380" name="AutoShape 4" descr="Bug">
          <a:hlinkClick xmlns:r="http://schemas.openxmlformats.org/officeDocument/2006/relationships" r:id="rId1"/>
          <a:extLst>
            <a:ext uri="{FF2B5EF4-FFF2-40B4-BE49-F238E27FC236}">
              <a16:creationId xmlns:a16="http://schemas.microsoft.com/office/drawing/2014/main" id="{DC8CC0B9-6CE6-494F-87C9-A9B6BE1897D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381" name="AutoShape 5" descr="Story">
          <a:hlinkClick xmlns:r="http://schemas.openxmlformats.org/officeDocument/2006/relationships" r:id="rId14"/>
          <a:extLst>
            <a:ext uri="{FF2B5EF4-FFF2-40B4-BE49-F238E27FC236}">
              <a16:creationId xmlns:a16="http://schemas.microsoft.com/office/drawing/2014/main" id="{43B9B4ED-AF64-4F16-9E54-FC062FF06A9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1263</xdr:row>
      <xdr:rowOff>0</xdr:rowOff>
    </xdr:from>
    <xdr:to>
      <xdr:col>0</xdr:col>
      <xdr:colOff>152400</xdr:colOff>
      <xdr:row>1263</xdr:row>
      <xdr:rowOff>152400</xdr:rowOff>
    </xdr:to>
    <xdr:sp macro="" textlink="">
      <xdr:nvSpPr>
        <xdr:cNvPr id="1382" name="AutoShape 6" descr="Bug">
          <a:hlinkClick xmlns:r="http://schemas.openxmlformats.org/officeDocument/2006/relationships" r:id="rId2"/>
          <a:extLst>
            <a:ext uri="{FF2B5EF4-FFF2-40B4-BE49-F238E27FC236}">
              <a16:creationId xmlns:a16="http://schemas.microsoft.com/office/drawing/2014/main" id="{10AAF106-8A58-4634-82F2-7D9B3C3447A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1263</xdr:row>
      <xdr:rowOff>0</xdr:rowOff>
    </xdr:from>
    <xdr:to>
      <xdr:col>0</xdr:col>
      <xdr:colOff>152400</xdr:colOff>
      <xdr:row>1263</xdr:row>
      <xdr:rowOff>152400</xdr:rowOff>
    </xdr:to>
    <xdr:sp macro="" textlink="">
      <xdr:nvSpPr>
        <xdr:cNvPr id="1383" name="AutoShape 7" descr="Story">
          <a:hlinkClick xmlns:r="http://schemas.openxmlformats.org/officeDocument/2006/relationships" r:id="rId3"/>
          <a:extLst>
            <a:ext uri="{FF2B5EF4-FFF2-40B4-BE49-F238E27FC236}">
              <a16:creationId xmlns:a16="http://schemas.microsoft.com/office/drawing/2014/main" id="{86C9981A-8495-4E59-AD12-612F4833DAF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1263</xdr:row>
      <xdr:rowOff>0</xdr:rowOff>
    </xdr:from>
    <xdr:to>
      <xdr:col>0</xdr:col>
      <xdr:colOff>152400</xdr:colOff>
      <xdr:row>1263</xdr:row>
      <xdr:rowOff>152400</xdr:rowOff>
    </xdr:to>
    <xdr:sp macro="" textlink="">
      <xdr:nvSpPr>
        <xdr:cNvPr id="1384" name="AutoShape 8" descr="Story">
          <a:hlinkClick xmlns:r="http://schemas.openxmlformats.org/officeDocument/2006/relationships" r:id="rId4"/>
          <a:extLst>
            <a:ext uri="{FF2B5EF4-FFF2-40B4-BE49-F238E27FC236}">
              <a16:creationId xmlns:a16="http://schemas.microsoft.com/office/drawing/2014/main" id="{EC67A31E-D711-4C16-AC3E-1E8AAAC31EE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1263</xdr:row>
      <xdr:rowOff>0</xdr:rowOff>
    </xdr:from>
    <xdr:to>
      <xdr:col>0</xdr:col>
      <xdr:colOff>152400</xdr:colOff>
      <xdr:row>1263</xdr:row>
      <xdr:rowOff>152400</xdr:rowOff>
    </xdr:to>
    <xdr:sp macro="" textlink="">
      <xdr:nvSpPr>
        <xdr:cNvPr id="1385" name="AutoShape 9" descr="Story">
          <a:hlinkClick xmlns:r="http://schemas.openxmlformats.org/officeDocument/2006/relationships" r:id="rId5"/>
          <a:extLst>
            <a:ext uri="{FF2B5EF4-FFF2-40B4-BE49-F238E27FC236}">
              <a16:creationId xmlns:a16="http://schemas.microsoft.com/office/drawing/2014/main" id="{5DEF575A-6287-4F23-AEA8-D00C4084B8C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1264</xdr:row>
      <xdr:rowOff>0</xdr:rowOff>
    </xdr:from>
    <xdr:to>
      <xdr:col>0</xdr:col>
      <xdr:colOff>152400</xdr:colOff>
      <xdr:row>1264</xdr:row>
      <xdr:rowOff>152400</xdr:rowOff>
    </xdr:to>
    <xdr:sp macro="" textlink="">
      <xdr:nvSpPr>
        <xdr:cNvPr id="1386" name="AutoShape 10" descr="Story">
          <a:hlinkClick xmlns:r="http://schemas.openxmlformats.org/officeDocument/2006/relationships" r:id="rId6"/>
          <a:extLst>
            <a:ext uri="{FF2B5EF4-FFF2-40B4-BE49-F238E27FC236}">
              <a16:creationId xmlns:a16="http://schemas.microsoft.com/office/drawing/2014/main" id="{46CD6AFF-5A3C-48E3-9185-A3337357038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387" name="AutoShape 11" descr="Story">
          <a:hlinkClick xmlns:r="http://schemas.openxmlformats.org/officeDocument/2006/relationships" r:id="rId15"/>
          <a:extLst>
            <a:ext uri="{FF2B5EF4-FFF2-40B4-BE49-F238E27FC236}">
              <a16:creationId xmlns:a16="http://schemas.microsoft.com/office/drawing/2014/main" id="{88D9D093-856B-4756-A95D-7A0941C58F1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1266</xdr:row>
      <xdr:rowOff>0</xdr:rowOff>
    </xdr:from>
    <xdr:to>
      <xdr:col>0</xdr:col>
      <xdr:colOff>152400</xdr:colOff>
      <xdr:row>1266</xdr:row>
      <xdr:rowOff>152400</xdr:rowOff>
    </xdr:to>
    <xdr:sp macro="" textlink="">
      <xdr:nvSpPr>
        <xdr:cNvPr id="1388" name="AutoShape 12" descr="Story">
          <a:hlinkClick xmlns:r="http://schemas.openxmlformats.org/officeDocument/2006/relationships" r:id="rId12"/>
          <a:extLst>
            <a:ext uri="{FF2B5EF4-FFF2-40B4-BE49-F238E27FC236}">
              <a16:creationId xmlns:a16="http://schemas.microsoft.com/office/drawing/2014/main" id="{15FB3859-6367-4934-B946-7BA25379590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1263</xdr:row>
      <xdr:rowOff>0</xdr:rowOff>
    </xdr:from>
    <xdr:to>
      <xdr:col>0</xdr:col>
      <xdr:colOff>152400</xdr:colOff>
      <xdr:row>1263</xdr:row>
      <xdr:rowOff>152400</xdr:rowOff>
    </xdr:to>
    <xdr:sp macro="" textlink="">
      <xdr:nvSpPr>
        <xdr:cNvPr id="1389" name="AutoShape 13" descr="Story">
          <a:hlinkClick xmlns:r="http://schemas.openxmlformats.org/officeDocument/2006/relationships" r:id="rId4"/>
          <a:extLst>
            <a:ext uri="{FF2B5EF4-FFF2-40B4-BE49-F238E27FC236}">
              <a16:creationId xmlns:a16="http://schemas.microsoft.com/office/drawing/2014/main" id="{8792F18D-85F5-4227-8407-2019D5321E2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1264</xdr:row>
      <xdr:rowOff>0</xdr:rowOff>
    </xdr:from>
    <xdr:to>
      <xdr:col>0</xdr:col>
      <xdr:colOff>152400</xdr:colOff>
      <xdr:row>1264</xdr:row>
      <xdr:rowOff>152400</xdr:rowOff>
    </xdr:to>
    <xdr:sp macro="" textlink="">
      <xdr:nvSpPr>
        <xdr:cNvPr id="1390" name="AutoShape 14" descr="Story">
          <a:hlinkClick xmlns:r="http://schemas.openxmlformats.org/officeDocument/2006/relationships" r:id="rId4"/>
          <a:extLst>
            <a:ext uri="{FF2B5EF4-FFF2-40B4-BE49-F238E27FC236}">
              <a16:creationId xmlns:a16="http://schemas.microsoft.com/office/drawing/2014/main" id="{9289E294-D390-453F-85EB-0DE7D917A1D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391" name="AutoShape 15" descr="Story">
          <a:hlinkClick xmlns:r="http://schemas.openxmlformats.org/officeDocument/2006/relationships" r:id="rId4"/>
          <a:extLst>
            <a:ext uri="{FF2B5EF4-FFF2-40B4-BE49-F238E27FC236}">
              <a16:creationId xmlns:a16="http://schemas.microsoft.com/office/drawing/2014/main" id="{8A5D3356-0B64-4F70-95E6-BD81F4E75E0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1263</xdr:row>
      <xdr:rowOff>0</xdr:rowOff>
    </xdr:from>
    <xdr:ext cx="152400" cy="152400"/>
    <xdr:sp macro="" textlink="">
      <xdr:nvSpPr>
        <xdr:cNvPr id="1392" name="AutoShape 1" descr="Story">
          <a:hlinkClick xmlns:r="http://schemas.openxmlformats.org/officeDocument/2006/relationships" r:id="rId7"/>
          <a:extLst>
            <a:ext uri="{FF2B5EF4-FFF2-40B4-BE49-F238E27FC236}">
              <a16:creationId xmlns:a16="http://schemas.microsoft.com/office/drawing/2014/main" id="{F665014C-2D3E-4D2E-8D31-3257F9656B6C}"/>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393" name="AutoShape 2" descr="Story">
          <a:hlinkClick xmlns:r="http://schemas.openxmlformats.org/officeDocument/2006/relationships" r:id="rId8"/>
          <a:extLst>
            <a:ext uri="{FF2B5EF4-FFF2-40B4-BE49-F238E27FC236}">
              <a16:creationId xmlns:a16="http://schemas.microsoft.com/office/drawing/2014/main" id="{D913C9D3-4508-4927-BF9E-70A0B38C482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394" name="AutoShape 5" descr="Story">
          <a:hlinkClick xmlns:r="http://schemas.openxmlformats.org/officeDocument/2006/relationships" r:id="rId6"/>
          <a:extLst>
            <a:ext uri="{FF2B5EF4-FFF2-40B4-BE49-F238E27FC236}">
              <a16:creationId xmlns:a16="http://schemas.microsoft.com/office/drawing/2014/main" id="{585EF030-2975-4850-9DF4-E28795E17D0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395" name="AutoShape 1" descr="Sub-task">
          <a:hlinkClick xmlns:r="http://schemas.openxmlformats.org/officeDocument/2006/relationships" r:id="rId9"/>
          <a:extLst>
            <a:ext uri="{FF2B5EF4-FFF2-40B4-BE49-F238E27FC236}">
              <a16:creationId xmlns:a16="http://schemas.microsoft.com/office/drawing/2014/main" id="{87852D86-A612-424E-AF98-4D2BB6DC8E5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396" name="AutoShape 2" descr="Sub-task">
          <a:hlinkClick xmlns:r="http://schemas.openxmlformats.org/officeDocument/2006/relationships" r:id="rId10"/>
          <a:extLst>
            <a:ext uri="{FF2B5EF4-FFF2-40B4-BE49-F238E27FC236}">
              <a16:creationId xmlns:a16="http://schemas.microsoft.com/office/drawing/2014/main" id="{579AD49F-C693-4C79-B492-F1F740C5F640}"/>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397" name="AutoShape 3" descr="Story">
          <a:hlinkClick xmlns:r="http://schemas.openxmlformats.org/officeDocument/2006/relationships" r:id="rId11"/>
          <a:extLst>
            <a:ext uri="{FF2B5EF4-FFF2-40B4-BE49-F238E27FC236}">
              <a16:creationId xmlns:a16="http://schemas.microsoft.com/office/drawing/2014/main" id="{A505D110-F2A8-437B-88F2-9D9E0E6487F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398" name="AutoShape 12" descr="Story">
          <a:hlinkClick xmlns:r="http://schemas.openxmlformats.org/officeDocument/2006/relationships" r:id="rId12"/>
          <a:extLst>
            <a:ext uri="{FF2B5EF4-FFF2-40B4-BE49-F238E27FC236}">
              <a16:creationId xmlns:a16="http://schemas.microsoft.com/office/drawing/2014/main" id="{F223C2A6-1F2F-40C2-A85A-7723B605775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399" name="AutoShape 1" descr="Story">
          <a:hlinkClick xmlns:r="http://schemas.openxmlformats.org/officeDocument/2006/relationships" r:id="rId13"/>
          <a:extLst>
            <a:ext uri="{FF2B5EF4-FFF2-40B4-BE49-F238E27FC236}">
              <a16:creationId xmlns:a16="http://schemas.microsoft.com/office/drawing/2014/main" id="{FE8C9711-0EDE-4478-9952-A8142D208B4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00" name="AutoShape 1" descr="Story">
          <a:hlinkClick xmlns:r="http://schemas.openxmlformats.org/officeDocument/2006/relationships" r:id="rId13"/>
          <a:extLst>
            <a:ext uri="{FF2B5EF4-FFF2-40B4-BE49-F238E27FC236}">
              <a16:creationId xmlns:a16="http://schemas.microsoft.com/office/drawing/2014/main" id="{4ED7D6CF-0FF8-4E58-ABE8-BE702B637F1D}"/>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01" name="AutoShape 3" descr="Story">
          <a:hlinkClick xmlns:r="http://schemas.openxmlformats.org/officeDocument/2006/relationships" r:id="rId4"/>
          <a:extLst>
            <a:ext uri="{FF2B5EF4-FFF2-40B4-BE49-F238E27FC236}">
              <a16:creationId xmlns:a16="http://schemas.microsoft.com/office/drawing/2014/main" id="{4C3B86E8-74B1-43FE-AA4E-13117128D91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02" name="AutoShape 4" descr="Story">
          <a:hlinkClick xmlns:r="http://schemas.openxmlformats.org/officeDocument/2006/relationships" r:id="rId5"/>
          <a:extLst>
            <a:ext uri="{FF2B5EF4-FFF2-40B4-BE49-F238E27FC236}">
              <a16:creationId xmlns:a16="http://schemas.microsoft.com/office/drawing/2014/main" id="{FE4A119A-8F46-422D-AD3D-CB85E45440D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03" name="AutoShape 1" descr="Story">
          <a:hlinkClick xmlns:r="http://schemas.openxmlformats.org/officeDocument/2006/relationships" r:id="rId7"/>
          <a:extLst>
            <a:ext uri="{FF2B5EF4-FFF2-40B4-BE49-F238E27FC236}">
              <a16:creationId xmlns:a16="http://schemas.microsoft.com/office/drawing/2014/main" id="{29D9C065-617A-4ADF-937A-60F503533B4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04" name="AutoShape 2" descr="Story">
          <a:hlinkClick xmlns:r="http://schemas.openxmlformats.org/officeDocument/2006/relationships" r:id="rId8"/>
          <a:extLst>
            <a:ext uri="{FF2B5EF4-FFF2-40B4-BE49-F238E27FC236}">
              <a16:creationId xmlns:a16="http://schemas.microsoft.com/office/drawing/2014/main" id="{4B8D597C-BD69-4D1F-AD4F-918B7730937F}"/>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05" name="AutoShape 3" descr="Story">
          <a:hlinkClick xmlns:r="http://schemas.openxmlformats.org/officeDocument/2006/relationships" r:id="rId4"/>
          <a:extLst>
            <a:ext uri="{FF2B5EF4-FFF2-40B4-BE49-F238E27FC236}">
              <a16:creationId xmlns:a16="http://schemas.microsoft.com/office/drawing/2014/main" id="{92A1A93D-2BED-45DC-92E6-0CD692CCA7A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06" name="AutoShape 4" descr="Story">
          <a:hlinkClick xmlns:r="http://schemas.openxmlformats.org/officeDocument/2006/relationships" r:id="rId5"/>
          <a:extLst>
            <a:ext uri="{FF2B5EF4-FFF2-40B4-BE49-F238E27FC236}">
              <a16:creationId xmlns:a16="http://schemas.microsoft.com/office/drawing/2014/main" id="{199B1428-BFD4-48D3-B343-5F38AF6149BE}"/>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07" name="AutoShape 5" descr="Story">
          <a:hlinkClick xmlns:r="http://schemas.openxmlformats.org/officeDocument/2006/relationships" r:id="rId6"/>
          <a:extLst>
            <a:ext uri="{FF2B5EF4-FFF2-40B4-BE49-F238E27FC236}">
              <a16:creationId xmlns:a16="http://schemas.microsoft.com/office/drawing/2014/main" id="{3FE0E222-D057-4BDA-9216-FE6BD39113B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08" name="AutoShape 1" descr="Sub-task">
          <a:hlinkClick xmlns:r="http://schemas.openxmlformats.org/officeDocument/2006/relationships" r:id="rId9"/>
          <a:extLst>
            <a:ext uri="{FF2B5EF4-FFF2-40B4-BE49-F238E27FC236}">
              <a16:creationId xmlns:a16="http://schemas.microsoft.com/office/drawing/2014/main" id="{C592259C-66EF-4AB0-872F-F74828DE6F0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09" name="AutoShape 2" descr="Sub-task">
          <a:hlinkClick xmlns:r="http://schemas.openxmlformats.org/officeDocument/2006/relationships" r:id="rId10"/>
          <a:extLst>
            <a:ext uri="{FF2B5EF4-FFF2-40B4-BE49-F238E27FC236}">
              <a16:creationId xmlns:a16="http://schemas.microsoft.com/office/drawing/2014/main" id="{DF229011-5FDC-4C4A-81CD-95C5F2532E40}"/>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10" name="AutoShape 7" descr="Story">
          <a:hlinkClick xmlns:r="http://schemas.openxmlformats.org/officeDocument/2006/relationships" r:id="rId3"/>
          <a:extLst>
            <a:ext uri="{FF2B5EF4-FFF2-40B4-BE49-F238E27FC236}">
              <a16:creationId xmlns:a16="http://schemas.microsoft.com/office/drawing/2014/main" id="{94E77E92-A39D-4644-BE6D-F801903D708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11" name="AutoShape 3" descr="Story">
          <a:hlinkClick xmlns:r="http://schemas.openxmlformats.org/officeDocument/2006/relationships" r:id="rId11"/>
          <a:extLst>
            <a:ext uri="{FF2B5EF4-FFF2-40B4-BE49-F238E27FC236}">
              <a16:creationId xmlns:a16="http://schemas.microsoft.com/office/drawing/2014/main" id="{053F8718-7A77-40AC-A886-17CDEC13A03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12" name="AutoShape 12" descr="Story">
          <a:hlinkClick xmlns:r="http://schemas.openxmlformats.org/officeDocument/2006/relationships" r:id="rId12"/>
          <a:extLst>
            <a:ext uri="{FF2B5EF4-FFF2-40B4-BE49-F238E27FC236}">
              <a16:creationId xmlns:a16="http://schemas.microsoft.com/office/drawing/2014/main" id="{831061E2-8C4B-4FA1-A4F9-F249A80D9F2E}"/>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13" name="AutoShape 1" descr="Story">
          <a:hlinkClick xmlns:r="http://schemas.openxmlformats.org/officeDocument/2006/relationships" r:id="rId13"/>
          <a:extLst>
            <a:ext uri="{FF2B5EF4-FFF2-40B4-BE49-F238E27FC236}">
              <a16:creationId xmlns:a16="http://schemas.microsoft.com/office/drawing/2014/main" id="{A32B7B4C-B8C9-47B4-9999-D2B905A123D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14" name="AutoShape 1" descr="Story">
          <a:hlinkClick xmlns:r="http://schemas.openxmlformats.org/officeDocument/2006/relationships" r:id="rId13"/>
          <a:extLst>
            <a:ext uri="{FF2B5EF4-FFF2-40B4-BE49-F238E27FC236}">
              <a16:creationId xmlns:a16="http://schemas.microsoft.com/office/drawing/2014/main" id="{C1FF52A8-BE16-46E1-906C-42E998F2B9D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15" name="AutoShape 3" descr="Story">
          <a:hlinkClick xmlns:r="http://schemas.openxmlformats.org/officeDocument/2006/relationships" r:id="rId4"/>
          <a:extLst>
            <a:ext uri="{FF2B5EF4-FFF2-40B4-BE49-F238E27FC236}">
              <a16:creationId xmlns:a16="http://schemas.microsoft.com/office/drawing/2014/main" id="{52E48E40-E057-49A1-8E8F-BE7E5A67617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16" name="AutoShape 4" descr="Story">
          <a:hlinkClick xmlns:r="http://schemas.openxmlformats.org/officeDocument/2006/relationships" r:id="rId5"/>
          <a:extLst>
            <a:ext uri="{FF2B5EF4-FFF2-40B4-BE49-F238E27FC236}">
              <a16:creationId xmlns:a16="http://schemas.microsoft.com/office/drawing/2014/main" id="{4075EC0B-111B-420D-B7CE-02334FEC0AC0}"/>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1266</xdr:row>
      <xdr:rowOff>0</xdr:rowOff>
    </xdr:from>
    <xdr:ext cx="152400" cy="152400"/>
    <xdr:sp macro="" textlink="">
      <xdr:nvSpPr>
        <xdr:cNvPr id="1417" name="AutoShape 7" descr="Story">
          <a:hlinkClick xmlns:r="http://schemas.openxmlformats.org/officeDocument/2006/relationships" r:id="rId3"/>
          <a:extLst>
            <a:ext uri="{FF2B5EF4-FFF2-40B4-BE49-F238E27FC236}">
              <a16:creationId xmlns:a16="http://schemas.microsoft.com/office/drawing/2014/main" id="{98400EF5-5DB7-49FC-B407-70AE68439C4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18" name="AutoShape 8" descr="Story">
          <a:hlinkClick xmlns:r="http://schemas.openxmlformats.org/officeDocument/2006/relationships" r:id="rId4"/>
          <a:extLst>
            <a:ext uri="{FF2B5EF4-FFF2-40B4-BE49-F238E27FC236}">
              <a16:creationId xmlns:a16="http://schemas.microsoft.com/office/drawing/2014/main" id="{7D7236E0-09F7-4B50-938F-610A7F82B20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1263</xdr:row>
      <xdr:rowOff>0</xdr:rowOff>
    </xdr:from>
    <xdr:ext cx="152400" cy="152400"/>
    <xdr:sp macro="" textlink="">
      <xdr:nvSpPr>
        <xdr:cNvPr id="1419" name="AutoShape 8" descr="Story">
          <a:hlinkClick xmlns:r="http://schemas.openxmlformats.org/officeDocument/2006/relationships" r:id="rId4"/>
          <a:extLst>
            <a:ext uri="{FF2B5EF4-FFF2-40B4-BE49-F238E27FC236}">
              <a16:creationId xmlns:a16="http://schemas.microsoft.com/office/drawing/2014/main" id="{B16CDA29-5912-48FB-8B86-9C23DFBE33C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1273</xdr:row>
      <xdr:rowOff>0</xdr:rowOff>
    </xdr:from>
    <xdr:to>
      <xdr:col>0</xdr:col>
      <xdr:colOff>152400</xdr:colOff>
      <xdr:row>1273</xdr:row>
      <xdr:rowOff>152400</xdr:rowOff>
    </xdr:to>
    <xdr:sp macro="" textlink="">
      <xdr:nvSpPr>
        <xdr:cNvPr id="1420" name="AutoShape 1" descr="Story">
          <a:hlinkClick xmlns:r="http://schemas.openxmlformats.org/officeDocument/2006/relationships" r:id="rId13"/>
          <a:extLst>
            <a:ext uri="{FF2B5EF4-FFF2-40B4-BE49-F238E27FC236}">
              <a16:creationId xmlns:a16="http://schemas.microsoft.com/office/drawing/2014/main" id="{263A13EB-8B3B-4A20-B974-057DC7F594EE}"/>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21" name="AutoShape 2" descr="Story">
          <a:hlinkClick xmlns:r="http://schemas.openxmlformats.org/officeDocument/2006/relationships" r:id="rId12"/>
          <a:extLst>
            <a:ext uri="{FF2B5EF4-FFF2-40B4-BE49-F238E27FC236}">
              <a16:creationId xmlns:a16="http://schemas.microsoft.com/office/drawing/2014/main" id="{1C509858-F7BC-4B41-941F-6294093E4B3C}"/>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1270</xdr:row>
      <xdr:rowOff>0</xdr:rowOff>
    </xdr:from>
    <xdr:to>
      <xdr:col>0</xdr:col>
      <xdr:colOff>152400</xdr:colOff>
      <xdr:row>1270</xdr:row>
      <xdr:rowOff>152400</xdr:rowOff>
    </xdr:to>
    <xdr:sp macro="" textlink="">
      <xdr:nvSpPr>
        <xdr:cNvPr id="1422" name="AutoShape 3" descr="Story">
          <a:hlinkClick xmlns:r="http://schemas.openxmlformats.org/officeDocument/2006/relationships" r:id="rId11"/>
          <a:extLst>
            <a:ext uri="{FF2B5EF4-FFF2-40B4-BE49-F238E27FC236}">
              <a16:creationId xmlns:a16="http://schemas.microsoft.com/office/drawing/2014/main" id="{60EEC299-FBE7-4804-8A56-DDB694C45E8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23" name="AutoShape 4" descr="Bug">
          <a:hlinkClick xmlns:r="http://schemas.openxmlformats.org/officeDocument/2006/relationships" r:id="rId1"/>
          <a:extLst>
            <a:ext uri="{FF2B5EF4-FFF2-40B4-BE49-F238E27FC236}">
              <a16:creationId xmlns:a16="http://schemas.microsoft.com/office/drawing/2014/main" id="{A7385FDA-5FB9-4CB0-8E7E-8944E78D345C}"/>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24" name="AutoShape 5" descr="Story">
          <a:hlinkClick xmlns:r="http://schemas.openxmlformats.org/officeDocument/2006/relationships" r:id="rId14"/>
          <a:extLst>
            <a:ext uri="{FF2B5EF4-FFF2-40B4-BE49-F238E27FC236}">
              <a16:creationId xmlns:a16="http://schemas.microsoft.com/office/drawing/2014/main" id="{C433634E-338C-447B-B461-4F7043BFCFC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25" name="AutoShape 6" descr="Bug">
          <a:hlinkClick xmlns:r="http://schemas.openxmlformats.org/officeDocument/2006/relationships" r:id="rId2"/>
          <a:extLst>
            <a:ext uri="{FF2B5EF4-FFF2-40B4-BE49-F238E27FC236}">
              <a16:creationId xmlns:a16="http://schemas.microsoft.com/office/drawing/2014/main" id="{D67BE1CF-F085-4B65-B7CC-BB5EE1EACE6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26" name="AutoShape 7" descr="Story">
          <a:hlinkClick xmlns:r="http://schemas.openxmlformats.org/officeDocument/2006/relationships" r:id="rId3"/>
          <a:extLst>
            <a:ext uri="{FF2B5EF4-FFF2-40B4-BE49-F238E27FC236}">
              <a16:creationId xmlns:a16="http://schemas.microsoft.com/office/drawing/2014/main" id="{ECDE3B31-FE45-4CF8-96B5-9F7C7CB71E0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27" name="AutoShape 8" descr="Story">
          <a:hlinkClick xmlns:r="http://schemas.openxmlformats.org/officeDocument/2006/relationships" r:id="rId4"/>
          <a:extLst>
            <a:ext uri="{FF2B5EF4-FFF2-40B4-BE49-F238E27FC236}">
              <a16:creationId xmlns:a16="http://schemas.microsoft.com/office/drawing/2014/main" id="{75C599AC-4E3B-4D02-BDB0-D97572A41F7C}"/>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28" name="AutoShape 9" descr="Story">
          <a:hlinkClick xmlns:r="http://schemas.openxmlformats.org/officeDocument/2006/relationships" r:id="rId5"/>
          <a:extLst>
            <a:ext uri="{FF2B5EF4-FFF2-40B4-BE49-F238E27FC236}">
              <a16:creationId xmlns:a16="http://schemas.microsoft.com/office/drawing/2014/main" id="{C688DABE-E6D7-4934-A304-F9CB463B583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1268</xdr:row>
      <xdr:rowOff>0</xdr:rowOff>
    </xdr:from>
    <xdr:to>
      <xdr:col>0</xdr:col>
      <xdr:colOff>152400</xdr:colOff>
      <xdr:row>1268</xdr:row>
      <xdr:rowOff>152400</xdr:rowOff>
    </xdr:to>
    <xdr:sp macro="" textlink="">
      <xdr:nvSpPr>
        <xdr:cNvPr id="1429" name="AutoShape 10" descr="Story">
          <a:hlinkClick xmlns:r="http://schemas.openxmlformats.org/officeDocument/2006/relationships" r:id="rId6"/>
          <a:extLst>
            <a:ext uri="{FF2B5EF4-FFF2-40B4-BE49-F238E27FC236}">
              <a16:creationId xmlns:a16="http://schemas.microsoft.com/office/drawing/2014/main" id="{1936B941-97F3-40FB-B5C4-B050130E435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30" name="AutoShape 11" descr="Story">
          <a:hlinkClick xmlns:r="http://schemas.openxmlformats.org/officeDocument/2006/relationships" r:id="rId15"/>
          <a:extLst>
            <a:ext uri="{FF2B5EF4-FFF2-40B4-BE49-F238E27FC236}">
              <a16:creationId xmlns:a16="http://schemas.microsoft.com/office/drawing/2014/main" id="{FE84FD05-A524-4E89-A670-D410933849B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1270</xdr:row>
      <xdr:rowOff>0</xdr:rowOff>
    </xdr:from>
    <xdr:to>
      <xdr:col>0</xdr:col>
      <xdr:colOff>152400</xdr:colOff>
      <xdr:row>1270</xdr:row>
      <xdr:rowOff>152400</xdr:rowOff>
    </xdr:to>
    <xdr:sp macro="" textlink="">
      <xdr:nvSpPr>
        <xdr:cNvPr id="1431" name="AutoShape 12" descr="Story">
          <a:hlinkClick xmlns:r="http://schemas.openxmlformats.org/officeDocument/2006/relationships" r:id="rId12"/>
          <a:extLst>
            <a:ext uri="{FF2B5EF4-FFF2-40B4-BE49-F238E27FC236}">
              <a16:creationId xmlns:a16="http://schemas.microsoft.com/office/drawing/2014/main" id="{ED32FC05-1490-4A2F-9A72-174B8ABDFB40}"/>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32" name="AutoShape 13" descr="Story">
          <a:hlinkClick xmlns:r="http://schemas.openxmlformats.org/officeDocument/2006/relationships" r:id="rId4"/>
          <a:extLst>
            <a:ext uri="{FF2B5EF4-FFF2-40B4-BE49-F238E27FC236}">
              <a16:creationId xmlns:a16="http://schemas.microsoft.com/office/drawing/2014/main" id="{7CC45747-FED8-4DF5-8158-00CDC062D53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1268</xdr:row>
      <xdr:rowOff>0</xdr:rowOff>
    </xdr:from>
    <xdr:to>
      <xdr:col>0</xdr:col>
      <xdr:colOff>152400</xdr:colOff>
      <xdr:row>1268</xdr:row>
      <xdr:rowOff>152400</xdr:rowOff>
    </xdr:to>
    <xdr:sp macro="" textlink="">
      <xdr:nvSpPr>
        <xdr:cNvPr id="1433" name="AutoShape 14" descr="Story">
          <a:hlinkClick xmlns:r="http://schemas.openxmlformats.org/officeDocument/2006/relationships" r:id="rId4"/>
          <a:extLst>
            <a:ext uri="{FF2B5EF4-FFF2-40B4-BE49-F238E27FC236}">
              <a16:creationId xmlns:a16="http://schemas.microsoft.com/office/drawing/2014/main" id="{E652CAF4-D8CF-4674-8A2C-A6552D31905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34" name="AutoShape 15" descr="Story">
          <a:hlinkClick xmlns:r="http://schemas.openxmlformats.org/officeDocument/2006/relationships" r:id="rId4"/>
          <a:extLst>
            <a:ext uri="{FF2B5EF4-FFF2-40B4-BE49-F238E27FC236}">
              <a16:creationId xmlns:a16="http://schemas.microsoft.com/office/drawing/2014/main" id="{67F5158D-8C60-41CA-A6C3-9FD82C3B269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1267</xdr:row>
      <xdr:rowOff>0</xdr:rowOff>
    </xdr:from>
    <xdr:ext cx="152400" cy="152400"/>
    <xdr:sp macro="" textlink="">
      <xdr:nvSpPr>
        <xdr:cNvPr id="1435" name="AutoShape 1" descr="Story">
          <a:hlinkClick xmlns:r="http://schemas.openxmlformats.org/officeDocument/2006/relationships" r:id="rId7"/>
          <a:extLst>
            <a:ext uri="{FF2B5EF4-FFF2-40B4-BE49-F238E27FC236}">
              <a16:creationId xmlns:a16="http://schemas.microsoft.com/office/drawing/2014/main" id="{1E68D784-EC05-45B2-AF69-885A5F92A7CD}"/>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36" name="AutoShape 2" descr="Story">
          <a:hlinkClick xmlns:r="http://schemas.openxmlformats.org/officeDocument/2006/relationships" r:id="rId8"/>
          <a:extLst>
            <a:ext uri="{FF2B5EF4-FFF2-40B4-BE49-F238E27FC236}">
              <a16:creationId xmlns:a16="http://schemas.microsoft.com/office/drawing/2014/main" id="{7A9D88D0-13CA-4A0A-BA5E-C0132D05902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37" name="AutoShape 5" descr="Story">
          <a:hlinkClick xmlns:r="http://schemas.openxmlformats.org/officeDocument/2006/relationships" r:id="rId6"/>
          <a:extLst>
            <a:ext uri="{FF2B5EF4-FFF2-40B4-BE49-F238E27FC236}">
              <a16:creationId xmlns:a16="http://schemas.microsoft.com/office/drawing/2014/main" id="{DAE91732-EC00-42D7-9C74-6F739DD2385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38" name="AutoShape 1" descr="Sub-task">
          <a:hlinkClick xmlns:r="http://schemas.openxmlformats.org/officeDocument/2006/relationships" r:id="rId9"/>
          <a:extLst>
            <a:ext uri="{FF2B5EF4-FFF2-40B4-BE49-F238E27FC236}">
              <a16:creationId xmlns:a16="http://schemas.microsoft.com/office/drawing/2014/main" id="{45DFECE3-4FDD-4C86-8110-3BFEA848423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39" name="AutoShape 2" descr="Sub-task">
          <a:hlinkClick xmlns:r="http://schemas.openxmlformats.org/officeDocument/2006/relationships" r:id="rId10"/>
          <a:extLst>
            <a:ext uri="{FF2B5EF4-FFF2-40B4-BE49-F238E27FC236}">
              <a16:creationId xmlns:a16="http://schemas.microsoft.com/office/drawing/2014/main" id="{9E62DD4E-A472-4AED-A3BC-10CE3B82D00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0" name="AutoShape 3" descr="Story">
          <a:hlinkClick xmlns:r="http://schemas.openxmlformats.org/officeDocument/2006/relationships" r:id="rId11"/>
          <a:extLst>
            <a:ext uri="{FF2B5EF4-FFF2-40B4-BE49-F238E27FC236}">
              <a16:creationId xmlns:a16="http://schemas.microsoft.com/office/drawing/2014/main" id="{DAEC7955-F4C1-48AE-A1ED-90DBECE9AC3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1" name="AutoShape 12" descr="Story">
          <a:hlinkClick xmlns:r="http://schemas.openxmlformats.org/officeDocument/2006/relationships" r:id="rId12"/>
          <a:extLst>
            <a:ext uri="{FF2B5EF4-FFF2-40B4-BE49-F238E27FC236}">
              <a16:creationId xmlns:a16="http://schemas.microsoft.com/office/drawing/2014/main" id="{4941FE95-63C2-4207-BB1C-BF12F6E44A5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2" name="AutoShape 1" descr="Story">
          <a:hlinkClick xmlns:r="http://schemas.openxmlformats.org/officeDocument/2006/relationships" r:id="rId13"/>
          <a:extLst>
            <a:ext uri="{FF2B5EF4-FFF2-40B4-BE49-F238E27FC236}">
              <a16:creationId xmlns:a16="http://schemas.microsoft.com/office/drawing/2014/main" id="{4184CB6C-1E65-43CA-9A88-155DBA513B1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3" name="AutoShape 1" descr="Story">
          <a:hlinkClick xmlns:r="http://schemas.openxmlformats.org/officeDocument/2006/relationships" r:id="rId13"/>
          <a:extLst>
            <a:ext uri="{FF2B5EF4-FFF2-40B4-BE49-F238E27FC236}">
              <a16:creationId xmlns:a16="http://schemas.microsoft.com/office/drawing/2014/main" id="{51E0D458-9CAB-40FA-A8F9-5F858351DAC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4" name="AutoShape 3" descr="Story">
          <a:hlinkClick xmlns:r="http://schemas.openxmlformats.org/officeDocument/2006/relationships" r:id="rId4"/>
          <a:extLst>
            <a:ext uri="{FF2B5EF4-FFF2-40B4-BE49-F238E27FC236}">
              <a16:creationId xmlns:a16="http://schemas.microsoft.com/office/drawing/2014/main" id="{9DEEBCFC-7B32-4298-863A-D68CC069EA2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5" name="AutoShape 4" descr="Story">
          <a:hlinkClick xmlns:r="http://schemas.openxmlformats.org/officeDocument/2006/relationships" r:id="rId5"/>
          <a:extLst>
            <a:ext uri="{FF2B5EF4-FFF2-40B4-BE49-F238E27FC236}">
              <a16:creationId xmlns:a16="http://schemas.microsoft.com/office/drawing/2014/main" id="{A31FC225-4163-4588-ADDC-3FA63F68279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46" name="AutoShape 1" descr="Story">
          <a:hlinkClick xmlns:r="http://schemas.openxmlformats.org/officeDocument/2006/relationships" r:id="rId7"/>
          <a:extLst>
            <a:ext uri="{FF2B5EF4-FFF2-40B4-BE49-F238E27FC236}">
              <a16:creationId xmlns:a16="http://schemas.microsoft.com/office/drawing/2014/main" id="{45C9B557-CA82-4C3B-9D46-7B8C7270331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47" name="AutoShape 2" descr="Story">
          <a:hlinkClick xmlns:r="http://schemas.openxmlformats.org/officeDocument/2006/relationships" r:id="rId8"/>
          <a:extLst>
            <a:ext uri="{FF2B5EF4-FFF2-40B4-BE49-F238E27FC236}">
              <a16:creationId xmlns:a16="http://schemas.microsoft.com/office/drawing/2014/main" id="{70A58CD4-F56F-40F9-A620-5CB44BBC288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8" name="AutoShape 3" descr="Story">
          <a:hlinkClick xmlns:r="http://schemas.openxmlformats.org/officeDocument/2006/relationships" r:id="rId4"/>
          <a:extLst>
            <a:ext uri="{FF2B5EF4-FFF2-40B4-BE49-F238E27FC236}">
              <a16:creationId xmlns:a16="http://schemas.microsoft.com/office/drawing/2014/main" id="{107F3CEB-733D-4DC3-9265-F4056BAF589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49" name="AutoShape 4" descr="Story">
          <a:hlinkClick xmlns:r="http://schemas.openxmlformats.org/officeDocument/2006/relationships" r:id="rId5"/>
          <a:extLst>
            <a:ext uri="{FF2B5EF4-FFF2-40B4-BE49-F238E27FC236}">
              <a16:creationId xmlns:a16="http://schemas.microsoft.com/office/drawing/2014/main" id="{16EC9069-019B-45C7-95A9-DF8107F2B34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0" name="AutoShape 5" descr="Story">
          <a:hlinkClick xmlns:r="http://schemas.openxmlformats.org/officeDocument/2006/relationships" r:id="rId6"/>
          <a:extLst>
            <a:ext uri="{FF2B5EF4-FFF2-40B4-BE49-F238E27FC236}">
              <a16:creationId xmlns:a16="http://schemas.microsoft.com/office/drawing/2014/main" id="{9D9376F6-B50D-473F-BDEE-4B77AA8F1D8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1" name="AutoShape 1" descr="Sub-task">
          <a:hlinkClick xmlns:r="http://schemas.openxmlformats.org/officeDocument/2006/relationships" r:id="rId9"/>
          <a:extLst>
            <a:ext uri="{FF2B5EF4-FFF2-40B4-BE49-F238E27FC236}">
              <a16:creationId xmlns:a16="http://schemas.microsoft.com/office/drawing/2014/main" id="{CA647EBE-8210-4129-B933-A2CB74DB7CB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2" name="AutoShape 2" descr="Sub-task">
          <a:hlinkClick xmlns:r="http://schemas.openxmlformats.org/officeDocument/2006/relationships" r:id="rId10"/>
          <a:extLst>
            <a:ext uri="{FF2B5EF4-FFF2-40B4-BE49-F238E27FC236}">
              <a16:creationId xmlns:a16="http://schemas.microsoft.com/office/drawing/2014/main" id="{B608344B-A290-4595-AEE6-DE5FFB63BFC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53" name="AutoShape 7" descr="Story">
          <a:hlinkClick xmlns:r="http://schemas.openxmlformats.org/officeDocument/2006/relationships" r:id="rId3"/>
          <a:extLst>
            <a:ext uri="{FF2B5EF4-FFF2-40B4-BE49-F238E27FC236}">
              <a16:creationId xmlns:a16="http://schemas.microsoft.com/office/drawing/2014/main" id="{4159F0EE-A924-42A5-8058-FE5F21A227F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4" name="AutoShape 3" descr="Story">
          <a:hlinkClick xmlns:r="http://schemas.openxmlformats.org/officeDocument/2006/relationships" r:id="rId11"/>
          <a:extLst>
            <a:ext uri="{FF2B5EF4-FFF2-40B4-BE49-F238E27FC236}">
              <a16:creationId xmlns:a16="http://schemas.microsoft.com/office/drawing/2014/main" id="{C4BF70F9-6153-495D-8B13-81474994385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5" name="AutoShape 12" descr="Story">
          <a:hlinkClick xmlns:r="http://schemas.openxmlformats.org/officeDocument/2006/relationships" r:id="rId12"/>
          <a:extLst>
            <a:ext uri="{FF2B5EF4-FFF2-40B4-BE49-F238E27FC236}">
              <a16:creationId xmlns:a16="http://schemas.microsoft.com/office/drawing/2014/main" id="{B64BD2B7-876B-4F0C-8BF8-E0A679EF206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6" name="AutoShape 1" descr="Story">
          <a:hlinkClick xmlns:r="http://schemas.openxmlformats.org/officeDocument/2006/relationships" r:id="rId13"/>
          <a:extLst>
            <a:ext uri="{FF2B5EF4-FFF2-40B4-BE49-F238E27FC236}">
              <a16:creationId xmlns:a16="http://schemas.microsoft.com/office/drawing/2014/main" id="{CDBC1939-4FC5-4E5D-9720-B9AAAAD33B4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7" name="AutoShape 1" descr="Story">
          <a:hlinkClick xmlns:r="http://schemas.openxmlformats.org/officeDocument/2006/relationships" r:id="rId13"/>
          <a:extLst>
            <a:ext uri="{FF2B5EF4-FFF2-40B4-BE49-F238E27FC236}">
              <a16:creationId xmlns:a16="http://schemas.microsoft.com/office/drawing/2014/main" id="{D3693C83-4E39-4897-B2EF-CEDECA4595F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8" name="AutoShape 3" descr="Story">
          <a:hlinkClick xmlns:r="http://schemas.openxmlformats.org/officeDocument/2006/relationships" r:id="rId4"/>
          <a:extLst>
            <a:ext uri="{FF2B5EF4-FFF2-40B4-BE49-F238E27FC236}">
              <a16:creationId xmlns:a16="http://schemas.microsoft.com/office/drawing/2014/main" id="{30AF0AA7-8306-4BD2-AED1-C9539D98AAB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59" name="AutoShape 4" descr="Story">
          <a:hlinkClick xmlns:r="http://schemas.openxmlformats.org/officeDocument/2006/relationships" r:id="rId5"/>
          <a:extLst>
            <a:ext uri="{FF2B5EF4-FFF2-40B4-BE49-F238E27FC236}">
              <a16:creationId xmlns:a16="http://schemas.microsoft.com/office/drawing/2014/main" id="{FE61C8D3-098D-4086-A2C2-47372C38C1A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60" name="AutoShape 7" descr="Story">
          <a:hlinkClick xmlns:r="http://schemas.openxmlformats.org/officeDocument/2006/relationships" r:id="rId3"/>
          <a:extLst>
            <a:ext uri="{FF2B5EF4-FFF2-40B4-BE49-F238E27FC236}">
              <a16:creationId xmlns:a16="http://schemas.microsoft.com/office/drawing/2014/main" id="{33247AD9-6A5B-484E-A209-4071B8A1215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61" name="AutoShape 8" descr="Story">
          <a:hlinkClick xmlns:r="http://schemas.openxmlformats.org/officeDocument/2006/relationships" r:id="rId4"/>
          <a:extLst>
            <a:ext uri="{FF2B5EF4-FFF2-40B4-BE49-F238E27FC236}">
              <a16:creationId xmlns:a16="http://schemas.microsoft.com/office/drawing/2014/main" id="{1E1B329F-2999-451E-83D6-33427E16317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62" name="AutoShape 8" descr="Story">
          <a:hlinkClick xmlns:r="http://schemas.openxmlformats.org/officeDocument/2006/relationships" r:id="rId4"/>
          <a:extLst>
            <a:ext uri="{FF2B5EF4-FFF2-40B4-BE49-F238E27FC236}">
              <a16:creationId xmlns:a16="http://schemas.microsoft.com/office/drawing/2014/main" id="{62BDF560-F324-4820-9E45-BC1695708E9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1272</xdr:row>
      <xdr:rowOff>0</xdr:rowOff>
    </xdr:from>
    <xdr:to>
      <xdr:col>0</xdr:col>
      <xdr:colOff>152400</xdr:colOff>
      <xdr:row>1272</xdr:row>
      <xdr:rowOff>152400</xdr:rowOff>
    </xdr:to>
    <xdr:sp macro="" textlink="">
      <xdr:nvSpPr>
        <xdr:cNvPr id="1463" name="AutoShape 1" descr="Story">
          <a:hlinkClick xmlns:r="http://schemas.openxmlformats.org/officeDocument/2006/relationships" r:id="rId13"/>
          <a:extLst>
            <a:ext uri="{FF2B5EF4-FFF2-40B4-BE49-F238E27FC236}">
              <a16:creationId xmlns:a16="http://schemas.microsoft.com/office/drawing/2014/main" id="{09725356-298D-4AFF-B48C-6FD63988C12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64" name="AutoShape 2" descr="Story">
          <a:hlinkClick xmlns:r="http://schemas.openxmlformats.org/officeDocument/2006/relationships" r:id="rId12"/>
          <a:extLst>
            <a:ext uri="{FF2B5EF4-FFF2-40B4-BE49-F238E27FC236}">
              <a16:creationId xmlns:a16="http://schemas.microsoft.com/office/drawing/2014/main" id="{9B611802-B899-4E53-B0AF-C04AFDF24B8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1270</xdr:row>
      <xdr:rowOff>0</xdr:rowOff>
    </xdr:from>
    <xdr:to>
      <xdr:col>0</xdr:col>
      <xdr:colOff>152400</xdr:colOff>
      <xdr:row>1270</xdr:row>
      <xdr:rowOff>152400</xdr:rowOff>
    </xdr:to>
    <xdr:sp macro="" textlink="">
      <xdr:nvSpPr>
        <xdr:cNvPr id="1465" name="AutoShape 3" descr="Story">
          <a:hlinkClick xmlns:r="http://schemas.openxmlformats.org/officeDocument/2006/relationships" r:id="rId11"/>
          <a:extLst>
            <a:ext uri="{FF2B5EF4-FFF2-40B4-BE49-F238E27FC236}">
              <a16:creationId xmlns:a16="http://schemas.microsoft.com/office/drawing/2014/main" id="{FDCC2298-79B6-4552-973C-43526A3E2E5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66" name="AutoShape 4" descr="Bug">
          <a:hlinkClick xmlns:r="http://schemas.openxmlformats.org/officeDocument/2006/relationships" r:id="rId1"/>
          <a:extLst>
            <a:ext uri="{FF2B5EF4-FFF2-40B4-BE49-F238E27FC236}">
              <a16:creationId xmlns:a16="http://schemas.microsoft.com/office/drawing/2014/main" id="{6B14A5FA-46EB-4BAC-B623-67A644D84AAD}"/>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67" name="AutoShape 5" descr="Story">
          <a:hlinkClick xmlns:r="http://schemas.openxmlformats.org/officeDocument/2006/relationships" r:id="rId14"/>
          <a:extLst>
            <a:ext uri="{FF2B5EF4-FFF2-40B4-BE49-F238E27FC236}">
              <a16:creationId xmlns:a16="http://schemas.microsoft.com/office/drawing/2014/main" id="{5CFCE423-3872-47A8-BA8E-FB18B7B0896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68" name="AutoShape 6" descr="Bug">
          <a:hlinkClick xmlns:r="http://schemas.openxmlformats.org/officeDocument/2006/relationships" r:id="rId2"/>
          <a:extLst>
            <a:ext uri="{FF2B5EF4-FFF2-40B4-BE49-F238E27FC236}">
              <a16:creationId xmlns:a16="http://schemas.microsoft.com/office/drawing/2014/main" id="{96BB58A8-B907-401D-A6E1-9F67732F62F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69" name="AutoShape 7" descr="Story">
          <a:hlinkClick xmlns:r="http://schemas.openxmlformats.org/officeDocument/2006/relationships" r:id="rId3"/>
          <a:extLst>
            <a:ext uri="{FF2B5EF4-FFF2-40B4-BE49-F238E27FC236}">
              <a16:creationId xmlns:a16="http://schemas.microsoft.com/office/drawing/2014/main" id="{1C25AD55-F2DB-4742-9112-2500BAB78BD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70" name="AutoShape 8" descr="Story">
          <a:hlinkClick xmlns:r="http://schemas.openxmlformats.org/officeDocument/2006/relationships" r:id="rId4"/>
          <a:extLst>
            <a:ext uri="{FF2B5EF4-FFF2-40B4-BE49-F238E27FC236}">
              <a16:creationId xmlns:a16="http://schemas.microsoft.com/office/drawing/2014/main" id="{A270124E-13DD-4EAA-B706-0BEA4552DF7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71" name="AutoShape 9" descr="Story">
          <a:hlinkClick xmlns:r="http://schemas.openxmlformats.org/officeDocument/2006/relationships" r:id="rId5"/>
          <a:extLst>
            <a:ext uri="{FF2B5EF4-FFF2-40B4-BE49-F238E27FC236}">
              <a16:creationId xmlns:a16="http://schemas.microsoft.com/office/drawing/2014/main" id="{FBD7AA09-632A-4274-931B-6654AE1DC18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1268</xdr:row>
      <xdr:rowOff>0</xdr:rowOff>
    </xdr:from>
    <xdr:to>
      <xdr:col>0</xdr:col>
      <xdr:colOff>152400</xdr:colOff>
      <xdr:row>1268</xdr:row>
      <xdr:rowOff>152400</xdr:rowOff>
    </xdr:to>
    <xdr:sp macro="" textlink="">
      <xdr:nvSpPr>
        <xdr:cNvPr id="1472" name="AutoShape 10" descr="Story">
          <a:hlinkClick xmlns:r="http://schemas.openxmlformats.org/officeDocument/2006/relationships" r:id="rId6"/>
          <a:extLst>
            <a:ext uri="{FF2B5EF4-FFF2-40B4-BE49-F238E27FC236}">
              <a16:creationId xmlns:a16="http://schemas.microsoft.com/office/drawing/2014/main" id="{F517562D-8396-47D6-9252-CC453D715DF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73" name="AutoShape 11" descr="Story">
          <a:hlinkClick xmlns:r="http://schemas.openxmlformats.org/officeDocument/2006/relationships" r:id="rId15"/>
          <a:extLst>
            <a:ext uri="{FF2B5EF4-FFF2-40B4-BE49-F238E27FC236}">
              <a16:creationId xmlns:a16="http://schemas.microsoft.com/office/drawing/2014/main" id="{0C1B4EAE-212B-43EB-9038-AB9769D343E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1270</xdr:row>
      <xdr:rowOff>0</xdr:rowOff>
    </xdr:from>
    <xdr:to>
      <xdr:col>0</xdr:col>
      <xdr:colOff>152400</xdr:colOff>
      <xdr:row>1270</xdr:row>
      <xdr:rowOff>152400</xdr:rowOff>
    </xdr:to>
    <xdr:sp macro="" textlink="">
      <xdr:nvSpPr>
        <xdr:cNvPr id="1474" name="AutoShape 12" descr="Story">
          <a:hlinkClick xmlns:r="http://schemas.openxmlformats.org/officeDocument/2006/relationships" r:id="rId12"/>
          <a:extLst>
            <a:ext uri="{FF2B5EF4-FFF2-40B4-BE49-F238E27FC236}">
              <a16:creationId xmlns:a16="http://schemas.microsoft.com/office/drawing/2014/main" id="{3F21C18B-092F-4AB1-931D-C9C64CE2ACC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1267</xdr:row>
      <xdr:rowOff>0</xdr:rowOff>
    </xdr:from>
    <xdr:to>
      <xdr:col>0</xdr:col>
      <xdr:colOff>152400</xdr:colOff>
      <xdr:row>1267</xdr:row>
      <xdr:rowOff>152400</xdr:rowOff>
    </xdr:to>
    <xdr:sp macro="" textlink="">
      <xdr:nvSpPr>
        <xdr:cNvPr id="1475" name="AutoShape 13" descr="Story">
          <a:hlinkClick xmlns:r="http://schemas.openxmlformats.org/officeDocument/2006/relationships" r:id="rId4"/>
          <a:extLst>
            <a:ext uri="{FF2B5EF4-FFF2-40B4-BE49-F238E27FC236}">
              <a16:creationId xmlns:a16="http://schemas.microsoft.com/office/drawing/2014/main" id="{AFFBD9D3-984D-4D10-AC92-6F3D53FC14C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1268</xdr:row>
      <xdr:rowOff>0</xdr:rowOff>
    </xdr:from>
    <xdr:to>
      <xdr:col>0</xdr:col>
      <xdr:colOff>152400</xdr:colOff>
      <xdr:row>1268</xdr:row>
      <xdr:rowOff>152400</xdr:rowOff>
    </xdr:to>
    <xdr:sp macro="" textlink="">
      <xdr:nvSpPr>
        <xdr:cNvPr id="1476" name="AutoShape 14" descr="Story">
          <a:hlinkClick xmlns:r="http://schemas.openxmlformats.org/officeDocument/2006/relationships" r:id="rId4"/>
          <a:extLst>
            <a:ext uri="{FF2B5EF4-FFF2-40B4-BE49-F238E27FC236}">
              <a16:creationId xmlns:a16="http://schemas.microsoft.com/office/drawing/2014/main" id="{7D78B8BD-6EF7-4C9B-B2DE-A0B52B6B196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1271</xdr:row>
      <xdr:rowOff>0</xdr:rowOff>
    </xdr:from>
    <xdr:to>
      <xdr:col>0</xdr:col>
      <xdr:colOff>152400</xdr:colOff>
      <xdr:row>1271</xdr:row>
      <xdr:rowOff>152400</xdr:rowOff>
    </xdr:to>
    <xdr:sp macro="" textlink="">
      <xdr:nvSpPr>
        <xdr:cNvPr id="1477" name="AutoShape 15" descr="Story">
          <a:hlinkClick xmlns:r="http://schemas.openxmlformats.org/officeDocument/2006/relationships" r:id="rId4"/>
          <a:extLst>
            <a:ext uri="{FF2B5EF4-FFF2-40B4-BE49-F238E27FC236}">
              <a16:creationId xmlns:a16="http://schemas.microsoft.com/office/drawing/2014/main" id="{E66473C4-9894-4E71-91B2-53B748804E8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1267</xdr:row>
      <xdr:rowOff>0</xdr:rowOff>
    </xdr:from>
    <xdr:ext cx="152400" cy="152400"/>
    <xdr:sp macro="" textlink="">
      <xdr:nvSpPr>
        <xdr:cNvPr id="1478" name="AutoShape 1" descr="Story">
          <a:hlinkClick xmlns:r="http://schemas.openxmlformats.org/officeDocument/2006/relationships" r:id="rId7"/>
          <a:extLst>
            <a:ext uri="{FF2B5EF4-FFF2-40B4-BE49-F238E27FC236}">
              <a16:creationId xmlns:a16="http://schemas.microsoft.com/office/drawing/2014/main" id="{C5983AA1-ED86-4E87-9B7E-CF7667FEAB8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79" name="AutoShape 2" descr="Story">
          <a:hlinkClick xmlns:r="http://schemas.openxmlformats.org/officeDocument/2006/relationships" r:id="rId8"/>
          <a:extLst>
            <a:ext uri="{FF2B5EF4-FFF2-40B4-BE49-F238E27FC236}">
              <a16:creationId xmlns:a16="http://schemas.microsoft.com/office/drawing/2014/main" id="{6E0BAFB5-6C1B-4EC0-85D6-1950C68CD89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0" name="AutoShape 5" descr="Story">
          <a:hlinkClick xmlns:r="http://schemas.openxmlformats.org/officeDocument/2006/relationships" r:id="rId6"/>
          <a:extLst>
            <a:ext uri="{FF2B5EF4-FFF2-40B4-BE49-F238E27FC236}">
              <a16:creationId xmlns:a16="http://schemas.microsoft.com/office/drawing/2014/main" id="{9CC1EEA9-171D-49C5-9365-6AC688642A7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1" name="AutoShape 1" descr="Sub-task">
          <a:hlinkClick xmlns:r="http://schemas.openxmlformats.org/officeDocument/2006/relationships" r:id="rId9"/>
          <a:extLst>
            <a:ext uri="{FF2B5EF4-FFF2-40B4-BE49-F238E27FC236}">
              <a16:creationId xmlns:a16="http://schemas.microsoft.com/office/drawing/2014/main" id="{380385BF-3916-4049-9098-4940764B220D}"/>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2" name="AutoShape 2" descr="Sub-task">
          <a:hlinkClick xmlns:r="http://schemas.openxmlformats.org/officeDocument/2006/relationships" r:id="rId10"/>
          <a:extLst>
            <a:ext uri="{FF2B5EF4-FFF2-40B4-BE49-F238E27FC236}">
              <a16:creationId xmlns:a16="http://schemas.microsoft.com/office/drawing/2014/main" id="{A5A696A1-8577-4B79-A8F2-DE2B78EAAB2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3" name="AutoShape 3" descr="Story">
          <a:hlinkClick xmlns:r="http://schemas.openxmlformats.org/officeDocument/2006/relationships" r:id="rId11"/>
          <a:extLst>
            <a:ext uri="{FF2B5EF4-FFF2-40B4-BE49-F238E27FC236}">
              <a16:creationId xmlns:a16="http://schemas.microsoft.com/office/drawing/2014/main" id="{7A9DB24F-814A-429E-BA29-DE97095EC93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4" name="AutoShape 12" descr="Story">
          <a:hlinkClick xmlns:r="http://schemas.openxmlformats.org/officeDocument/2006/relationships" r:id="rId12"/>
          <a:extLst>
            <a:ext uri="{FF2B5EF4-FFF2-40B4-BE49-F238E27FC236}">
              <a16:creationId xmlns:a16="http://schemas.microsoft.com/office/drawing/2014/main" id="{67D29529-3515-453D-8D2F-32E9322032E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5" name="AutoShape 1" descr="Story">
          <a:hlinkClick xmlns:r="http://schemas.openxmlformats.org/officeDocument/2006/relationships" r:id="rId13"/>
          <a:extLst>
            <a:ext uri="{FF2B5EF4-FFF2-40B4-BE49-F238E27FC236}">
              <a16:creationId xmlns:a16="http://schemas.microsoft.com/office/drawing/2014/main" id="{DDC8E4C9-E144-4C70-9103-265E184B090F}"/>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6" name="AutoShape 1" descr="Story">
          <a:hlinkClick xmlns:r="http://schemas.openxmlformats.org/officeDocument/2006/relationships" r:id="rId13"/>
          <a:extLst>
            <a:ext uri="{FF2B5EF4-FFF2-40B4-BE49-F238E27FC236}">
              <a16:creationId xmlns:a16="http://schemas.microsoft.com/office/drawing/2014/main" id="{5D281880-EE2C-4CE7-8AA3-B9FA4C9EC0E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7" name="AutoShape 3" descr="Story">
          <a:hlinkClick xmlns:r="http://schemas.openxmlformats.org/officeDocument/2006/relationships" r:id="rId4"/>
          <a:extLst>
            <a:ext uri="{FF2B5EF4-FFF2-40B4-BE49-F238E27FC236}">
              <a16:creationId xmlns:a16="http://schemas.microsoft.com/office/drawing/2014/main" id="{11C62CAF-05BF-47B0-AA33-4740B38A54AF}"/>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88" name="AutoShape 4" descr="Story">
          <a:hlinkClick xmlns:r="http://schemas.openxmlformats.org/officeDocument/2006/relationships" r:id="rId5"/>
          <a:extLst>
            <a:ext uri="{FF2B5EF4-FFF2-40B4-BE49-F238E27FC236}">
              <a16:creationId xmlns:a16="http://schemas.microsoft.com/office/drawing/2014/main" id="{EEC8369F-C875-4592-92E0-6FBAC4414A1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89" name="AutoShape 1" descr="Story">
          <a:hlinkClick xmlns:r="http://schemas.openxmlformats.org/officeDocument/2006/relationships" r:id="rId7"/>
          <a:extLst>
            <a:ext uri="{FF2B5EF4-FFF2-40B4-BE49-F238E27FC236}">
              <a16:creationId xmlns:a16="http://schemas.microsoft.com/office/drawing/2014/main" id="{15774D59-26E9-46DA-9C88-3180C2E6DCF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90" name="AutoShape 2" descr="Story">
          <a:hlinkClick xmlns:r="http://schemas.openxmlformats.org/officeDocument/2006/relationships" r:id="rId8"/>
          <a:extLst>
            <a:ext uri="{FF2B5EF4-FFF2-40B4-BE49-F238E27FC236}">
              <a16:creationId xmlns:a16="http://schemas.microsoft.com/office/drawing/2014/main" id="{96B75B1F-EEC9-4E45-9297-D82BBD16F79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91" name="AutoShape 3" descr="Story">
          <a:hlinkClick xmlns:r="http://schemas.openxmlformats.org/officeDocument/2006/relationships" r:id="rId4"/>
          <a:extLst>
            <a:ext uri="{FF2B5EF4-FFF2-40B4-BE49-F238E27FC236}">
              <a16:creationId xmlns:a16="http://schemas.microsoft.com/office/drawing/2014/main" id="{4103D08F-7315-48B3-A503-F2125275FD77}"/>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92" name="AutoShape 4" descr="Story">
          <a:hlinkClick xmlns:r="http://schemas.openxmlformats.org/officeDocument/2006/relationships" r:id="rId5"/>
          <a:extLst>
            <a:ext uri="{FF2B5EF4-FFF2-40B4-BE49-F238E27FC236}">
              <a16:creationId xmlns:a16="http://schemas.microsoft.com/office/drawing/2014/main" id="{EA3D5709-F286-448D-B10F-D1DBB6EDEB45}"/>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93" name="AutoShape 5" descr="Story">
          <a:hlinkClick xmlns:r="http://schemas.openxmlformats.org/officeDocument/2006/relationships" r:id="rId6"/>
          <a:extLst>
            <a:ext uri="{FF2B5EF4-FFF2-40B4-BE49-F238E27FC236}">
              <a16:creationId xmlns:a16="http://schemas.microsoft.com/office/drawing/2014/main" id="{9DEEAD89-9ABE-4FC9-BD11-0E1ACAB47794}"/>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94" name="AutoShape 1" descr="Sub-task">
          <a:hlinkClick xmlns:r="http://schemas.openxmlformats.org/officeDocument/2006/relationships" r:id="rId9"/>
          <a:extLst>
            <a:ext uri="{FF2B5EF4-FFF2-40B4-BE49-F238E27FC236}">
              <a16:creationId xmlns:a16="http://schemas.microsoft.com/office/drawing/2014/main" id="{C02F4C30-071C-45CC-9024-7F0ABB2CC6E8}"/>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95" name="AutoShape 2" descr="Sub-task">
          <a:hlinkClick xmlns:r="http://schemas.openxmlformats.org/officeDocument/2006/relationships" r:id="rId10"/>
          <a:extLst>
            <a:ext uri="{FF2B5EF4-FFF2-40B4-BE49-F238E27FC236}">
              <a16:creationId xmlns:a16="http://schemas.microsoft.com/office/drawing/2014/main" id="{4C87A6F3-44DC-441E-892A-28ED0D1AFA0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496" name="AutoShape 7" descr="Story">
          <a:hlinkClick xmlns:r="http://schemas.openxmlformats.org/officeDocument/2006/relationships" r:id="rId3"/>
          <a:extLst>
            <a:ext uri="{FF2B5EF4-FFF2-40B4-BE49-F238E27FC236}">
              <a16:creationId xmlns:a16="http://schemas.microsoft.com/office/drawing/2014/main" id="{926219FB-2466-4F23-B71E-C7F919BCA5AF}"/>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97" name="AutoShape 3" descr="Story">
          <a:hlinkClick xmlns:r="http://schemas.openxmlformats.org/officeDocument/2006/relationships" r:id="rId11"/>
          <a:extLst>
            <a:ext uri="{FF2B5EF4-FFF2-40B4-BE49-F238E27FC236}">
              <a16:creationId xmlns:a16="http://schemas.microsoft.com/office/drawing/2014/main" id="{DE6FE0B4-E491-42E1-B863-F9772A59B54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98" name="AutoShape 12" descr="Story">
          <a:hlinkClick xmlns:r="http://schemas.openxmlformats.org/officeDocument/2006/relationships" r:id="rId12"/>
          <a:extLst>
            <a:ext uri="{FF2B5EF4-FFF2-40B4-BE49-F238E27FC236}">
              <a16:creationId xmlns:a16="http://schemas.microsoft.com/office/drawing/2014/main" id="{6BC7484A-F631-4CF3-89F1-6F8EAD16B06E}"/>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499" name="AutoShape 1" descr="Story">
          <a:hlinkClick xmlns:r="http://schemas.openxmlformats.org/officeDocument/2006/relationships" r:id="rId13"/>
          <a:extLst>
            <a:ext uri="{FF2B5EF4-FFF2-40B4-BE49-F238E27FC236}">
              <a16:creationId xmlns:a16="http://schemas.microsoft.com/office/drawing/2014/main" id="{23169C5F-9359-4F4B-9558-2DF2378DA3A0}"/>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500" name="AutoShape 1" descr="Story">
          <a:hlinkClick xmlns:r="http://schemas.openxmlformats.org/officeDocument/2006/relationships" r:id="rId13"/>
          <a:extLst>
            <a:ext uri="{FF2B5EF4-FFF2-40B4-BE49-F238E27FC236}">
              <a16:creationId xmlns:a16="http://schemas.microsoft.com/office/drawing/2014/main" id="{C3411E09-60D0-4877-A185-43BED8A267B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501" name="AutoShape 3" descr="Story">
          <a:hlinkClick xmlns:r="http://schemas.openxmlformats.org/officeDocument/2006/relationships" r:id="rId4"/>
          <a:extLst>
            <a:ext uri="{FF2B5EF4-FFF2-40B4-BE49-F238E27FC236}">
              <a16:creationId xmlns:a16="http://schemas.microsoft.com/office/drawing/2014/main" id="{A290F5AE-606C-4C07-B53F-01AEAA6956EA}"/>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502" name="AutoShape 4" descr="Story">
          <a:hlinkClick xmlns:r="http://schemas.openxmlformats.org/officeDocument/2006/relationships" r:id="rId5"/>
          <a:extLst>
            <a:ext uri="{FF2B5EF4-FFF2-40B4-BE49-F238E27FC236}">
              <a16:creationId xmlns:a16="http://schemas.microsoft.com/office/drawing/2014/main" id="{698985AF-0B94-46BC-89ED-B69946E686E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1270</xdr:row>
      <xdr:rowOff>0</xdr:rowOff>
    </xdr:from>
    <xdr:ext cx="152400" cy="152400"/>
    <xdr:sp macro="" textlink="">
      <xdr:nvSpPr>
        <xdr:cNvPr id="1503" name="AutoShape 7" descr="Story">
          <a:hlinkClick xmlns:r="http://schemas.openxmlformats.org/officeDocument/2006/relationships" r:id="rId3"/>
          <a:extLst>
            <a:ext uri="{FF2B5EF4-FFF2-40B4-BE49-F238E27FC236}">
              <a16:creationId xmlns:a16="http://schemas.microsoft.com/office/drawing/2014/main" id="{0FFC2060-F366-4B19-89A3-64023070C56B}"/>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504" name="AutoShape 8" descr="Story">
          <a:hlinkClick xmlns:r="http://schemas.openxmlformats.org/officeDocument/2006/relationships" r:id="rId4"/>
          <a:extLst>
            <a:ext uri="{FF2B5EF4-FFF2-40B4-BE49-F238E27FC236}">
              <a16:creationId xmlns:a16="http://schemas.microsoft.com/office/drawing/2014/main" id="{328900B5-710C-48A2-ABFF-129875848643}"/>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1267</xdr:row>
      <xdr:rowOff>0</xdr:rowOff>
    </xdr:from>
    <xdr:ext cx="152400" cy="152400"/>
    <xdr:sp macro="" textlink="">
      <xdr:nvSpPr>
        <xdr:cNvPr id="1505" name="AutoShape 8" descr="Story">
          <a:hlinkClick xmlns:r="http://schemas.openxmlformats.org/officeDocument/2006/relationships" r:id="rId4"/>
          <a:extLst>
            <a:ext uri="{FF2B5EF4-FFF2-40B4-BE49-F238E27FC236}">
              <a16:creationId xmlns:a16="http://schemas.microsoft.com/office/drawing/2014/main" id="{410E85C9-5731-438F-A44A-CEEFE64CD84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1290</xdr:row>
      <xdr:rowOff>0</xdr:rowOff>
    </xdr:from>
    <xdr:to>
      <xdr:col>0</xdr:col>
      <xdr:colOff>152400</xdr:colOff>
      <xdr:row>1290</xdr:row>
      <xdr:rowOff>152400</xdr:rowOff>
    </xdr:to>
    <xdr:sp macro="" textlink="">
      <xdr:nvSpPr>
        <xdr:cNvPr id="1506" name="AutoShape 2" descr="Story">
          <a:hlinkClick xmlns:r="http://schemas.openxmlformats.org/officeDocument/2006/relationships" r:id="rId12"/>
          <a:extLst>
            <a:ext uri="{FF2B5EF4-FFF2-40B4-BE49-F238E27FC236}">
              <a16:creationId xmlns:a16="http://schemas.microsoft.com/office/drawing/2014/main" id="{3B13F36D-4C2F-4F5E-99A2-BB1B516BBF56}"/>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507" name="AutoShape 3" descr="Story">
          <a:hlinkClick xmlns:r="http://schemas.openxmlformats.org/officeDocument/2006/relationships" r:id="rId11"/>
          <a:extLst>
            <a:ext uri="{FF2B5EF4-FFF2-40B4-BE49-F238E27FC236}">
              <a16:creationId xmlns:a16="http://schemas.microsoft.com/office/drawing/2014/main" id="{9A4801A7-B7EB-4C00-AE06-F08D26C0F3B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08" name="AutoShape 4" descr="Bug">
          <a:hlinkClick xmlns:r="http://schemas.openxmlformats.org/officeDocument/2006/relationships" r:id="rId1"/>
          <a:extLst>
            <a:ext uri="{FF2B5EF4-FFF2-40B4-BE49-F238E27FC236}">
              <a16:creationId xmlns:a16="http://schemas.microsoft.com/office/drawing/2014/main" id="{16514F84-4D95-45FC-BC1C-EBC1795E44EF}"/>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09" name="AutoShape 5" descr="Story">
          <a:hlinkClick xmlns:r="http://schemas.openxmlformats.org/officeDocument/2006/relationships" r:id="rId14"/>
          <a:extLst>
            <a:ext uri="{FF2B5EF4-FFF2-40B4-BE49-F238E27FC236}">
              <a16:creationId xmlns:a16="http://schemas.microsoft.com/office/drawing/2014/main" id="{139854B4-A0E0-45DE-8E89-2A2CDF7D6A2D}"/>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10" name="AutoShape 6" descr="Bug">
          <a:hlinkClick xmlns:r="http://schemas.openxmlformats.org/officeDocument/2006/relationships" r:id="rId2"/>
          <a:extLst>
            <a:ext uri="{FF2B5EF4-FFF2-40B4-BE49-F238E27FC236}">
              <a16:creationId xmlns:a16="http://schemas.microsoft.com/office/drawing/2014/main" id="{51E8DD8A-55F2-4BBB-BFB3-B9FBAA88CE4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11" name="AutoShape 7" descr="Story">
          <a:hlinkClick xmlns:r="http://schemas.openxmlformats.org/officeDocument/2006/relationships" r:id="rId3"/>
          <a:extLst>
            <a:ext uri="{FF2B5EF4-FFF2-40B4-BE49-F238E27FC236}">
              <a16:creationId xmlns:a16="http://schemas.microsoft.com/office/drawing/2014/main" id="{EC971883-105C-4D64-AF7D-64A41D73D79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12" name="AutoShape 8" descr="Story">
          <a:hlinkClick xmlns:r="http://schemas.openxmlformats.org/officeDocument/2006/relationships" r:id="rId4"/>
          <a:extLst>
            <a:ext uri="{FF2B5EF4-FFF2-40B4-BE49-F238E27FC236}">
              <a16:creationId xmlns:a16="http://schemas.microsoft.com/office/drawing/2014/main" id="{D434BB07-B474-4528-9D55-6D9F63C2009B}"/>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13" name="AutoShape 9" descr="Story">
          <a:hlinkClick xmlns:r="http://schemas.openxmlformats.org/officeDocument/2006/relationships" r:id="rId5"/>
          <a:extLst>
            <a:ext uri="{FF2B5EF4-FFF2-40B4-BE49-F238E27FC236}">
              <a16:creationId xmlns:a16="http://schemas.microsoft.com/office/drawing/2014/main" id="{1CB9113F-9CA9-48E4-A808-84C96A326149}"/>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514" name="AutoShape 10" descr="Story">
          <a:hlinkClick xmlns:r="http://schemas.openxmlformats.org/officeDocument/2006/relationships" r:id="rId6"/>
          <a:extLst>
            <a:ext uri="{FF2B5EF4-FFF2-40B4-BE49-F238E27FC236}">
              <a16:creationId xmlns:a16="http://schemas.microsoft.com/office/drawing/2014/main" id="{DC8C60EF-1A47-4227-8148-8A603A1B26CE}"/>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15" name="AutoShape 11" descr="Story">
          <a:hlinkClick xmlns:r="http://schemas.openxmlformats.org/officeDocument/2006/relationships" r:id="rId15"/>
          <a:extLst>
            <a:ext uri="{FF2B5EF4-FFF2-40B4-BE49-F238E27FC236}">
              <a16:creationId xmlns:a16="http://schemas.microsoft.com/office/drawing/2014/main" id="{8D487243-6C5D-40C9-BD99-FD8E4C2EDDD9}"/>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516" name="AutoShape 12" descr="Story">
          <a:hlinkClick xmlns:r="http://schemas.openxmlformats.org/officeDocument/2006/relationships" r:id="rId12"/>
          <a:extLst>
            <a:ext uri="{FF2B5EF4-FFF2-40B4-BE49-F238E27FC236}">
              <a16:creationId xmlns:a16="http://schemas.microsoft.com/office/drawing/2014/main" id="{FCD6F846-2C8F-4819-8FB0-C16724851C2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17" name="AutoShape 13" descr="Story">
          <a:hlinkClick xmlns:r="http://schemas.openxmlformats.org/officeDocument/2006/relationships" r:id="rId4"/>
          <a:extLst>
            <a:ext uri="{FF2B5EF4-FFF2-40B4-BE49-F238E27FC236}">
              <a16:creationId xmlns:a16="http://schemas.microsoft.com/office/drawing/2014/main" id="{4759B4BE-24FA-4D2E-B2DA-2980CC8C7F0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518" name="AutoShape 14" descr="Story">
          <a:hlinkClick xmlns:r="http://schemas.openxmlformats.org/officeDocument/2006/relationships" r:id="rId4"/>
          <a:extLst>
            <a:ext uri="{FF2B5EF4-FFF2-40B4-BE49-F238E27FC236}">
              <a16:creationId xmlns:a16="http://schemas.microsoft.com/office/drawing/2014/main" id="{19572A32-E507-49BB-B866-EBB591660ECF}"/>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19" name="AutoShape 15" descr="Story">
          <a:hlinkClick xmlns:r="http://schemas.openxmlformats.org/officeDocument/2006/relationships" r:id="rId4"/>
          <a:extLst>
            <a:ext uri="{FF2B5EF4-FFF2-40B4-BE49-F238E27FC236}">
              <a16:creationId xmlns:a16="http://schemas.microsoft.com/office/drawing/2014/main" id="{E109770D-7757-46FF-BC96-BA1A825F750F}"/>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1286</xdr:row>
      <xdr:rowOff>0</xdr:rowOff>
    </xdr:from>
    <xdr:ext cx="152400" cy="152400"/>
    <xdr:sp macro="" textlink="">
      <xdr:nvSpPr>
        <xdr:cNvPr id="1520" name="AutoShape 1" descr="Story">
          <a:hlinkClick xmlns:r="http://schemas.openxmlformats.org/officeDocument/2006/relationships" r:id="rId7"/>
          <a:extLst>
            <a:ext uri="{FF2B5EF4-FFF2-40B4-BE49-F238E27FC236}">
              <a16:creationId xmlns:a16="http://schemas.microsoft.com/office/drawing/2014/main" id="{40A34164-7748-4119-9897-6DB9B25EB71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1" name="AutoShape 2" descr="Story">
          <a:hlinkClick xmlns:r="http://schemas.openxmlformats.org/officeDocument/2006/relationships" r:id="rId8"/>
          <a:extLst>
            <a:ext uri="{FF2B5EF4-FFF2-40B4-BE49-F238E27FC236}">
              <a16:creationId xmlns:a16="http://schemas.microsoft.com/office/drawing/2014/main" id="{C5B61FF8-69FB-443B-9BEF-ED3A8A46F274}"/>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2" name="AutoShape 5" descr="Story">
          <a:hlinkClick xmlns:r="http://schemas.openxmlformats.org/officeDocument/2006/relationships" r:id="rId6"/>
          <a:extLst>
            <a:ext uri="{FF2B5EF4-FFF2-40B4-BE49-F238E27FC236}">
              <a16:creationId xmlns:a16="http://schemas.microsoft.com/office/drawing/2014/main" id="{62DB3300-A252-4921-8FEB-BDA79E247A0A}"/>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3" name="AutoShape 1" descr="Sub-task">
          <a:hlinkClick xmlns:r="http://schemas.openxmlformats.org/officeDocument/2006/relationships" r:id="rId9"/>
          <a:extLst>
            <a:ext uri="{FF2B5EF4-FFF2-40B4-BE49-F238E27FC236}">
              <a16:creationId xmlns:a16="http://schemas.microsoft.com/office/drawing/2014/main" id="{79D42F5A-9856-461D-B602-BB7D03E68578}"/>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4" name="AutoShape 2" descr="Sub-task">
          <a:hlinkClick xmlns:r="http://schemas.openxmlformats.org/officeDocument/2006/relationships" r:id="rId10"/>
          <a:extLst>
            <a:ext uri="{FF2B5EF4-FFF2-40B4-BE49-F238E27FC236}">
              <a16:creationId xmlns:a16="http://schemas.microsoft.com/office/drawing/2014/main" id="{67C0CE5B-3141-495F-913B-9B034D4D3FE6}"/>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5" name="AutoShape 3" descr="Story">
          <a:hlinkClick xmlns:r="http://schemas.openxmlformats.org/officeDocument/2006/relationships" r:id="rId11"/>
          <a:extLst>
            <a:ext uri="{FF2B5EF4-FFF2-40B4-BE49-F238E27FC236}">
              <a16:creationId xmlns:a16="http://schemas.microsoft.com/office/drawing/2014/main" id="{5CEDADA9-9600-4CD7-B2ED-32C7ACEE6A9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6" name="AutoShape 12" descr="Story">
          <a:hlinkClick xmlns:r="http://schemas.openxmlformats.org/officeDocument/2006/relationships" r:id="rId12"/>
          <a:extLst>
            <a:ext uri="{FF2B5EF4-FFF2-40B4-BE49-F238E27FC236}">
              <a16:creationId xmlns:a16="http://schemas.microsoft.com/office/drawing/2014/main" id="{F655930E-05AC-4204-9C64-7AD854D0039B}"/>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7" name="AutoShape 1" descr="Story">
          <a:hlinkClick xmlns:r="http://schemas.openxmlformats.org/officeDocument/2006/relationships" r:id="rId13"/>
          <a:extLst>
            <a:ext uri="{FF2B5EF4-FFF2-40B4-BE49-F238E27FC236}">
              <a16:creationId xmlns:a16="http://schemas.microsoft.com/office/drawing/2014/main" id="{6377124B-9113-4F26-8B1A-27CF9400A5B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8" name="AutoShape 1" descr="Story">
          <a:hlinkClick xmlns:r="http://schemas.openxmlformats.org/officeDocument/2006/relationships" r:id="rId13"/>
          <a:extLst>
            <a:ext uri="{FF2B5EF4-FFF2-40B4-BE49-F238E27FC236}">
              <a16:creationId xmlns:a16="http://schemas.microsoft.com/office/drawing/2014/main" id="{02EF33A7-5EF2-4AC3-A5AB-A747243E96C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29" name="AutoShape 3" descr="Story">
          <a:hlinkClick xmlns:r="http://schemas.openxmlformats.org/officeDocument/2006/relationships" r:id="rId4"/>
          <a:extLst>
            <a:ext uri="{FF2B5EF4-FFF2-40B4-BE49-F238E27FC236}">
              <a16:creationId xmlns:a16="http://schemas.microsoft.com/office/drawing/2014/main" id="{E4B7ED23-76AE-43B6-9DFB-805524F68A32}"/>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30" name="AutoShape 4" descr="Story">
          <a:hlinkClick xmlns:r="http://schemas.openxmlformats.org/officeDocument/2006/relationships" r:id="rId5"/>
          <a:extLst>
            <a:ext uri="{FF2B5EF4-FFF2-40B4-BE49-F238E27FC236}">
              <a16:creationId xmlns:a16="http://schemas.microsoft.com/office/drawing/2014/main" id="{7935E2BB-BCF2-434C-9D81-FE3998EE61F2}"/>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31" name="AutoShape 1" descr="Story">
          <a:hlinkClick xmlns:r="http://schemas.openxmlformats.org/officeDocument/2006/relationships" r:id="rId7"/>
          <a:extLst>
            <a:ext uri="{FF2B5EF4-FFF2-40B4-BE49-F238E27FC236}">
              <a16:creationId xmlns:a16="http://schemas.microsoft.com/office/drawing/2014/main" id="{C106B4C4-3C7A-491C-88C6-350823B306D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32" name="AutoShape 2" descr="Story">
          <a:hlinkClick xmlns:r="http://schemas.openxmlformats.org/officeDocument/2006/relationships" r:id="rId8"/>
          <a:extLst>
            <a:ext uri="{FF2B5EF4-FFF2-40B4-BE49-F238E27FC236}">
              <a16:creationId xmlns:a16="http://schemas.microsoft.com/office/drawing/2014/main" id="{088FD19E-10B2-4086-B13E-2EEFC25DB97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33" name="AutoShape 3" descr="Story">
          <a:hlinkClick xmlns:r="http://schemas.openxmlformats.org/officeDocument/2006/relationships" r:id="rId4"/>
          <a:extLst>
            <a:ext uri="{FF2B5EF4-FFF2-40B4-BE49-F238E27FC236}">
              <a16:creationId xmlns:a16="http://schemas.microsoft.com/office/drawing/2014/main" id="{43B8A1B8-B82C-4883-8C84-AA40B754567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34" name="AutoShape 4" descr="Story">
          <a:hlinkClick xmlns:r="http://schemas.openxmlformats.org/officeDocument/2006/relationships" r:id="rId5"/>
          <a:extLst>
            <a:ext uri="{FF2B5EF4-FFF2-40B4-BE49-F238E27FC236}">
              <a16:creationId xmlns:a16="http://schemas.microsoft.com/office/drawing/2014/main" id="{080263F5-A2E3-4CE2-89D4-ED3672A40EE4}"/>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35" name="AutoShape 5" descr="Story">
          <a:hlinkClick xmlns:r="http://schemas.openxmlformats.org/officeDocument/2006/relationships" r:id="rId6"/>
          <a:extLst>
            <a:ext uri="{FF2B5EF4-FFF2-40B4-BE49-F238E27FC236}">
              <a16:creationId xmlns:a16="http://schemas.microsoft.com/office/drawing/2014/main" id="{7857DEC6-CA5D-485F-9320-F3E51FED52A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36" name="AutoShape 1" descr="Sub-task">
          <a:hlinkClick xmlns:r="http://schemas.openxmlformats.org/officeDocument/2006/relationships" r:id="rId9"/>
          <a:extLst>
            <a:ext uri="{FF2B5EF4-FFF2-40B4-BE49-F238E27FC236}">
              <a16:creationId xmlns:a16="http://schemas.microsoft.com/office/drawing/2014/main" id="{ED07B24A-9391-4920-B167-4058F7CF433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37" name="AutoShape 2" descr="Sub-task">
          <a:hlinkClick xmlns:r="http://schemas.openxmlformats.org/officeDocument/2006/relationships" r:id="rId10"/>
          <a:extLst>
            <a:ext uri="{FF2B5EF4-FFF2-40B4-BE49-F238E27FC236}">
              <a16:creationId xmlns:a16="http://schemas.microsoft.com/office/drawing/2014/main" id="{E3A57AF3-C986-4B37-A69C-94D486F0A4D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38" name="AutoShape 7" descr="Story">
          <a:hlinkClick xmlns:r="http://schemas.openxmlformats.org/officeDocument/2006/relationships" r:id="rId3"/>
          <a:extLst>
            <a:ext uri="{FF2B5EF4-FFF2-40B4-BE49-F238E27FC236}">
              <a16:creationId xmlns:a16="http://schemas.microsoft.com/office/drawing/2014/main" id="{9B06BBE8-50F7-43C3-959D-6A93DE9826A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39" name="AutoShape 3" descr="Story">
          <a:hlinkClick xmlns:r="http://schemas.openxmlformats.org/officeDocument/2006/relationships" r:id="rId11"/>
          <a:extLst>
            <a:ext uri="{FF2B5EF4-FFF2-40B4-BE49-F238E27FC236}">
              <a16:creationId xmlns:a16="http://schemas.microsoft.com/office/drawing/2014/main" id="{D64859D9-102E-4406-9F07-100FFA0E16B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40" name="AutoShape 12" descr="Story">
          <a:hlinkClick xmlns:r="http://schemas.openxmlformats.org/officeDocument/2006/relationships" r:id="rId12"/>
          <a:extLst>
            <a:ext uri="{FF2B5EF4-FFF2-40B4-BE49-F238E27FC236}">
              <a16:creationId xmlns:a16="http://schemas.microsoft.com/office/drawing/2014/main" id="{F78374D8-9736-4B07-813B-BC72FDA9FB0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41" name="AutoShape 1" descr="Story">
          <a:hlinkClick xmlns:r="http://schemas.openxmlformats.org/officeDocument/2006/relationships" r:id="rId13"/>
          <a:extLst>
            <a:ext uri="{FF2B5EF4-FFF2-40B4-BE49-F238E27FC236}">
              <a16:creationId xmlns:a16="http://schemas.microsoft.com/office/drawing/2014/main" id="{FB717F0A-2EF7-4622-9D5C-94B02175BD27}"/>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42" name="AutoShape 1" descr="Story">
          <a:hlinkClick xmlns:r="http://schemas.openxmlformats.org/officeDocument/2006/relationships" r:id="rId13"/>
          <a:extLst>
            <a:ext uri="{FF2B5EF4-FFF2-40B4-BE49-F238E27FC236}">
              <a16:creationId xmlns:a16="http://schemas.microsoft.com/office/drawing/2014/main" id="{48133C16-F316-4663-8EE0-82762A787D95}"/>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43" name="AutoShape 3" descr="Story">
          <a:hlinkClick xmlns:r="http://schemas.openxmlformats.org/officeDocument/2006/relationships" r:id="rId4"/>
          <a:extLst>
            <a:ext uri="{FF2B5EF4-FFF2-40B4-BE49-F238E27FC236}">
              <a16:creationId xmlns:a16="http://schemas.microsoft.com/office/drawing/2014/main" id="{A82B0927-8384-43A7-94E4-32ED0204AB5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44" name="AutoShape 4" descr="Story">
          <a:hlinkClick xmlns:r="http://schemas.openxmlformats.org/officeDocument/2006/relationships" r:id="rId5"/>
          <a:extLst>
            <a:ext uri="{FF2B5EF4-FFF2-40B4-BE49-F238E27FC236}">
              <a16:creationId xmlns:a16="http://schemas.microsoft.com/office/drawing/2014/main" id="{B3BD3FC6-9A4B-4976-AD97-506EA02E3AF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45" name="AutoShape 7" descr="Story">
          <a:hlinkClick xmlns:r="http://schemas.openxmlformats.org/officeDocument/2006/relationships" r:id="rId3"/>
          <a:extLst>
            <a:ext uri="{FF2B5EF4-FFF2-40B4-BE49-F238E27FC236}">
              <a16:creationId xmlns:a16="http://schemas.microsoft.com/office/drawing/2014/main" id="{B1F4BF0E-7F45-4B29-BD18-EFFD2D5CFD5B}"/>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46" name="AutoShape 8" descr="Story">
          <a:hlinkClick xmlns:r="http://schemas.openxmlformats.org/officeDocument/2006/relationships" r:id="rId4"/>
          <a:extLst>
            <a:ext uri="{FF2B5EF4-FFF2-40B4-BE49-F238E27FC236}">
              <a16:creationId xmlns:a16="http://schemas.microsoft.com/office/drawing/2014/main" id="{DB13CD83-65D3-45FE-A261-B3065AA9914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47" name="AutoShape 8" descr="Story">
          <a:hlinkClick xmlns:r="http://schemas.openxmlformats.org/officeDocument/2006/relationships" r:id="rId4"/>
          <a:extLst>
            <a:ext uri="{FF2B5EF4-FFF2-40B4-BE49-F238E27FC236}">
              <a16:creationId xmlns:a16="http://schemas.microsoft.com/office/drawing/2014/main" id="{3A9911C5-AC24-4FED-8CED-A304EC62BA2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1290</xdr:row>
      <xdr:rowOff>0</xdr:rowOff>
    </xdr:from>
    <xdr:to>
      <xdr:col>0</xdr:col>
      <xdr:colOff>152400</xdr:colOff>
      <xdr:row>1290</xdr:row>
      <xdr:rowOff>152400</xdr:rowOff>
    </xdr:to>
    <xdr:sp macro="" textlink="">
      <xdr:nvSpPr>
        <xdr:cNvPr id="1548" name="AutoShape 2" descr="Story">
          <a:hlinkClick xmlns:r="http://schemas.openxmlformats.org/officeDocument/2006/relationships" r:id="rId12"/>
          <a:extLst>
            <a:ext uri="{FF2B5EF4-FFF2-40B4-BE49-F238E27FC236}">
              <a16:creationId xmlns:a16="http://schemas.microsoft.com/office/drawing/2014/main" id="{5F60E1C3-043F-4494-B30E-BE636D9132CE}"/>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549" name="AutoShape 3" descr="Story">
          <a:hlinkClick xmlns:r="http://schemas.openxmlformats.org/officeDocument/2006/relationships" r:id="rId11"/>
          <a:extLst>
            <a:ext uri="{FF2B5EF4-FFF2-40B4-BE49-F238E27FC236}">
              <a16:creationId xmlns:a16="http://schemas.microsoft.com/office/drawing/2014/main" id="{557ABF05-8371-4A1E-9F4B-0B19211ECEA2}"/>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50" name="AutoShape 4" descr="Bug">
          <a:hlinkClick xmlns:r="http://schemas.openxmlformats.org/officeDocument/2006/relationships" r:id="rId1"/>
          <a:extLst>
            <a:ext uri="{FF2B5EF4-FFF2-40B4-BE49-F238E27FC236}">
              <a16:creationId xmlns:a16="http://schemas.microsoft.com/office/drawing/2014/main" id="{01101565-80C0-4574-9B8C-EA18599203E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51" name="AutoShape 5" descr="Story">
          <a:hlinkClick xmlns:r="http://schemas.openxmlformats.org/officeDocument/2006/relationships" r:id="rId14"/>
          <a:extLst>
            <a:ext uri="{FF2B5EF4-FFF2-40B4-BE49-F238E27FC236}">
              <a16:creationId xmlns:a16="http://schemas.microsoft.com/office/drawing/2014/main" id="{D30726F6-03AE-46DF-B85B-AA18F54E5DAA}"/>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52" name="AutoShape 6" descr="Bug">
          <a:hlinkClick xmlns:r="http://schemas.openxmlformats.org/officeDocument/2006/relationships" r:id="rId2"/>
          <a:extLst>
            <a:ext uri="{FF2B5EF4-FFF2-40B4-BE49-F238E27FC236}">
              <a16:creationId xmlns:a16="http://schemas.microsoft.com/office/drawing/2014/main" id="{5AFA4BF5-2787-4FDD-ADC9-9A5BC514E6F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53" name="AutoShape 7" descr="Story">
          <a:hlinkClick xmlns:r="http://schemas.openxmlformats.org/officeDocument/2006/relationships" r:id="rId3"/>
          <a:extLst>
            <a:ext uri="{FF2B5EF4-FFF2-40B4-BE49-F238E27FC236}">
              <a16:creationId xmlns:a16="http://schemas.microsoft.com/office/drawing/2014/main" id="{583C472A-D39B-45D4-BBB8-33AED48AE5F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54" name="AutoShape 8" descr="Story">
          <a:hlinkClick xmlns:r="http://schemas.openxmlformats.org/officeDocument/2006/relationships" r:id="rId4"/>
          <a:extLst>
            <a:ext uri="{FF2B5EF4-FFF2-40B4-BE49-F238E27FC236}">
              <a16:creationId xmlns:a16="http://schemas.microsoft.com/office/drawing/2014/main" id="{E71F068A-0B17-4B68-ADAD-A2CA3AC435A6}"/>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55" name="AutoShape 9" descr="Story">
          <a:hlinkClick xmlns:r="http://schemas.openxmlformats.org/officeDocument/2006/relationships" r:id="rId5"/>
          <a:extLst>
            <a:ext uri="{FF2B5EF4-FFF2-40B4-BE49-F238E27FC236}">
              <a16:creationId xmlns:a16="http://schemas.microsoft.com/office/drawing/2014/main" id="{9E8769CE-9850-482C-BB57-F562F7CAEDCE}"/>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556" name="AutoShape 10" descr="Story">
          <a:hlinkClick xmlns:r="http://schemas.openxmlformats.org/officeDocument/2006/relationships" r:id="rId6"/>
          <a:extLst>
            <a:ext uri="{FF2B5EF4-FFF2-40B4-BE49-F238E27FC236}">
              <a16:creationId xmlns:a16="http://schemas.microsoft.com/office/drawing/2014/main" id="{D3ECDED6-95D3-431D-8732-ACB919EF03A5}"/>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57" name="AutoShape 11" descr="Story">
          <a:hlinkClick xmlns:r="http://schemas.openxmlformats.org/officeDocument/2006/relationships" r:id="rId15"/>
          <a:extLst>
            <a:ext uri="{FF2B5EF4-FFF2-40B4-BE49-F238E27FC236}">
              <a16:creationId xmlns:a16="http://schemas.microsoft.com/office/drawing/2014/main" id="{C53874D2-8A7C-48C9-B890-2327E657B8CD}"/>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558" name="AutoShape 12" descr="Story">
          <a:hlinkClick xmlns:r="http://schemas.openxmlformats.org/officeDocument/2006/relationships" r:id="rId12"/>
          <a:extLst>
            <a:ext uri="{FF2B5EF4-FFF2-40B4-BE49-F238E27FC236}">
              <a16:creationId xmlns:a16="http://schemas.microsoft.com/office/drawing/2014/main" id="{545626D3-B01C-4D2E-BD99-6D7112810EB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59" name="AutoShape 13" descr="Story">
          <a:hlinkClick xmlns:r="http://schemas.openxmlformats.org/officeDocument/2006/relationships" r:id="rId4"/>
          <a:extLst>
            <a:ext uri="{FF2B5EF4-FFF2-40B4-BE49-F238E27FC236}">
              <a16:creationId xmlns:a16="http://schemas.microsoft.com/office/drawing/2014/main" id="{C7437164-F4EC-449F-AD41-B3CAB51C83AE}"/>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560" name="AutoShape 14" descr="Story">
          <a:hlinkClick xmlns:r="http://schemas.openxmlformats.org/officeDocument/2006/relationships" r:id="rId4"/>
          <a:extLst>
            <a:ext uri="{FF2B5EF4-FFF2-40B4-BE49-F238E27FC236}">
              <a16:creationId xmlns:a16="http://schemas.microsoft.com/office/drawing/2014/main" id="{EB232B2B-B892-4C33-B4FC-3506F1154F73}"/>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61" name="AutoShape 15" descr="Story">
          <a:hlinkClick xmlns:r="http://schemas.openxmlformats.org/officeDocument/2006/relationships" r:id="rId4"/>
          <a:extLst>
            <a:ext uri="{FF2B5EF4-FFF2-40B4-BE49-F238E27FC236}">
              <a16:creationId xmlns:a16="http://schemas.microsoft.com/office/drawing/2014/main" id="{1961AE97-C771-418E-9E7D-21C6BE40B964}"/>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1286</xdr:row>
      <xdr:rowOff>0</xdr:rowOff>
    </xdr:from>
    <xdr:ext cx="152400" cy="152400"/>
    <xdr:sp macro="" textlink="">
      <xdr:nvSpPr>
        <xdr:cNvPr id="1562" name="AutoShape 1" descr="Story">
          <a:hlinkClick xmlns:r="http://schemas.openxmlformats.org/officeDocument/2006/relationships" r:id="rId7"/>
          <a:extLst>
            <a:ext uri="{FF2B5EF4-FFF2-40B4-BE49-F238E27FC236}">
              <a16:creationId xmlns:a16="http://schemas.microsoft.com/office/drawing/2014/main" id="{DF0AFC3F-4D1C-413B-9941-860D0D3DE203}"/>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63" name="AutoShape 2" descr="Story">
          <a:hlinkClick xmlns:r="http://schemas.openxmlformats.org/officeDocument/2006/relationships" r:id="rId8"/>
          <a:extLst>
            <a:ext uri="{FF2B5EF4-FFF2-40B4-BE49-F238E27FC236}">
              <a16:creationId xmlns:a16="http://schemas.microsoft.com/office/drawing/2014/main" id="{2255CE41-69F2-4BA1-AC58-BB1D08D8E8D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64" name="AutoShape 5" descr="Story">
          <a:hlinkClick xmlns:r="http://schemas.openxmlformats.org/officeDocument/2006/relationships" r:id="rId6"/>
          <a:extLst>
            <a:ext uri="{FF2B5EF4-FFF2-40B4-BE49-F238E27FC236}">
              <a16:creationId xmlns:a16="http://schemas.microsoft.com/office/drawing/2014/main" id="{2B073D95-DAF5-4C76-B845-B3F2919D179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65" name="AutoShape 1" descr="Sub-task">
          <a:hlinkClick xmlns:r="http://schemas.openxmlformats.org/officeDocument/2006/relationships" r:id="rId9"/>
          <a:extLst>
            <a:ext uri="{FF2B5EF4-FFF2-40B4-BE49-F238E27FC236}">
              <a16:creationId xmlns:a16="http://schemas.microsoft.com/office/drawing/2014/main" id="{B27DF812-94A0-4A90-995E-307CB190B58F}"/>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66" name="AutoShape 2" descr="Sub-task">
          <a:hlinkClick xmlns:r="http://schemas.openxmlformats.org/officeDocument/2006/relationships" r:id="rId10"/>
          <a:extLst>
            <a:ext uri="{FF2B5EF4-FFF2-40B4-BE49-F238E27FC236}">
              <a16:creationId xmlns:a16="http://schemas.microsoft.com/office/drawing/2014/main" id="{53AF1646-00B7-49F2-A6BB-430386295AC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67" name="AutoShape 3" descr="Story">
          <a:hlinkClick xmlns:r="http://schemas.openxmlformats.org/officeDocument/2006/relationships" r:id="rId11"/>
          <a:extLst>
            <a:ext uri="{FF2B5EF4-FFF2-40B4-BE49-F238E27FC236}">
              <a16:creationId xmlns:a16="http://schemas.microsoft.com/office/drawing/2014/main" id="{3EB5B87E-4A7F-4BC7-80F2-AFC0E9FD9C88}"/>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68" name="AutoShape 12" descr="Story">
          <a:hlinkClick xmlns:r="http://schemas.openxmlformats.org/officeDocument/2006/relationships" r:id="rId12"/>
          <a:extLst>
            <a:ext uri="{FF2B5EF4-FFF2-40B4-BE49-F238E27FC236}">
              <a16:creationId xmlns:a16="http://schemas.microsoft.com/office/drawing/2014/main" id="{E5068A80-FC1E-47E6-901B-BC6E838C5F19}"/>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69" name="AutoShape 1" descr="Story">
          <a:hlinkClick xmlns:r="http://schemas.openxmlformats.org/officeDocument/2006/relationships" r:id="rId13"/>
          <a:extLst>
            <a:ext uri="{FF2B5EF4-FFF2-40B4-BE49-F238E27FC236}">
              <a16:creationId xmlns:a16="http://schemas.microsoft.com/office/drawing/2014/main" id="{5891F18A-1596-473A-91B3-D02D1579A5E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70" name="AutoShape 1" descr="Story">
          <a:hlinkClick xmlns:r="http://schemas.openxmlformats.org/officeDocument/2006/relationships" r:id="rId13"/>
          <a:extLst>
            <a:ext uri="{FF2B5EF4-FFF2-40B4-BE49-F238E27FC236}">
              <a16:creationId xmlns:a16="http://schemas.microsoft.com/office/drawing/2014/main" id="{C12DD114-F26D-46B6-82CA-438D6C246C3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71" name="AutoShape 3" descr="Story">
          <a:hlinkClick xmlns:r="http://schemas.openxmlformats.org/officeDocument/2006/relationships" r:id="rId4"/>
          <a:extLst>
            <a:ext uri="{FF2B5EF4-FFF2-40B4-BE49-F238E27FC236}">
              <a16:creationId xmlns:a16="http://schemas.microsoft.com/office/drawing/2014/main" id="{9CB77C02-DEEA-4688-A7E0-23A1C007AC24}"/>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72" name="AutoShape 4" descr="Story">
          <a:hlinkClick xmlns:r="http://schemas.openxmlformats.org/officeDocument/2006/relationships" r:id="rId5"/>
          <a:extLst>
            <a:ext uri="{FF2B5EF4-FFF2-40B4-BE49-F238E27FC236}">
              <a16:creationId xmlns:a16="http://schemas.microsoft.com/office/drawing/2014/main" id="{57E10375-3BA9-44A3-90D2-88E1D36B8FE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73" name="AutoShape 1" descr="Story">
          <a:hlinkClick xmlns:r="http://schemas.openxmlformats.org/officeDocument/2006/relationships" r:id="rId7"/>
          <a:extLst>
            <a:ext uri="{FF2B5EF4-FFF2-40B4-BE49-F238E27FC236}">
              <a16:creationId xmlns:a16="http://schemas.microsoft.com/office/drawing/2014/main" id="{5EA4516D-A4BF-4E0D-B920-E2FD83C6181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74" name="AutoShape 2" descr="Story">
          <a:hlinkClick xmlns:r="http://schemas.openxmlformats.org/officeDocument/2006/relationships" r:id="rId8"/>
          <a:extLst>
            <a:ext uri="{FF2B5EF4-FFF2-40B4-BE49-F238E27FC236}">
              <a16:creationId xmlns:a16="http://schemas.microsoft.com/office/drawing/2014/main" id="{96425823-876E-4155-8478-4E1CE2FC337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75" name="AutoShape 3" descr="Story">
          <a:hlinkClick xmlns:r="http://schemas.openxmlformats.org/officeDocument/2006/relationships" r:id="rId4"/>
          <a:extLst>
            <a:ext uri="{FF2B5EF4-FFF2-40B4-BE49-F238E27FC236}">
              <a16:creationId xmlns:a16="http://schemas.microsoft.com/office/drawing/2014/main" id="{F4CEB9E9-9FFD-42DE-9A7D-548C0AD8E8E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76" name="AutoShape 4" descr="Story">
          <a:hlinkClick xmlns:r="http://schemas.openxmlformats.org/officeDocument/2006/relationships" r:id="rId5"/>
          <a:extLst>
            <a:ext uri="{FF2B5EF4-FFF2-40B4-BE49-F238E27FC236}">
              <a16:creationId xmlns:a16="http://schemas.microsoft.com/office/drawing/2014/main" id="{841CBA78-76C4-40E3-B12C-AF4FF77DA729}"/>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77" name="AutoShape 5" descr="Story">
          <a:hlinkClick xmlns:r="http://schemas.openxmlformats.org/officeDocument/2006/relationships" r:id="rId6"/>
          <a:extLst>
            <a:ext uri="{FF2B5EF4-FFF2-40B4-BE49-F238E27FC236}">
              <a16:creationId xmlns:a16="http://schemas.microsoft.com/office/drawing/2014/main" id="{039F825E-FC99-4E9A-8BE0-6E5684B771C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78" name="AutoShape 1" descr="Sub-task">
          <a:hlinkClick xmlns:r="http://schemas.openxmlformats.org/officeDocument/2006/relationships" r:id="rId9"/>
          <a:extLst>
            <a:ext uri="{FF2B5EF4-FFF2-40B4-BE49-F238E27FC236}">
              <a16:creationId xmlns:a16="http://schemas.microsoft.com/office/drawing/2014/main" id="{9AFB08D7-9A3D-41E8-B659-250926462FF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79" name="AutoShape 2" descr="Sub-task">
          <a:hlinkClick xmlns:r="http://schemas.openxmlformats.org/officeDocument/2006/relationships" r:id="rId10"/>
          <a:extLst>
            <a:ext uri="{FF2B5EF4-FFF2-40B4-BE49-F238E27FC236}">
              <a16:creationId xmlns:a16="http://schemas.microsoft.com/office/drawing/2014/main" id="{FAEEE3C1-D404-4115-BDB8-A8F7929BDD62}"/>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80" name="AutoShape 7" descr="Story">
          <a:hlinkClick xmlns:r="http://schemas.openxmlformats.org/officeDocument/2006/relationships" r:id="rId3"/>
          <a:extLst>
            <a:ext uri="{FF2B5EF4-FFF2-40B4-BE49-F238E27FC236}">
              <a16:creationId xmlns:a16="http://schemas.microsoft.com/office/drawing/2014/main" id="{76033EE6-C3FE-4C25-A7E3-7147E0F06C88}"/>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81" name="AutoShape 3" descr="Story">
          <a:hlinkClick xmlns:r="http://schemas.openxmlformats.org/officeDocument/2006/relationships" r:id="rId11"/>
          <a:extLst>
            <a:ext uri="{FF2B5EF4-FFF2-40B4-BE49-F238E27FC236}">
              <a16:creationId xmlns:a16="http://schemas.microsoft.com/office/drawing/2014/main" id="{7F48DAEE-43F7-4FF4-9E9B-9F9DD71F660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82" name="AutoShape 12" descr="Story">
          <a:hlinkClick xmlns:r="http://schemas.openxmlformats.org/officeDocument/2006/relationships" r:id="rId12"/>
          <a:extLst>
            <a:ext uri="{FF2B5EF4-FFF2-40B4-BE49-F238E27FC236}">
              <a16:creationId xmlns:a16="http://schemas.microsoft.com/office/drawing/2014/main" id="{60C8D96B-CE8C-455C-B56B-573F5FD4FC07}"/>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83" name="AutoShape 1" descr="Story">
          <a:hlinkClick xmlns:r="http://schemas.openxmlformats.org/officeDocument/2006/relationships" r:id="rId13"/>
          <a:extLst>
            <a:ext uri="{FF2B5EF4-FFF2-40B4-BE49-F238E27FC236}">
              <a16:creationId xmlns:a16="http://schemas.microsoft.com/office/drawing/2014/main" id="{74EEECEB-0BCA-4E47-BD5A-6885CEA1321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84" name="AutoShape 1" descr="Story">
          <a:hlinkClick xmlns:r="http://schemas.openxmlformats.org/officeDocument/2006/relationships" r:id="rId13"/>
          <a:extLst>
            <a:ext uri="{FF2B5EF4-FFF2-40B4-BE49-F238E27FC236}">
              <a16:creationId xmlns:a16="http://schemas.microsoft.com/office/drawing/2014/main" id="{7DA91760-677E-4AED-98D2-1C672EDE803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85" name="AutoShape 3" descr="Story">
          <a:hlinkClick xmlns:r="http://schemas.openxmlformats.org/officeDocument/2006/relationships" r:id="rId4"/>
          <a:extLst>
            <a:ext uri="{FF2B5EF4-FFF2-40B4-BE49-F238E27FC236}">
              <a16:creationId xmlns:a16="http://schemas.microsoft.com/office/drawing/2014/main" id="{9AD0E461-A18B-4FD9-8448-B2B2D53AF4A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86" name="AutoShape 4" descr="Story">
          <a:hlinkClick xmlns:r="http://schemas.openxmlformats.org/officeDocument/2006/relationships" r:id="rId5"/>
          <a:extLst>
            <a:ext uri="{FF2B5EF4-FFF2-40B4-BE49-F238E27FC236}">
              <a16:creationId xmlns:a16="http://schemas.microsoft.com/office/drawing/2014/main" id="{AB08DE92-57E1-4030-9C9A-A5F5862FD33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587" name="AutoShape 7" descr="Story">
          <a:hlinkClick xmlns:r="http://schemas.openxmlformats.org/officeDocument/2006/relationships" r:id="rId3"/>
          <a:extLst>
            <a:ext uri="{FF2B5EF4-FFF2-40B4-BE49-F238E27FC236}">
              <a16:creationId xmlns:a16="http://schemas.microsoft.com/office/drawing/2014/main" id="{F17444C9-B1A0-4711-B7D4-B80F194237B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88" name="AutoShape 8" descr="Story">
          <a:hlinkClick xmlns:r="http://schemas.openxmlformats.org/officeDocument/2006/relationships" r:id="rId4"/>
          <a:extLst>
            <a:ext uri="{FF2B5EF4-FFF2-40B4-BE49-F238E27FC236}">
              <a16:creationId xmlns:a16="http://schemas.microsoft.com/office/drawing/2014/main" id="{64F885DE-8E8D-4416-A8ED-2A20B0552631}"/>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589" name="AutoShape 8" descr="Story">
          <a:hlinkClick xmlns:r="http://schemas.openxmlformats.org/officeDocument/2006/relationships" r:id="rId4"/>
          <a:extLst>
            <a:ext uri="{FF2B5EF4-FFF2-40B4-BE49-F238E27FC236}">
              <a16:creationId xmlns:a16="http://schemas.microsoft.com/office/drawing/2014/main" id="{66B9A6BD-3EE5-4DA5-8146-6D31E81D95D2}"/>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1290</xdr:row>
      <xdr:rowOff>0</xdr:rowOff>
    </xdr:from>
    <xdr:to>
      <xdr:col>0</xdr:col>
      <xdr:colOff>152400</xdr:colOff>
      <xdr:row>1290</xdr:row>
      <xdr:rowOff>152400</xdr:rowOff>
    </xdr:to>
    <xdr:sp macro="" textlink="">
      <xdr:nvSpPr>
        <xdr:cNvPr id="1590" name="AutoShape 2" descr="Story">
          <a:hlinkClick xmlns:r="http://schemas.openxmlformats.org/officeDocument/2006/relationships" r:id="rId12"/>
          <a:extLst>
            <a:ext uri="{FF2B5EF4-FFF2-40B4-BE49-F238E27FC236}">
              <a16:creationId xmlns:a16="http://schemas.microsoft.com/office/drawing/2014/main" id="{D50D376F-DB35-4B14-8A07-2E9C6DF9185F}"/>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591" name="AutoShape 3" descr="Story">
          <a:hlinkClick xmlns:r="http://schemas.openxmlformats.org/officeDocument/2006/relationships" r:id="rId11"/>
          <a:extLst>
            <a:ext uri="{FF2B5EF4-FFF2-40B4-BE49-F238E27FC236}">
              <a16:creationId xmlns:a16="http://schemas.microsoft.com/office/drawing/2014/main" id="{CA52B93F-A0DE-41A1-AE41-28BE20345C7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92" name="AutoShape 4" descr="Bug">
          <a:hlinkClick xmlns:r="http://schemas.openxmlformats.org/officeDocument/2006/relationships" r:id="rId1"/>
          <a:extLst>
            <a:ext uri="{FF2B5EF4-FFF2-40B4-BE49-F238E27FC236}">
              <a16:creationId xmlns:a16="http://schemas.microsoft.com/office/drawing/2014/main" id="{DC73063B-2252-417E-9517-16186ED3212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93" name="AutoShape 5" descr="Story">
          <a:hlinkClick xmlns:r="http://schemas.openxmlformats.org/officeDocument/2006/relationships" r:id="rId14"/>
          <a:extLst>
            <a:ext uri="{FF2B5EF4-FFF2-40B4-BE49-F238E27FC236}">
              <a16:creationId xmlns:a16="http://schemas.microsoft.com/office/drawing/2014/main" id="{50EAB1FC-67BA-436F-A4B5-3B76510FCA22}"/>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94" name="AutoShape 6" descr="Bug">
          <a:hlinkClick xmlns:r="http://schemas.openxmlformats.org/officeDocument/2006/relationships" r:id="rId2"/>
          <a:extLst>
            <a:ext uri="{FF2B5EF4-FFF2-40B4-BE49-F238E27FC236}">
              <a16:creationId xmlns:a16="http://schemas.microsoft.com/office/drawing/2014/main" id="{78BE7EC8-A039-460C-AAE6-D6373BBC54B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95" name="AutoShape 7" descr="Story">
          <a:hlinkClick xmlns:r="http://schemas.openxmlformats.org/officeDocument/2006/relationships" r:id="rId3"/>
          <a:extLst>
            <a:ext uri="{FF2B5EF4-FFF2-40B4-BE49-F238E27FC236}">
              <a16:creationId xmlns:a16="http://schemas.microsoft.com/office/drawing/2014/main" id="{44575624-1EA9-4F30-BCB4-4E62454A60D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96" name="AutoShape 8" descr="Story">
          <a:hlinkClick xmlns:r="http://schemas.openxmlformats.org/officeDocument/2006/relationships" r:id="rId4"/>
          <a:extLst>
            <a:ext uri="{FF2B5EF4-FFF2-40B4-BE49-F238E27FC236}">
              <a16:creationId xmlns:a16="http://schemas.microsoft.com/office/drawing/2014/main" id="{07A29F11-FBF6-4C39-9301-0AB7357B78C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597" name="AutoShape 9" descr="Story">
          <a:hlinkClick xmlns:r="http://schemas.openxmlformats.org/officeDocument/2006/relationships" r:id="rId5"/>
          <a:extLst>
            <a:ext uri="{FF2B5EF4-FFF2-40B4-BE49-F238E27FC236}">
              <a16:creationId xmlns:a16="http://schemas.microsoft.com/office/drawing/2014/main" id="{06DE59A9-0356-4A1C-895E-7A691EC45223}"/>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598" name="AutoShape 10" descr="Story">
          <a:hlinkClick xmlns:r="http://schemas.openxmlformats.org/officeDocument/2006/relationships" r:id="rId6"/>
          <a:extLst>
            <a:ext uri="{FF2B5EF4-FFF2-40B4-BE49-F238E27FC236}">
              <a16:creationId xmlns:a16="http://schemas.microsoft.com/office/drawing/2014/main" id="{793C1DD6-519A-4A8A-BBDF-3E703979D6B4}"/>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599" name="AutoShape 11" descr="Story">
          <a:hlinkClick xmlns:r="http://schemas.openxmlformats.org/officeDocument/2006/relationships" r:id="rId15"/>
          <a:extLst>
            <a:ext uri="{FF2B5EF4-FFF2-40B4-BE49-F238E27FC236}">
              <a16:creationId xmlns:a16="http://schemas.microsoft.com/office/drawing/2014/main" id="{C3908C81-14E2-4F0D-8E8F-3950B5E99A48}"/>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600" name="AutoShape 12" descr="Story">
          <a:hlinkClick xmlns:r="http://schemas.openxmlformats.org/officeDocument/2006/relationships" r:id="rId12"/>
          <a:extLst>
            <a:ext uri="{FF2B5EF4-FFF2-40B4-BE49-F238E27FC236}">
              <a16:creationId xmlns:a16="http://schemas.microsoft.com/office/drawing/2014/main" id="{D5CA21C3-ADEF-49D3-8759-46D2429FF73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601" name="AutoShape 13" descr="Story">
          <a:hlinkClick xmlns:r="http://schemas.openxmlformats.org/officeDocument/2006/relationships" r:id="rId4"/>
          <a:extLst>
            <a:ext uri="{FF2B5EF4-FFF2-40B4-BE49-F238E27FC236}">
              <a16:creationId xmlns:a16="http://schemas.microsoft.com/office/drawing/2014/main" id="{EE78FBEE-4F1B-429B-82E6-C58C6CE95F5B}"/>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02" name="AutoShape 14" descr="Story">
          <a:hlinkClick xmlns:r="http://schemas.openxmlformats.org/officeDocument/2006/relationships" r:id="rId4"/>
          <a:extLst>
            <a:ext uri="{FF2B5EF4-FFF2-40B4-BE49-F238E27FC236}">
              <a16:creationId xmlns:a16="http://schemas.microsoft.com/office/drawing/2014/main" id="{2F454839-64B1-4DF6-A65F-1F0FD7A180D8}"/>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603" name="AutoShape 15" descr="Story">
          <a:hlinkClick xmlns:r="http://schemas.openxmlformats.org/officeDocument/2006/relationships" r:id="rId4"/>
          <a:extLst>
            <a:ext uri="{FF2B5EF4-FFF2-40B4-BE49-F238E27FC236}">
              <a16:creationId xmlns:a16="http://schemas.microsoft.com/office/drawing/2014/main" id="{CD8C8B62-D4E0-4881-84EA-54D4DC8F119B}"/>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1286</xdr:row>
      <xdr:rowOff>0</xdr:rowOff>
    </xdr:from>
    <xdr:ext cx="152400" cy="152400"/>
    <xdr:sp macro="" textlink="">
      <xdr:nvSpPr>
        <xdr:cNvPr id="1604" name="AutoShape 1" descr="Story">
          <a:hlinkClick xmlns:r="http://schemas.openxmlformats.org/officeDocument/2006/relationships" r:id="rId7"/>
          <a:extLst>
            <a:ext uri="{FF2B5EF4-FFF2-40B4-BE49-F238E27FC236}">
              <a16:creationId xmlns:a16="http://schemas.microsoft.com/office/drawing/2014/main" id="{FCC5155A-A13A-4AC8-9372-B6B62B7D314B}"/>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05" name="AutoShape 2" descr="Story">
          <a:hlinkClick xmlns:r="http://schemas.openxmlformats.org/officeDocument/2006/relationships" r:id="rId8"/>
          <a:extLst>
            <a:ext uri="{FF2B5EF4-FFF2-40B4-BE49-F238E27FC236}">
              <a16:creationId xmlns:a16="http://schemas.microsoft.com/office/drawing/2014/main" id="{97BCE41E-35FF-442C-8507-B1B4968EC866}"/>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06" name="AutoShape 5" descr="Story">
          <a:hlinkClick xmlns:r="http://schemas.openxmlformats.org/officeDocument/2006/relationships" r:id="rId6"/>
          <a:extLst>
            <a:ext uri="{FF2B5EF4-FFF2-40B4-BE49-F238E27FC236}">
              <a16:creationId xmlns:a16="http://schemas.microsoft.com/office/drawing/2014/main" id="{5789FE79-AD34-473F-BAF3-DF88AD2C202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07" name="AutoShape 1" descr="Sub-task">
          <a:hlinkClick xmlns:r="http://schemas.openxmlformats.org/officeDocument/2006/relationships" r:id="rId9"/>
          <a:extLst>
            <a:ext uri="{FF2B5EF4-FFF2-40B4-BE49-F238E27FC236}">
              <a16:creationId xmlns:a16="http://schemas.microsoft.com/office/drawing/2014/main" id="{D28B3ECA-9053-4B01-AC88-D018204649C6}"/>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08" name="AutoShape 2" descr="Sub-task">
          <a:hlinkClick xmlns:r="http://schemas.openxmlformats.org/officeDocument/2006/relationships" r:id="rId10"/>
          <a:extLst>
            <a:ext uri="{FF2B5EF4-FFF2-40B4-BE49-F238E27FC236}">
              <a16:creationId xmlns:a16="http://schemas.microsoft.com/office/drawing/2014/main" id="{F842294A-A0DD-43A5-983B-FC4DB67CDB10}"/>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09" name="AutoShape 3" descr="Story">
          <a:hlinkClick xmlns:r="http://schemas.openxmlformats.org/officeDocument/2006/relationships" r:id="rId11"/>
          <a:extLst>
            <a:ext uri="{FF2B5EF4-FFF2-40B4-BE49-F238E27FC236}">
              <a16:creationId xmlns:a16="http://schemas.microsoft.com/office/drawing/2014/main" id="{1EB656F2-50A5-4A51-8E9D-1AAF9593CA66}"/>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10" name="AutoShape 12" descr="Story">
          <a:hlinkClick xmlns:r="http://schemas.openxmlformats.org/officeDocument/2006/relationships" r:id="rId12"/>
          <a:extLst>
            <a:ext uri="{FF2B5EF4-FFF2-40B4-BE49-F238E27FC236}">
              <a16:creationId xmlns:a16="http://schemas.microsoft.com/office/drawing/2014/main" id="{898327E5-7B58-4B1D-A8F6-4DA58C861433}"/>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11" name="AutoShape 1" descr="Story">
          <a:hlinkClick xmlns:r="http://schemas.openxmlformats.org/officeDocument/2006/relationships" r:id="rId13"/>
          <a:extLst>
            <a:ext uri="{FF2B5EF4-FFF2-40B4-BE49-F238E27FC236}">
              <a16:creationId xmlns:a16="http://schemas.microsoft.com/office/drawing/2014/main" id="{BBBE4248-AB1E-477C-BF09-94E6BA784FBF}"/>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12" name="AutoShape 1" descr="Story">
          <a:hlinkClick xmlns:r="http://schemas.openxmlformats.org/officeDocument/2006/relationships" r:id="rId13"/>
          <a:extLst>
            <a:ext uri="{FF2B5EF4-FFF2-40B4-BE49-F238E27FC236}">
              <a16:creationId xmlns:a16="http://schemas.microsoft.com/office/drawing/2014/main" id="{8D9C3A39-A7C8-458A-9987-4A646B4829A9}"/>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13" name="AutoShape 3" descr="Story">
          <a:hlinkClick xmlns:r="http://schemas.openxmlformats.org/officeDocument/2006/relationships" r:id="rId4"/>
          <a:extLst>
            <a:ext uri="{FF2B5EF4-FFF2-40B4-BE49-F238E27FC236}">
              <a16:creationId xmlns:a16="http://schemas.microsoft.com/office/drawing/2014/main" id="{ECB39411-9E57-4AB2-B71C-C46B3797105C}"/>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14" name="AutoShape 4" descr="Story">
          <a:hlinkClick xmlns:r="http://schemas.openxmlformats.org/officeDocument/2006/relationships" r:id="rId5"/>
          <a:extLst>
            <a:ext uri="{FF2B5EF4-FFF2-40B4-BE49-F238E27FC236}">
              <a16:creationId xmlns:a16="http://schemas.microsoft.com/office/drawing/2014/main" id="{689C41BA-A77F-459C-AD0B-B8CEF7FA51D3}"/>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15" name="AutoShape 1" descr="Story">
          <a:hlinkClick xmlns:r="http://schemas.openxmlformats.org/officeDocument/2006/relationships" r:id="rId7"/>
          <a:extLst>
            <a:ext uri="{FF2B5EF4-FFF2-40B4-BE49-F238E27FC236}">
              <a16:creationId xmlns:a16="http://schemas.microsoft.com/office/drawing/2014/main" id="{7EB98C61-5083-4895-A4B0-2AFF4F28CF97}"/>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16" name="AutoShape 2" descr="Story">
          <a:hlinkClick xmlns:r="http://schemas.openxmlformats.org/officeDocument/2006/relationships" r:id="rId8"/>
          <a:extLst>
            <a:ext uri="{FF2B5EF4-FFF2-40B4-BE49-F238E27FC236}">
              <a16:creationId xmlns:a16="http://schemas.microsoft.com/office/drawing/2014/main" id="{BB4BFC02-5E8A-4B40-92F9-3C7A6F81F9B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17" name="AutoShape 3" descr="Story">
          <a:hlinkClick xmlns:r="http://schemas.openxmlformats.org/officeDocument/2006/relationships" r:id="rId4"/>
          <a:extLst>
            <a:ext uri="{FF2B5EF4-FFF2-40B4-BE49-F238E27FC236}">
              <a16:creationId xmlns:a16="http://schemas.microsoft.com/office/drawing/2014/main" id="{3E9559A0-18D3-4FE1-93BC-F7FB17E9BC7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18" name="AutoShape 4" descr="Story">
          <a:hlinkClick xmlns:r="http://schemas.openxmlformats.org/officeDocument/2006/relationships" r:id="rId5"/>
          <a:extLst>
            <a:ext uri="{FF2B5EF4-FFF2-40B4-BE49-F238E27FC236}">
              <a16:creationId xmlns:a16="http://schemas.microsoft.com/office/drawing/2014/main" id="{7FF9FEDF-C28C-4ACF-BBAF-3D856588C64B}"/>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19" name="AutoShape 5" descr="Story">
          <a:hlinkClick xmlns:r="http://schemas.openxmlformats.org/officeDocument/2006/relationships" r:id="rId6"/>
          <a:extLst>
            <a:ext uri="{FF2B5EF4-FFF2-40B4-BE49-F238E27FC236}">
              <a16:creationId xmlns:a16="http://schemas.microsoft.com/office/drawing/2014/main" id="{B7EEAE76-F0B5-42CA-88CA-DEE3DC547B0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0" name="AutoShape 1" descr="Sub-task">
          <a:hlinkClick xmlns:r="http://schemas.openxmlformats.org/officeDocument/2006/relationships" r:id="rId9"/>
          <a:extLst>
            <a:ext uri="{FF2B5EF4-FFF2-40B4-BE49-F238E27FC236}">
              <a16:creationId xmlns:a16="http://schemas.microsoft.com/office/drawing/2014/main" id="{9EDA228D-C6BD-4347-92EC-1B40C889791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1" name="AutoShape 2" descr="Sub-task">
          <a:hlinkClick xmlns:r="http://schemas.openxmlformats.org/officeDocument/2006/relationships" r:id="rId10"/>
          <a:extLst>
            <a:ext uri="{FF2B5EF4-FFF2-40B4-BE49-F238E27FC236}">
              <a16:creationId xmlns:a16="http://schemas.microsoft.com/office/drawing/2014/main" id="{3BDA4F70-CD2E-4E52-A751-AE1B3695CE9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22" name="AutoShape 7" descr="Story">
          <a:hlinkClick xmlns:r="http://schemas.openxmlformats.org/officeDocument/2006/relationships" r:id="rId3"/>
          <a:extLst>
            <a:ext uri="{FF2B5EF4-FFF2-40B4-BE49-F238E27FC236}">
              <a16:creationId xmlns:a16="http://schemas.microsoft.com/office/drawing/2014/main" id="{E58A5509-354B-44CE-A1DD-AF13D03A88D3}"/>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3" name="AutoShape 3" descr="Story">
          <a:hlinkClick xmlns:r="http://schemas.openxmlformats.org/officeDocument/2006/relationships" r:id="rId11"/>
          <a:extLst>
            <a:ext uri="{FF2B5EF4-FFF2-40B4-BE49-F238E27FC236}">
              <a16:creationId xmlns:a16="http://schemas.microsoft.com/office/drawing/2014/main" id="{334AAD88-F489-4AD3-9A5D-A16853D39125}"/>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4" name="AutoShape 12" descr="Story">
          <a:hlinkClick xmlns:r="http://schemas.openxmlformats.org/officeDocument/2006/relationships" r:id="rId12"/>
          <a:extLst>
            <a:ext uri="{FF2B5EF4-FFF2-40B4-BE49-F238E27FC236}">
              <a16:creationId xmlns:a16="http://schemas.microsoft.com/office/drawing/2014/main" id="{B59CE47C-8B31-44B4-A181-60ACF7E6B60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5" name="AutoShape 1" descr="Story">
          <a:hlinkClick xmlns:r="http://schemas.openxmlformats.org/officeDocument/2006/relationships" r:id="rId13"/>
          <a:extLst>
            <a:ext uri="{FF2B5EF4-FFF2-40B4-BE49-F238E27FC236}">
              <a16:creationId xmlns:a16="http://schemas.microsoft.com/office/drawing/2014/main" id="{C10CADEE-3C85-444E-AF5E-29A218F4898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6" name="AutoShape 1" descr="Story">
          <a:hlinkClick xmlns:r="http://schemas.openxmlformats.org/officeDocument/2006/relationships" r:id="rId13"/>
          <a:extLst>
            <a:ext uri="{FF2B5EF4-FFF2-40B4-BE49-F238E27FC236}">
              <a16:creationId xmlns:a16="http://schemas.microsoft.com/office/drawing/2014/main" id="{5DDC8B1D-8291-4CF6-AD8E-BCA1B74E0C75}"/>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7" name="AutoShape 3" descr="Story">
          <a:hlinkClick xmlns:r="http://schemas.openxmlformats.org/officeDocument/2006/relationships" r:id="rId4"/>
          <a:extLst>
            <a:ext uri="{FF2B5EF4-FFF2-40B4-BE49-F238E27FC236}">
              <a16:creationId xmlns:a16="http://schemas.microsoft.com/office/drawing/2014/main" id="{DA010A39-26C7-4D35-8852-F3F502824C95}"/>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8" name="AutoShape 4" descr="Story">
          <a:hlinkClick xmlns:r="http://schemas.openxmlformats.org/officeDocument/2006/relationships" r:id="rId5"/>
          <a:extLst>
            <a:ext uri="{FF2B5EF4-FFF2-40B4-BE49-F238E27FC236}">
              <a16:creationId xmlns:a16="http://schemas.microsoft.com/office/drawing/2014/main" id="{1A01DA73-E145-414B-B94D-364F23B54C4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29" name="AutoShape 7" descr="Story">
          <a:hlinkClick xmlns:r="http://schemas.openxmlformats.org/officeDocument/2006/relationships" r:id="rId3"/>
          <a:extLst>
            <a:ext uri="{FF2B5EF4-FFF2-40B4-BE49-F238E27FC236}">
              <a16:creationId xmlns:a16="http://schemas.microsoft.com/office/drawing/2014/main" id="{9C362B67-A944-4A2A-A133-1388C84DA834}"/>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30" name="AutoShape 8" descr="Story">
          <a:hlinkClick xmlns:r="http://schemas.openxmlformats.org/officeDocument/2006/relationships" r:id="rId4"/>
          <a:extLst>
            <a:ext uri="{FF2B5EF4-FFF2-40B4-BE49-F238E27FC236}">
              <a16:creationId xmlns:a16="http://schemas.microsoft.com/office/drawing/2014/main" id="{2B997E31-A139-4F97-912B-A6A4C523D12A}"/>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31" name="AutoShape 8" descr="Story">
          <a:hlinkClick xmlns:r="http://schemas.openxmlformats.org/officeDocument/2006/relationships" r:id="rId4"/>
          <a:extLst>
            <a:ext uri="{FF2B5EF4-FFF2-40B4-BE49-F238E27FC236}">
              <a16:creationId xmlns:a16="http://schemas.microsoft.com/office/drawing/2014/main" id="{95D90FF9-A521-4A4E-8C59-03655C8E8CA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1287</xdr:row>
      <xdr:rowOff>0</xdr:rowOff>
    </xdr:from>
    <xdr:to>
      <xdr:col>0</xdr:col>
      <xdr:colOff>152400</xdr:colOff>
      <xdr:row>1287</xdr:row>
      <xdr:rowOff>152400</xdr:rowOff>
    </xdr:to>
    <xdr:sp macro="" textlink="">
      <xdr:nvSpPr>
        <xdr:cNvPr id="1632" name="AutoShape 10" descr="Story">
          <a:hlinkClick xmlns:r="http://schemas.openxmlformats.org/officeDocument/2006/relationships" r:id="rId6"/>
          <a:extLst>
            <a:ext uri="{FF2B5EF4-FFF2-40B4-BE49-F238E27FC236}">
              <a16:creationId xmlns:a16="http://schemas.microsoft.com/office/drawing/2014/main" id="{33AF7333-301B-4F26-ADD9-FB7FD34A5933}"/>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33" name="AutoShape 14" descr="Story">
          <a:hlinkClick xmlns:r="http://schemas.openxmlformats.org/officeDocument/2006/relationships" r:id="rId4"/>
          <a:extLst>
            <a:ext uri="{FF2B5EF4-FFF2-40B4-BE49-F238E27FC236}">
              <a16:creationId xmlns:a16="http://schemas.microsoft.com/office/drawing/2014/main" id="{F0AC263E-AE70-43D2-A184-54690A02525D}"/>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34" name="AutoShape 10" descr="Story">
          <a:hlinkClick xmlns:r="http://schemas.openxmlformats.org/officeDocument/2006/relationships" r:id="rId6"/>
          <a:extLst>
            <a:ext uri="{FF2B5EF4-FFF2-40B4-BE49-F238E27FC236}">
              <a16:creationId xmlns:a16="http://schemas.microsoft.com/office/drawing/2014/main" id="{A4656B29-89A4-448A-BC3C-41E8C24194D4}"/>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35" name="AutoShape 14" descr="Story">
          <a:hlinkClick xmlns:r="http://schemas.openxmlformats.org/officeDocument/2006/relationships" r:id="rId4"/>
          <a:extLst>
            <a:ext uri="{FF2B5EF4-FFF2-40B4-BE49-F238E27FC236}">
              <a16:creationId xmlns:a16="http://schemas.microsoft.com/office/drawing/2014/main" id="{DA196CF6-A1A1-40D6-B1A0-6B4560B6BA47}"/>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636" name="AutoShape 2" descr="Story">
          <a:hlinkClick xmlns:r="http://schemas.openxmlformats.org/officeDocument/2006/relationships" r:id="rId12"/>
          <a:extLst>
            <a:ext uri="{FF2B5EF4-FFF2-40B4-BE49-F238E27FC236}">
              <a16:creationId xmlns:a16="http://schemas.microsoft.com/office/drawing/2014/main" id="{B866E36B-7B19-4F53-A074-C9D170EFB341}"/>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637" name="AutoShape 3" descr="Story">
          <a:hlinkClick xmlns:r="http://schemas.openxmlformats.org/officeDocument/2006/relationships" r:id="rId11"/>
          <a:extLst>
            <a:ext uri="{FF2B5EF4-FFF2-40B4-BE49-F238E27FC236}">
              <a16:creationId xmlns:a16="http://schemas.microsoft.com/office/drawing/2014/main" id="{F72A99CA-4ABD-421B-BB4D-50157DDA19B8}"/>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638" name="AutoShape 4" descr="Bug">
          <a:hlinkClick xmlns:r="http://schemas.openxmlformats.org/officeDocument/2006/relationships" r:id="rId1"/>
          <a:extLst>
            <a:ext uri="{FF2B5EF4-FFF2-40B4-BE49-F238E27FC236}">
              <a16:creationId xmlns:a16="http://schemas.microsoft.com/office/drawing/2014/main" id="{5696DCEB-F5BF-443B-B815-A55C368CE36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639" name="AutoShape 5" descr="Story">
          <a:hlinkClick xmlns:r="http://schemas.openxmlformats.org/officeDocument/2006/relationships" r:id="rId14"/>
          <a:extLst>
            <a:ext uri="{FF2B5EF4-FFF2-40B4-BE49-F238E27FC236}">
              <a16:creationId xmlns:a16="http://schemas.microsoft.com/office/drawing/2014/main" id="{7D63DD5D-A83B-45E9-B9F1-D31016E43172}"/>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640" name="AutoShape 6" descr="Bug">
          <a:hlinkClick xmlns:r="http://schemas.openxmlformats.org/officeDocument/2006/relationships" r:id="rId2"/>
          <a:extLst>
            <a:ext uri="{FF2B5EF4-FFF2-40B4-BE49-F238E27FC236}">
              <a16:creationId xmlns:a16="http://schemas.microsoft.com/office/drawing/2014/main" id="{91605B08-8EFF-476C-A340-02B306F2E622}"/>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641" name="AutoShape 7" descr="Story">
          <a:hlinkClick xmlns:r="http://schemas.openxmlformats.org/officeDocument/2006/relationships" r:id="rId3"/>
          <a:extLst>
            <a:ext uri="{FF2B5EF4-FFF2-40B4-BE49-F238E27FC236}">
              <a16:creationId xmlns:a16="http://schemas.microsoft.com/office/drawing/2014/main" id="{2AF90EBA-A61E-4046-BFD1-7D55D4579A23}"/>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642" name="AutoShape 8" descr="Story">
          <a:hlinkClick xmlns:r="http://schemas.openxmlformats.org/officeDocument/2006/relationships" r:id="rId4"/>
          <a:extLst>
            <a:ext uri="{FF2B5EF4-FFF2-40B4-BE49-F238E27FC236}">
              <a16:creationId xmlns:a16="http://schemas.microsoft.com/office/drawing/2014/main" id="{1947AAA6-A2B7-4AB9-B400-7F8AD2DE6FCF}"/>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643" name="AutoShape 9" descr="Story">
          <a:hlinkClick xmlns:r="http://schemas.openxmlformats.org/officeDocument/2006/relationships" r:id="rId5"/>
          <a:extLst>
            <a:ext uri="{FF2B5EF4-FFF2-40B4-BE49-F238E27FC236}">
              <a16:creationId xmlns:a16="http://schemas.microsoft.com/office/drawing/2014/main" id="{F65F3343-3605-4E83-BE09-DF256634491D}"/>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44" name="AutoShape 10" descr="Story">
          <a:hlinkClick xmlns:r="http://schemas.openxmlformats.org/officeDocument/2006/relationships" r:id="rId6"/>
          <a:extLst>
            <a:ext uri="{FF2B5EF4-FFF2-40B4-BE49-F238E27FC236}">
              <a16:creationId xmlns:a16="http://schemas.microsoft.com/office/drawing/2014/main" id="{320198EB-CFAE-459C-8DF0-A226CCB839EF}"/>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645" name="AutoShape 11" descr="Story">
          <a:hlinkClick xmlns:r="http://schemas.openxmlformats.org/officeDocument/2006/relationships" r:id="rId15"/>
          <a:extLst>
            <a:ext uri="{FF2B5EF4-FFF2-40B4-BE49-F238E27FC236}">
              <a16:creationId xmlns:a16="http://schemas.microsoft.com/office/drawing/2014/main" id="{8E5B948C-C1ED-49A5-9F14-10F21D8760DE}"/>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1289</xdr:row>
      <xdr:rowOff>0</xdr:rowOff>
    </xdr:from>
    <xdr:to>
      <xdr:col>0</xdr:col>
      <xdr:colOff>152400</xdr:colOff>
      <xdr:row>1289</xdr:row>
      <xdr:rowOff>152400</xdr:rowOff>
    </xdr:to>
    <xdr:sp macro="" textlink="">
      <xdr:nvSpPr>
        <xdr:cNvPr id="1646" name="AutoShape 12" descr="Story">
          <a:hlinkClick xmlns:r="http://schemas.openxmlformats.org/officeDocument/2006/relationships" r:id="rId12"/>
          <a:extLst>
            <a:ext uri="{FF2B5EF4-FFF2-40B4-BE49-F238E27FC236}">
              <a16:creationId xmlns:a16="http://schemas.microsoft.com/office/drawing/2014/main" id="{9C1497A0-2155-4FFE-A60F-3A997BA96F08}"/>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1286</xdr:row>
      <xdr:rowOff>0</xdr:rowOff>
    </xdr:from>
    <xdr:to>
      <xdr:col>0</xdr:col>
      <xdr:colOff>152400</xdr:colOff>
      <xdr:row>1286</xdr:row>
      <xdr:rowOff>152400</xdr:rowOff>
    </xdr:to>
    <xdr:sp macro="" textlink="">
      <xdr:nvSpPr>
        <xdr:cNvPr id="1647" name="AutoShape 13" descr="Story">
          <a:hlinkClick xmlns:r="http://schemas.openxmlformats.org/officeDocument/2006/relationships" r:id="rId4"/>
          <a:extLst>
            <a:ext uri="{FF2B5EF4-FFF2-40B4-BE49-F238E27FC236}">
              <a16:creationId xmlns:a16="http://schemas.microsoft.com/office/drawing/2014/main" id="{47A00CC3-E9F7-416F-9D23-1CFD4F9A0F0E}"/>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48" name="AutoShape 14" descr="Story">
          <a:hlinkClick xmlns:r="http://schemas.openxmlformats.org/officeDocument/2006/relationships" r:id="rId4"/>
          <a:extLst>
            <a:ext uri="{FF2B5EF4-FFF2-40B4-BE49-F238E27FC236}">
              <a16:creationId xmlns:a16="http://schemas.microsoft.com/office/drawing/2014/main" id="{D369A652-50CD-49C2-A3B7-F5305E15CA41}"/>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1290</xdr:row>
      <xdr:rowOff>0</xdr:rowOff>
    </xdr:from>
    <xdr:to>
      <xdr:col>0</xdr:col>
      <xdr:colOff>152400</xdr:colOff>
      <xdr:row>1290</xdr:row>
      <xdr:rowOff>152400</xdr:rowOff>
    </xdr:to>
    <xdr:sp macro="" textlink="">
      <xdr:nvSpPr>
        <xdr:cNvPr id="1649" name="AutoShape 15" descr="Story">
          <a:hlinkClick xmlns:r="http://schemas.openxmlformats.org/officeDocument/2006/relationships" r:id="rId4"/>
          <a:extLst>
            <a:ext uri="{FF2B5EF4-FFF2-40B4-BE49-F238E27FC236}">
              <a16:creationId xmlns:a16="http://schemas.microsoft.com/office/drawing/2014/main" id="{F59AB2F2-118E-4CC7-9398-112F4C078025}"/>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1286</xdr:row>
      <xdr:rowOff>0</xdr:rowOff>
    </xdr:from>
    <xdr:ext cx="152400" cy="152400"/>
    <xdr:sp macro="" textlink="">
      <xdr:nvSpPr>
        <xdr:cNvPr id="1650" name="AutoShape 1" descr="Story">
          <a:hlinkClick xmlns:r="http://schemas.openxmlformats.org/officeDocument/2006/relationships" r:id="rId7"/>
          <a:extLst>
            <a:ext uri="{FF2B5EF4-FFF2-40B4-BE49-F238E27FC236}">
              <a16:creationId xmlns:a16="http://schemas.microsoft.com/office/drawing/2014/main" id="{98782465-98E9-4151-B26F-3A3CABCD135B}"/>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1" name="AutoShape 2" descr="Story">
          <a:hlinkClick xmlns:r="http://schemas.openxmlformats.org/officeDocument/2006/relationships" r:id="rId8"/>
          <a:extLst>
            <a:ext uri="{FF2B5EF4-FFF2-40B4-BE49-F238E27FC236}">
              <a16:creationId xmlns:a16="http://schemas.microsoft.com/office/drawing/2014/main" id="{E03BA7AA-E556-45FC-A55B-548A6D441F2A}"/>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2" name="AutoShape 5" descr="Story">
          <a:hlinkClick xmlns:r="http://schemas.openxmlformats.org/officeDocument/2006/relationships" r:id="rId6"/>
          <a:extLst>
            <a:ext uri="{FF2B5EF4-FFF2-40B4-BE49-F238E27FC236}">
              <a16:creationId xmlns:a16="http://schemas.microsoft.com/office/drawing/2014/main" id="{8EFBB5D5-3D82-45B6-8EF4-47BA78CD4A4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3" name="AutoShape 1" descr="Sub-task">
          <a:hlinkClick xmlns:r="http://schemas.openxmlformats.org/officeDocument/2006/relationships" r:id="rId9"/>
          <a:extLst>
            <a:ext uri="{FF2B5EF4-FFF2-40B4-BE49-F238E27FC236}">
              <a16:creationId xmlns:a16="http://schemas.microsoft.com/office/drawing/2014/main" id="{FF935B7B-D97A-49FB-A313-BF740C58BAF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4" name="AutoShape 2" descr="Sub-task">
          <a:hlinkClick xmlns:r="http://schemas.openxmlformats.org/officeDocument/2006/relationships" r:id="rId10"/>
          <a:extLst>
            <a:ext uri="{FF2B5EF4-FFF2-40B4-BE49-F238E27FC236}">
              <a16:creationId xmlns:a16="http://schemas.microsoft.com/office/drawing/2014/main" id="{60EC39CE-3EAC-45DE-8CD9-876C0255BC51}"/>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5" name="AutoShape 3" descr="Story">
          <a:hlinkClick xmlns:r="http://schemas.openxmlformats.org/officeDocument/2006/relationships" r:id="rId11"/>
          <a:extLst>
            <a:ext uri="{FF2B5EF4-FFF2-40B4-BE49-F238E27FC236}">
              <a16:creationId xmlns:a16="http://schemas.microsoft.com/office/drawing/2014/main" id="{33AA60DF-47C3-4AF7-8CDC-196916666572}"/>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6" name="AutoShape 12" descr="Story">
          <a:hlinkClick xmlns:r="http://schemas.openxmlformats.org/officeDocument/2006/relationships" r:id="rId12"/>
          <a:extLst>
            <a:ext uri="{FF2B5EF4-FFF2-40B4-BE49-F238E27FC236}">
              <a16:creationId xmlns:a16="http://schemas.microsoft.com/office/drawing/2014/main" id="{096AA7CC-806E-4423-8D33-80317BB8A7DB}"/>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7" name="AutoShape 1" descr="Story">
          <a:hlinkClick xmlns:r="http://schemas.openxmlformats.org/officeDocument/2006/relationships" r:id="rId13"/>
          <a:extLst>
            <a:ext uri="{FF2B5EF4-FFF2-40B4-BE49-F238E27FC236}">
              <a16:creationId xmlns:a16="http://schemas.microsoft.com/office/drawing/2014/main" id="{B985212C-6D2F-4F17-8350-74F0A116FDB2}"/>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8" name="AutoShape 1" descr="Story">
          <a:hlinkClick xmlns:r="http://schemas.openxmlformats.org/officeDocument/2006/relationships" r:id="rId13"/>
          <a:extLst>
            <a:ext uri="{FF2B5EF4-FFF2-40B4-BE49-F238E27FC236}">
              <a16:creationId xmlns:a16="http://schemas.microsoft.com/office/drawing/2014/main" id="{FAA8A07E-E0C4-4DB6-B41E-276860D837BE}"/>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59" name="AutoShape 3" descr="Story">
          <a:hlinkClick xmlns:r="http://schemas.openxmlformats.org/officeDocument/2006/relationships" r:id="rId4"/>
          <a:extLst>
            <a:ext uri="{FF2B5EF4-FFF2-40B4-BE49-F238E27FC236}">
              <a16:creationId xmlns:a16="http://schemas.microsoft.com/office/drawing/2014/main" id="{7FDAA76F-C120-48C9-983A-7E4B3FC435D6}"/>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60" name="AutoShape 4" descr="Story">
          <a:hlinkClick xmlns:r="http://schemas.openxmlformats.org/officeDocument/2006/relationships" r:id="rId5"/>
          <a:extLst>
            <a:ext uri="{FF2B5EF4-FFF2-40B4-BE49-F238E27FC236}">
              <a16:creationId xmlns:a16="http://schemas.microsoft.com/office/drawing/2014/main" id="{F025AEAD-195A-4562-BDF2-9B491A9AEC93}"/>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61" name="AutoShape 1" descr="Story">
          <a:hlinkClick xmlns:r="http://schemas.openxmlformats.org/officeDocument/2006/relationships" r:id="rId7"/>
          <a:extLst>
            <a:ext uri="{FF2B5EF4-FFF2-40B4-BE49-F238E27FC236}">
              <a16:creationId xmlns:a16="http://schemas.microsoft.com/office/drawing/2014/main" id="{31306410-BD57-4CAD-BE9D-3D001B170FE2}"/>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62" name="AutoShape 2" descr="Story">
          <a:hlinkClick xmlns:r="http://schemas.openxmlformats.org/officeDocument/2006/relationships" r:id="rId8"/>
          <a:extLst>
            <a:ext uri="{FF2B5EF4-FFF2-40B4-BE49-F238E27FC236}">
              <a16:creationId xmlns:a16="http://schemas.microsoft.com/office/drawing/2014/main" id="{A2F01D12-6358-4176-9548-E6D49C59135D}"/>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63" name="AutoShape 3" descr="Story">
          <a:hlinkClick xmlns:r="http://schemas.openxmlformats.org/officeDocument/2006/relationships" r:id="rId4"/>
          <a:extLst>
            <a:ext uri="{FF2B5EF4-FFF2-40B4-BE49-F238E27FC236}">
              <a16:creationId xmlns:a16="http://schemas.microsoft.com/office/drawing/2014/main" id="{98A25F83-DA19-40AA-9C1D-80B5824E5047}"/>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64" name="AutoShape 4" descr="Story">
          <a:hlinkClick xmlns:r="http://schemas.openxmlformats.org/officeDocument/2006/relationships" r:id="rId5"/>
          <a:extLst>
            <a:ext uri="{FF2B5EF4-FFF2-40B4-BE49-F238E27FC236}">
              <a16:creationId xmlns:a16="http://schemas.microsoft.com/office/drawing/2014/main" id="{2B919A30-A670-4993-9C06-146540A9947C}"/>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65" name="AutoShape 5" descr="Story">
          <a:hlinkClick xmlns:r="http://schemas.openxmlformats.org/officeDocument/2006/relationships" r:id="rId6"/>
          <a:extLst>
            <a:ext uri="{FF2B5EF4-FFF2-40B4-BE49-F238E27FC236}">
              <a16:creationId xmlns:a16="http://schemas.microsoft.com/office/drawing/2014/main" id="{ABCF36B9-21D5-4C2D-8278-684760A8447C}"/>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66" name="AutoShape 1" descr="Sub-task">
          <a:hlinkClick xmlns:r="http://schemas.openxmlformats.org/officeDocument/2006/relationships" r:id="rId9"/>
          <a:extLst>
            <a:ext uri="{FF2B5EF4-FFF2-40B4-BE49-F238E27FC236}">
              <a16:creationId xmlns:a16="http://schemas.microsoft.com/office/drawing/2014/main" id="{D4F8820D-1F9F-41BC-8AF7-A66ACEB2349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67" name="AutoShape 2" descr="Sub-task">
          <a:hlinkClick xmlns:r="http://schemas.openxmlformats.org/officeDocument/2006/relationships" r:id="rId10"/>
          <a:extLst>
            <a:ext uri="{FF2B5EF4-FFF2-40B4-BE49-F238E27FC236}">
              <a16:creationId xmlns:a16="http://schemas.microsoft.com/office/drawing/2014/main" id="{19888A3A-F247-4DBA-B390-F7164037B59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68" name="AutoShape 7" descr="Story">
          <a:hlinkClick xmlns:r="http://schemas.openxmlformats.org/officeDocument/2006/relationships" r:id="rId3"/>
          <a:extLst>
            <a:ext uri="{FF2B5EF4-FFF2-40B4-BE49-F238E27FC236}">
              <a16:creationId xmlns:a16="http://schemas.microsoft.com/office/drawing/2014/main" id="{12ACF614-B74E-4376-8A88-8F09CFD2A3E2}"/>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69" name="AutoShape 3" descr="Story">
          <a:hlinkClick xmlns:r="http://schemas.openxmlformats.org/officeDocument/2006/relationships" r:id="rId11"/>
          <a:extLst>
            <a:ext uri="{FF2B5EF4-FFF2-40B4-BE49-F238E27FC236}">
              <a16:creationId xmlns:a16="http://schemas.microsoft.com/office/drawing/2014/main" id="{BCF7D991-9DF8-4328-B735-1F1F23127FA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70" name="AutoShape 12" descr="Story">
          <a:hlinkClick xmlns:r="http://schemas.openxmlformats.org/officeDocument/2006/relationships" r:id="rId12"/>
          <a:extLst>
            <a:ext uri="{FF2B5EF4-FFF2-40B4-BE49-F238E27FC236}">
              <a16:creationId xmlns:a16="http://schemas.microsoft.com/office/drawing/2014/main" id="{717C579E-A527-4E5C-B961-332F65146719}"/>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71" name="AutoShape 1" descr="Story">
          <a:hlinkClick xmlns:r="http://schemas.openxmlformats.org/officeDocument/2006/relationships" r:id="rId13"/>
          <a:extLst>
            <a:ext uri="{FF2B5EF4-FFF2-40B4-BE49-F238E27FC236}">
              <a16:creationId xmlns:a16="http://schemas.microsoft.com/office/drawing/2014/main" id="{1B3B0F2A-E1B2-43A4-AE84-D73582FF04E8}"/>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72" name="AutoShape 1" descr="Story">
          <a:hlinkClick xmlns:r="http://schemas.openxmlformats.org/officeDocument/2006/relationships" r:id="rId13"/>
          <a:extLst>
            <a:ext uri="{FF2B5EF4-FFF2-40B4-BE49-F238E27FC236}">
              <a16:creationId xmlns:a16="http://schemas.microsoft.com/office/drawing/2014/main" id="{0C3F9BCB-3088-447C-9552-5328B7AAC89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73" name="AutoShape 3" descr="Story">
          <a:hlinkClick xmlns:r="http://schemas.openxmlformats.org/officeDocument/2006/relationships" r:id="rId4"/>
          <a:extLst>
            <a:ext uri="{FF2B5EF4-FFF2-40B4-BE49-F238E27FC236}">
              <a16:creationId xmlns:a16="http://schemas.microsoft.com/office/drawing/2014/main" id="{767D78C6-8D8B-4778-B611-0BDB26022A2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74" name="AutoShape 4" descr="Story">
          <a:hlinkClick xmlns:r="http://schemas.openxmlformats.org/officeDocument/2006/relationships" r:id="rId5"/>
          <a:extLst>
            <a:ext uri="{FF2B5EF4-FFF2-40B4-BE49-F238E27FC236}">
              <a16:creationId xmlns:a16="http://schemas.microsoft.com/office/drawing/2014/main" id="{703AB253-A747-47CE-B94E-68D0F9C35FF2}"/>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1289</xdr:row>
      <xdr:rowOff>0</xdr:rowOff>
    </xdr:from>
    <xdr:ext cx="152400" cy="152400"/>
    <xdr:sp macro="" textlink="">
      <xdr:nvSpPr>
        <xdr:cNvPr id="1675" name="AutoShape 7" descr="Story">
          <a:hlinkClick xmlns:r="http://schemas.openxmlformats.org/officeDocument/2006/relationships" r:id="rId3"/>
          <a:extLst>
            <a:ext uri="{FF2B5EF4-FFF2-40B4-BE49-F238E27FC236}">
              <a16:creationId xmlns:a16="http://schemas.microsoft.com/office/drawing/2014/main" id="{1133F5A8-B5F2-414F-9A2A-458A047ECFBF}"/>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76" name="AutoShape 8" descr="Story">
          <a:hlinkClick xmlns:r="http://schemas.openxmlformats.org/officeDocument/2006/relationships" r:id="rId4"/>
          <a:extLst>
            <a:ext uri="{FF2B5EF4-FFF2-40B4-BE49-F238E27FC236}">
              <a16:creationId xmlns:a16="http://schemas.microsoft.com/office/drawing/2014/main" id="{BDDCBCDA-B00C-4A0C-BAB9-0E9857F39DDF}"/>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1286</xdr:row>
      <xdr:rowOff>0</xdr:rowOff>
    </xdr:from>
    <xdr:ext cx="152400" cy="152400"/>
    <xdr:sp macro="" textlink="">
      <xdr:nvSpPr>
        <xdr:cNvPr id="1677" name="AutoShape 8" descr="Story">
          <a:hlinkClick xmlns:r="http://schemas.openxmlformats.org/officeDocument/2006/relationships" r:id="rId4"/>
          <a:extLst>
            <a:ext uri="{FF2B5EF4-FFF2-40B4-BE49-F238E27FC236}">
              <a16:creationId xmlns:a16="http://schemas.microsoft.com/office/drawing/2014/main" id="{BD825CCC-C5BC-4CFB-93D9-47019A66DC05}"/>
            </a:ext>
          </a:extLst>
        </xdr:cNvPr>
        <xdr:cNvSpPr>
          <a:spLocks noChangeAspect="1" noChangeArrowheads="1"/>
        </xdr:cNvSpPr>
      </xdr:nvSpPr>
      <xdr:spPr bwMode="auto">
        <a:xfrm>
          <a:off x="0" y="146304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1287</xdr:row>
      <xdr:rowOff>0</xdr:rowOff>
    </xdr:from>
    <xdr:to>
      <xdr:col>0</xdr:col>
      <xdr:colOff>152400</xdr:colOff>
      <xdr:row>1287</xdr:row>
      <xdr:rowOff>152400</xdr:rowOff>
    </xdr:to>
    <xdr:sp macro="" textlink="">
      <xdr:nvSpPr>
        <xdr:cNvPr id="1678" name="AutoShape 10" descr="Story">
          <a:hlinkClick xmlns:r="http://schemas.openxmlformats.org/officeDocument/2006/relationships" r:id="rId6"/>
          <a:extLst>
            <a:ext uri="{FF2B5EF4-FFF2-40B4-BE49-F238E27FC236}">
              <a16:creationId xmlns:a16="http://schemas.microsoft.com/office/drawing/2014/main" id="{7FE03AC6-A850-4922-9170-415214D578D5}"/>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79" name="AutoShape 14" descr="Story">
          <a:hlinkClick xmlns:r="http://schemas.openxmlformats.org/officeDocument/2006/relationships" r:id="rId4"/>
          <a:extLst>
            <a:ext uri="{FF2B5EF4-FFF2-40B4-BE49-F238E27FC236}">
              <a16:creationId xmlns:a16="http://schemas.microsoft.com/office/drawing/2014/main" id="{A0AFC228-2316-4D3B-868F-CD8E04D92388}"/>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80" name="AutoShape 10" descr="Story">
          <a:hlinkClick xmlns:r="http://schemas.openxmlformats.org/officeDocument/2006/relationships" r:id="rId6"/>
          <a:extLst>
            <a:ext uri="{FF2B5EF4-FFF2-40B4-BE49-F238E27FC236}">
              <a16:creationId xmlns:a16="http://schemas.microsoft.com/office/drawing/2014/main" id="{8DB20BA4-AF6F-4927-ABCE-3B192354EC53}"/>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152400</xdr:colOff>
      <xdr:row>1287</xdr:row>
      <xdr:rowOff>152400</xdr:rowOff>
    </xdr:to>
    <xdr:sp macro="" textlink="">
      <xdr:nvSpPr>
        <xdr:cNvPr id="1681" name="AutoShape 14" descr="Story">
          <a:hlinkClick xmlns:r="http://schemas.openxmlformats.org/officeDocument/2006/relationships" r:id="rId4"/>
          <a:extLst>
            <a:ext uri="{FF2B5EF4-FFF2-40B4-BE49-F238E27FC236}">
              <a16:creationId xmlns:a16="http://schemas.microsoft.com/office/drawing/2014/main" id="{2FE225A1-739E-4B96-8621-D120C16A2156}"/>
            </a:ext>
          </a:extLst>
        </xdr:cNvPr>
        <xdr:cNvSpPr>
          <a:spLocks noChangeAspect="1" noChangeArrowheads="1"/>
        </xdr:cNvSpPr>
      </xdr:nvSpPr>
      <xdr:spPr bwMode="auto">
        <a:xfrm>
          <a:off x="0" y="16459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1682" name="AutoShape 2" descr="Story">
          <a:hlinkClick xmlns:r="http://schemas.openxmlformats.org/officeDocument/2006/relationships" r:id="rId12"/>
          <a:extLst>
            <a:ext uri="{FF2B5EF4-FFF2-40B4-BE49-F238E27FC236}">
              <a16:creationId xmlns:a16="http://schemas.microsoft.com/office/drawing/2014/main" id="{5F8F468E-8F0F-4E61-819E-C291935A868E}"/>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683" name="AutoShape 3" descr="Story">
          <a:hlinkClick xmlns:r="http://schemas.openxmlformats.org/officeDocument/2006/relationships" r:id="rId11"/>
          <a:extLst>
            <a:ext uri="{FF2B5EF4-FFF2-40B4-BE49-F238E27FC236}">
              <a16:creationId xmlns:a16="http://schemas.microsoft.com/office/drawing/2014/main" id="{42954441-9231-4C2F-B6BE-AB53F2E7208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1684" name="AutoShape 4" descr="Bug">
          <a:hlinkClick xmlns:r="http://schemas.openxmlformats.org/officeDocument/2006/relationships" r:id="rId1"/>
          <a:extLst>
            <a:ext uri="{FF2B5EF4-FFF2-40B4-BE49-F238E27FC236}">
              <a16:creationId xmlns:a16="http://schemas.microsoft.com/office/drawing/2014/main" id="{BE2DF714-63D8-4134-BF2F-D14C3CC01024}"/>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1685" name="AutoShape 5" descr="Story">
          <a:hlinkClick xmlns:r="http://schemas.openxmlformats.org/officeDocument/2006/relationships" r:id="rId14"/>
          <a:extLst>
            <a:ext uri="{FF2B5EF4-FFF2-40B4-BE49-F238E27FC236}">
              <a16:creationId xmlns:a16="http://schemas.microsoft.com/office/drawing/2014/main" id="{CF855318-74A5-4A64-A8BD-92903197B9BF}"/>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1686" name="AutoShape 6" descr="Bug">
          <a:hlinkClick xmlns:r="http://schemas.openxmlformats.org/officeDocument/2006/relationships" r:id="rId2"/>
          <a:extLst>
            <a:ext uri="{FF2B5EF4-FFF2-40B4-BE49-F238E27FC236}">
              <a16:creationId xmlns:a16="http://schemas.microsoft.com/office/drawing/2014/main" id="{6BB0BED8-478B-4D51-A6B8-C3F696EDD56E}"/>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1687" name="AutoShape 7" descr="Story">
          <a:hlinkClick xmlns:r="http://schemas.openxmlformats.org/officeDocument/2006/relationships" r:id="rId3"/>
          <a:extLst>
            <a:ext uri="{FF2B5EF4-FFF2-40B4-BE49-F238E27FC236}">
              <a16:creationId xmlns:a16="http://schemas.microsoft.com/office/drawing/2014/main" id="{3E76926B-268D-45D9-9E08-238FF733881F}"/>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1688" name="AutoShape 8" descr="Story">
          <a:hlinkClick xmlns:r="http://schemas.openxmlformats.org/officeDocument/2006/relationships" r:id="rId4"/>
          <a:extLst>
            <a:ext uri="{FF2B5EF4-FFF2-40B4-BE49-F238E27FC236}">
              <a16:creationId xmlns:a16="http://schemas.microsoft.com/office/drawing/2014/main" id="{A9316AEF-B9E1-4AB3-B39B-641C2B5355B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1689" name="AutoShape 9" descr="Story">
          <a:hlinkClick xmlns:r="http://schemas.openxmlformats.org/officeDocument/2006/relationships" r:id="rId5"/>
          <a:extLst>
            <a:ext uri="{FF2B5EF4-FFF2-40B4-BE49-F238E27FC236}">
              <a16:creationId xmlns:a16="http://schemas.microsoft.com/office/drawing/2014/main" id="{7A8C141C-41CF-459A-A665-1D670564142E}"/>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1690" name="AutoShape 10" descr="Story">
          <a:hlinkClick xmlns:r="http://schemas.openxmlformats.org/officeDocument/2006/relationships" r:id="rId6"/>
          <a:extLst>
            <a:ext uri="{FF2B5EF4-FFF2-40B4-BE49-F238E27FC236}">
              <a16:creationId xmlns:a16="http://schemas.microsoft.com/office/drawing/2014/main" id="{72D5B118-1CE9-485B-951D-6566A71A1D93}"/>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1691" name="AutoShape 11" descr="Story">
          <a:hlinkClick xmlns:r="http://schemas.openxmlformats.org/officeDocument/2006/relationships" r:id="rId15"/>
          <a:extLst>
            <a:ext uri="{FF2B5EF4-FFF2-40B4-BE49-F238E27FC236}">
              <a16:creationId xmlns:a16="http://schemas.microsoft.com/office/drawing/2014/main" id="{3AF11199-A465-458F-9DA0-F9265A84A199}"/>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152400</xdr:colOff>
      <xdr:row>1301</xdr:row>
      <xdr:rowOff>152400</xdr:rowOff>
    </xdr:to>
    <xdr:sp macro="" textlink="">
      <xdr:nvSpPr>
        <xdr:cNvPr id="1692" name="AutoShape 12" descr="Story">
          <a:hlinkClick xmlns:r="http://schemas.openxmlformats.org/officeDocument/2006/relationships" r:id="rId12"/>
          <a:extLst>
            <a:ext uri="{FF2B5EF4-FFF2-40B4-BE49-F238E27FC236}">
              <a16:creationId xmlns:a16="http://schemas.microsoft.com/office/drawing/2014/main" id="{2EF06972-9856-4918-868B-7D56CC6DB932}"/>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1298</xdr:row>
      <xdr:rowOff>0</xdr:rowOff>
    </xdr:from>
    <xdr:to>
      <xdr:col>0</xdr:col>
      <xdr:colOff>152400</xdr:colOff>
      <xdr:row>1298</xdr:row>
      <xdr:rowOff>152400</xdr:rowOff>
    </xdr:to>
    <xdr:sp macro="" textlink="">
      <xdr:nvSpPr>
        <xdr:cNvPr id="1693" name="AutoShape 13" descr="Story">
          <a:hlinkClick xmlns:r="http://schemas.openxmlformats.org/officeDocument/2006/relationships" r:id="rId4"/>
          <a:extLst>
            <a:ext uri="{FF2B5EF4-FFF2-40B4-BE49-F238E27FC236}">
              <a16:creationId xmlns:a16="http://schemas.microsoft.com/office/drawing/2014/main" id="{D0223300-0CC7-4F6D-9DEB-A1D79AC9B480}"/>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1694" name="AutoShape 14" descr="Story">
          <a:hlinkClick xmlns:r="http://schemas.openxmlformats.org/officeDocument/2006/relationships" r:id="rId4"/>
          <a:extLst>
            <a:ext uri="{FF2B5EF4-FFF2-40B4-BE49-F238E27FC236}">
              <a16:creationId xmlns:a16="http://schemas.microsoft.com/office/drawing/2014/main" id="{1E50FE54-6A19-44AD-806C-4930F0071168}"/>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1302</xdr:row>
      <xdr:rowOff>0</xdr:rowOff>
    </xdr:from>
    <xdr:to>
      <xdr:col>0</xdr:col>
      <xdr:colOff>152400</xdr:colOff>
      <xdr:row>1302</xdr:row>
      <xdr:rowOff>152400</xdr:rowOff>
    </xdr:to>
    <xdr:sp macro="" textlink="">
      <xdr:nvSpPr>
        <xdr:cNvPr id="1695" name="AutoShape 15" descr="Story">
          <a:hlinkClick xmlns:r="http://schemas.openxmlformats.org/officeDocument/2006/relationships" r:id="rId4"/>
          <a:extLst>
            <a:ext uri="{FF2B5EF4-FFF2-40B4-BE49-F238E27FC236}">
              <a16:creationId xmlns:a16="http://schemas.microsoft.com/office/drawing/2014/main" id="{0B9D16B3-8CE0-4ED4-A086-9F6BA2759615}"/>
            </a:ext>
          </a:extLst>
        </xdr:cNvPr>
        <xdr:cNvSpPr>
          <a:spLocks noChangeAspect="1" noChangeArrowheads="1"/>
        </xdr:cNvSpPr>
      </xdr:nvSpPr>
      <xdr:spPr bwMode="auto">
        <a:xfrm>
          <a:off x="0" y="21945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1298</xdr:row>
      <xdr:rowOff>0</xdr:rowOff>
    </xdr:from>
    <xdr:ext cx="152400" cy="152400"/>
    <xdr:sp macro="" textlink="">
      <xdr:nvSpPr>
        <xdr:cNvPr id="1696" name="AutoShape 1" descr="Story">
          <a:hlinkClick xmlns:r="http://schemas.openxmlformats.org/officeDocument/2006/relationships" r:id="rId7"/>
          <a:extLst>
            <a:ext uri="{FF2B5EF4-FFF2-40B4-BE49-F238E27FC236}">
              <a16:creationId xmlns:a16="http://schemas.microsoft.com/office/drawing/2014/main" id="{2B31BB20-2C8F-483C-BB03-3AFF62F164A1}"/>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697" name="AutoShape 2" descr="Story">
          <a:hlinkClick xmlns:r="http://schemas.openxmlformats.org/officeDocument/2006/relationships" r:id="rId8"/>
          <a:extLst>
            <a:ext uri="{FF2B5EF4-FFF2-40B4-BE49-F238E27FC236}">
              <a16:creationId xmlns:a16="http://schemas.microsoft.com/office/drawing/2014/main" id="{30DAA822-F79E-4ABF-B469-FD7F86132708}"/>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698" name="AutoShape 5" descr="Story">
          <a:hlinkClick xmlns:r="http://schemas.openxmlformats.org/officeDocument/2006/relationships" r:id="rId6"/>
          <a:extLst>
            <a:ext uri="{FF2B5EF4-FFF2-40B4-BE49-F238E27FC236}">
              <a16:creationId xmlns:a16="http://schemas.microsoft.com/office/drawing/2014/main" id="{BE2E29DA-1DB6-436F-9C9C-61362A6AC5A2}"/>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699" name="AutoShape 1" descr="Sub-task">
          <a:hlinkClick xmlns:r="http://schemas.openxmlformats.org/officeDocument/2006/relationships" r:id="rId9"/>
          <a:extLst>
            <a:ext uri="{FF2B5EF4-FFF2-40B4-BE49-F238E27FC236}">
              <a16:creationId xmlns:a16="http://schemas.microsoft.com/office/drawing/2014/main" id="{683F738F-7C6F-4285-BC05-5D3ED8ABCC34}"/>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0" name="AutoShape 2" descr="Sub-task">
          <a:hlinkClick xmlns:r="http://schemas.openxmlformats.org/officeDocument/2006/relationships" r:id="rId10"/>
          <a:extLst>
            <a:ext uri="{FF2B5EF4-FFF2-40B4-BE49-F238E27FC236}">
              <a16:creationId xmlns:a16="http://schemas.microsoft.com/office/drawing/2014/main" id="{CCE58BC8-5DA3-440D-ADC3-3055F36D1FCD}"/>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1" name="AutoShape 3" descr="Story">
          <a:hlinkClick xmlns:r="http://schemas.openxmlformats.org/officeDocument/2006/relationships" r:id="rId11"/>
          <a:extLst>
            <a:ext uri="{FF2B5EF4-FFF2-40B4-BE49-F238E27FC236}">
              <a16:creationId xmlns:a16="http://schemas.microsoft.com/office/drawing/2014/main" id="{9CBBC256-4998-4118-8AD7-79C8D76CC5D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2" name="AutoShape 12" descr="Story">
          <a:hlinkClick xmlns:r="http://schemas.openxmlformats.org/officeDocument/2006/relationships" r:id="rId12"/>
          <a:extLst>
            <a:ext uri="{FF2B5EF4-FFF2-40B4-BE49-F238E27FC236}">
              <a16:creationId xmlns:a16="http://schemas.microsoft.com/office/drawing/2014/main" id="{71A61ABE-D8E4-402E-A886-B11ABDD14536}"/>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3" name="AutoShape 1" descr="Story">
          <a:hlinkClick xmlns:r="http://schemas.openxmlformats.org/officeDocument/2006/relationships" r:id="rId13"/>
          <a:extLst>
            <a:ext uri="{FF2B5EF4-FFF2-40B4-BE49-F238E27FC236}">
              <a16:creationId xmlns:a16="http://schemas.microsoft.com/office/drawing/2014/main" id="{B8F854C7-168E-44D0-8A17-122709B9849B}"/>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4" name="AutoShape 1" descr="Story">
          <a:hlinkClick xmlns:r="http://schemas.openxmlformats.org/officeDocument/2006/relationships" r:id="rId13"/>
          <a:extLst>
            <a:ext uri="{FF2B5EF4-FFF2-40B4-BE49-F238E27FC236}">
              <a16:creationId xmlns:a16="http://schemas.microsoft.com/office/drawing/2014/main" id="{D56CE77B-2BC6-48A7-B9B3-A17A683C48DE}"/>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5" name="AutoShape 3" descr="Story">
          <a:hlinkClick xmlns:r="http://schemas.openxmlformats.org/officeDocument/2006/relationships" r:id="rId4"/>
          <a:extLst>
            <a:ext uri="{FF2B5EF4-FFF2-40B4-BE49-F238E27FC236}">
              <a16:creationId xmlns:a16="http://schemas.microsoft.com/office/drawing/2014/main" id="{C1D439F1-29BE-4481-926B-5726CC5A8ADF}"/>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6" name="AutoShape 4" descr="Story">
          <a:hlinkClick xmlns:r="http://schemas.openxmlformats.org/officeDocument/2006/relationships" r:id="rId5"/>
          <a:extLst>
            <a:ext uri="{FF2B5EF4-FFF2-40B4-BE49-F238E27FC236}">
              <a16:creationId xmlns:a16="http://schemas.microsoft.com/office/drawing/2014/main" id="{A70F29F0-32FA-4E4E-9FEC-10CE00BB4E4E}"/>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07" name="AutoShape 1" descr="Story">
          <a:hlinkClick xmlns:r="http://schemas.openxmlformats.org/officeDocument/2006/relationships" r:id="rId7"/>
          <a:extLst>
            <a:ext uri="{FF2B5EF4-FFF2-40B4-BE49-F238E27FC236}">
              <a16:creationId xmlns:a16="http://schemas.microsoft.com/office/drawing/2014/main" id="{423B510A-A56B-46C4-977E-03DBD3CC9CB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08" name="AutoShape 2" descr="Story">
          <a:hlinkClick xmlns:r="http://schemas.openxmlformats.org/officeDocument/2006/relationships" r:id="rId8"/>
          <a:extLst>
            <a:ext uri="{FF2B5EF4-FFF2-40B4-BE49-F238E27FC236}">
              <a16:creationId xmlns:a16="http://schemas.microsoft.com/office/drawing/2014/main" id="{B8FEC304-AAD4-456E-9F0A-46CA2EB4D071}"/>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09" name="AutoShape 3" descr="Story">
          <a:hlinkClick xmlns:r="http://schemas.openxmlformats.org/officeDocument/2006/relationships" r:id="rId4"/>
          <a:extLst>
            <a:ext uri="{FF2B5EF4-FFF2-40B4-BE49-F238E27FC236}">
              <a16:creationId xmlns:a16="http://schemas.microsoft.com/office/drawing/2014/main" id="{13644CDE-B284-4A1A-94EE-8768C6F4D19A}"/>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10" name="AutoShape 4" descr="Story">
          <a:hlinkClick xmlns:r="http://schemas.openxmlformats.org/officeDocument/2006/relationships" r:id="rId5"/>
          <a:extLst>
            <a:ext uri="{FF2B5EF4-FFF2-40B4-BE49-F238E27FC236}">
              <a16:creationId xmlns:a16="http://schemas.microsoft.com/office/drawing/2014/main" id="{63D82803-FCAE-42ED-A891-DBF937A9A63A}"/>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1" name="AutoShape 5" descr="Story">
          <a:hlinkClick xmlns:r="http://schemas.openxmlformats.org/officeDocument/2006/relationships" r:id="rId6"/>
          <a:extLst>
            <a:ext uri="{FF2B5EF4-FFF2-40B4-BE49-F238E27FC236}">
              <a16:creationId xmlns:a16="http://schemas.microsoft.com/office/drawing/2014/main" id="{1DD60E48-8AFD-46EA-AC85-FBA9E280CBC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2" name="AutoShape 1" descr="Sub-task">
          <a:hlinkClick xmlns:r="http://schemas.openxmlformats.org/officeDocument/2006/relationships" r:id="rId9"/>
          <a:extLst>
            <a:ext uri="{FF2B5EF4-FFF2-40B4-BE49-F238E27FC236}">
              <a16:creationId xmlns:a16="http://schemas.microsoft.com/office/drawing/2014/main" id="{9FF85B84-2987-40F2-B2A9-B231E4E3DDE0}"/>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3" name="AutoShape 2" descr="Sub-task">
          <a:hlinkClick xmlns:r="http://schemas.openxmlformats.org/officeDocument/2006/relationships" r:id="rId10"/>
          <a:extLst>
            <a:ext uri="{FF2B5EF4-FFF2-40B4-BE49-F238E27FC236}">
              <a16:creationId xmlns:a16="http://schemas.microsoft.com/office/drawing/2014/main" id="{5239F4F3-7B0B-4E85-B181-BBA79BF6DF8A}"/>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14" name="AutoShape 7" descr="Story">
          <a:hlinkClick xmlns:r="http://schemas.openxmlformats.org/officeDocument/2006/relationships" r:id="rId3"/>
          <a:extLst>
            <a:ext uri="{FF2B5EF4-FFF2-40B4-BE49-F238E27FC236}">
              <a16:creationId xmlns:a16="http://schemas.microsoft.com/office/drawing/2014/main" id="{4B940599-79C1-4B3E-999F-8D1DA012846B}"/>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5" name="AutoShape 3" descr="Story">
          <a:hlinkClick xmlns:r="http://schemas.openxmlformats.org/officeDocument/2006/relationships" r:id="rId11"/>
          <a:extLst>
            <a:ext uri="{FF2B5EF4-FFF2-40B4-BE49-F238E27FC236}">
              <a16:creationId xmlns:a16="http://schemas.microsoft.com/office/drawing/2014/main" id="{29B1AA81-88EB-4465-96A1-5BE8A7C4A33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6" name="AutoShape 12" descr="Story">
          <a:hlinkClick xmlns:r="http://schemas.openxmlformats.org/officeDocument/2006/relationships" r:id="rId12"/>
          <a:extLst>
            <a:ext uri="{FF2B5EF4-FFF2-40B4-BE49-F238E27FC236}">
              <a16:creationId xmlns:a16="http://schemas.microsoft.com/office/drawing/2014/main" id="{9341E0FB-7660-48C6-851E-5CE46A19261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7" name="AutoShape 1" descr="Story">
          <a:hlinkClick xmlns:r="http://schemas.openxmlformats.org/officeDocument/2006/relationships" r:id="rId13"/>
          <a:extLst>
            <a:ext uri="{FF2B5EF4-FFF2-40B4-BE49-F238E27FC236}">
              <a16:creationId xmlns:a16="http://schemas.microsoft.com/office/drawing/2014/main" id="{4986F3AD-1DF2-4902-9194-9DF7C665E83E}"/>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8" name="AutoShape 1" descr="Story">
          <a:hlinkClick xmlns:r="http://schemas.openxmlformats.org/officeDocument/2006/relationships" r:id="rId13"/>
          <a:extLst>
            <a:ext uri="{FF2B5EF4-FFF2-40B4-BE49-F238E27FC236}">
              <a16:creationId xmlns:a16="http://schemas.microsoft.com/office/drawing/2014/main" id="{ACBF6AA0-0F93-4D3A-9841-D1649C0828FB}"/>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19" name="AutoShape 3" descr="Story">
          <a:hlinkClick xmlns:r="http://schemas.openxmlformats.org/officeDocument/2006/relationships" r:id="rId4"/>
          <a:extLst>
            <a:ext uri="{FF2B5EF4-FFF2-40B4-BE49-F238E27FC236}">
              <a16:creationId xmlns:a16="http://schemas.microsoft.com/office/drawing/2014/main" id="{3D5F27BB-A181-4A80-A54C-9288E90E3EC3}"/>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20" name="AutoShape 4" descr="Story">
          <a:hlinkClick xmlns:r="http://schemas.openxmlformats.org/officeDocument/2006/relationships" r:id="rId5"/>
          <a:extLst>
            <a:ext uri="{FF2B5EF4-FFF2-40B4-BE49-F238E27FC236}">
              <a16:creationId xmlns:a16="http://schemas.microsoft.com/office/drawing/2014/main" id="{553D9D17-5B16-4506-BBF6-AA3E1D325CDC}"/>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1301</xdr:row>
      <xdr:rowOff>0</xdr:rowOff>
    </xdr:from>
    <xdr:ext cx="152400" cy="152400"/>
    <xdr:sp macro="" textlink="">
      <xdr:nvSpPr>
        <xdr:cNvPr id="1721" name="AutoShape 7" descr="Story">
          <a:hlinkClick xmlns:r="http://schemas.openxmlformats.org/officeDocument/2006/relationships" r:id="rId3"/>
          <a:extLst>
            <a:ext uri="{FF2B5EF4-FFF2-40B4-BE49-F238E27FC236}">
              <a16:creationId xmlns:a16="http://schemas.microsoft.com/office/drawing/2014/main" id="{B1C6BABF-9B01-49EA-B086-1DEDCC738926}"/>
            </a:ext>
          </a:extLst>
        </xdr:cNvPr>
        <xdr:cNvSpPr>
          <a:spLocks noChangeAspect="1" noChangeArrowheads="1"/>
        </xdr:cNvSpPr>
      </xdr:nvSpPr>
      <xdr:spPr bwMode="auto">
        <a:xfrm>
          <a:off x="0" y="20116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22" name="AutoShape 8" descr="Story">
          <a:hlinkClick xmlns:r="http://schemas.openxmlformats.org/officeDocument/2006/relationships" r:id="rId4"/>
          <a:extLst>
            <a:ext uri="{FF2B5EF4-FFF2-40B4-BE49-F238E27FC236}">
              <a16:creationId xmlns:a16="http://schemas.microsoft.com/office/drawing/2014/main" id="{E6AF1E6F-55A4-4B17-98FF-569CCAE6FFAB}"/>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1298</xdr:row>
      <xdr:rowOff>0</xdr:rowOff>
    </xdr:from>
    <xdr:ext cx="152400" cy="152400"/>
    <xdr:sp macro="" textlink="">
      <xdr:nvSpPr>
        <xdr:cNvPr id="1723" name="AutoShape 8" descr="Story">
          <a:hlinkClick xmlns:r="http://schemas.openxmlformats.org/officeDocument/2006/relationships" r:id="rId4"/>
          <a:extLst>
            <a:ext uri="{FF2B5EF4-FFF2-40B4-BE49-F238E27FC236}">
              <a16:creationId xmlns:a16="http://schemas.microsoft.com/office/drawing/2014/main" id="{5621A0CF-2EF0-4401-9CEC-2B360AC24A2D}"/>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1299</xdr:row>
      <xdr:rowOff>0</xdr:rowOff>
    </xdr:from>
    <xdr:to>
      <xdr:col>0</xdr:col>
      <xdr:colOff>152400</xdr:colOff>
      <xdr:row>1299</xdr:row>
      <xdr:rowOff>152400</xdr:rowOff>
    </xdr:to>
    <xdr:sp macro="" textlink="">
      <xdr:nvSpPr>
        <xdr:cNvPr id="1724" name="AutoShape 10" descr="Story">
          <a:hlinkClick xmlns:r="http://schemas.openxmlformats.org/officeDocument/2006/relationships" r:id="rId6"/>
          <a:extLst>
            <a:ext uri="{FF2B5EF4-FFF2-40B4-BE49-F238E27FC236}">
              <a16:creationId xmlns:a16="http://schemas.microsoft.com/office/drawing/2014/main" id="{C4D65012-C64B-43DC-9F7D-00A43F4C8C7D}"/>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1725" name="AutoShape 14" descr="Story">
          <a:hlinkClick xmlns:r="http://schemas.openxmlformats.org/officeDocument/2006/relationships" r:id="rId4"/>
          <a:extLst>
            <a:ext uri="{FF2B5EF4-FFF2-40B4-BE49-F238E27FC236}">
              <a16:creationId xmlns:a16="http://schemas.microsoft.com/office/drawing/2014/main" id="{F9D2DC19-0779-4FF1-80C7-EDDB71F682EE}"/>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1726" name="AutoShape 10" descr="Story">
          <a:hlinkClick xmlns:r="http://schemas.openxmlformats.org/officeDocument/2006/relationships" r:id="rId6"/>
          <a:extLst>
            <a:ext uri="{FF2B5EF4-FFF2-40B4-BE49-F238E27FC236}">
              <a16:creationId xmlns:a16="http://schemas.microsoft.com/office/drawing/2014/main" id="{4E9D1A44-1AFF-4084-A9DB-96F5A7AB35E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1299</xdr:row>
      <xdr:rowOff>0</xdr:rowOff>
    </xdr:from>
    <xdr:to>
      <xdr:col>0</xdr:col>
      <xdr:colOff>152400</xdr:colOff>
      <xdr:row>1299</xdr:row>
      <xdr:rowOff>152400</xdr:rowOff>
    </xdr:to>
    <xdr:sp macro="" textlink="">
      <xdr:nvSpPr>
        <xdr:cNvPr id="1727" name="AutoShape 14" descr="Story">
          <a:hlinkClick xmlns:r="http://schemas.openxmlformats.org/officeDocument/2006/relationships" r:id="rId4"/>
          <a:extLst>
            <a:ext uri="{FF2B5EF4-FFF2-40B4-BE49-F238E27FC236}">
              <a16:creationId xmlns:a16="http://schemas.microsoft.com/office/drawing/2014/main" id="{BD6599E4-B80C-4737-A0A1-124B474DD82C}"/>
            </a:ext>
          </a:extLst>
        </xdr:cNvPr>
        <xdr:cNvSpPr>
          <a:spLocks noChangeAspect="1" noChangeArrowheads="1"/>
        </xdr:cNvSpPr>
      </xdr:nvSpPr>
      <xdr:spPr bwMode="auto">
        <a:xfrm>
          <a:off x="0" y="18288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0</xdr:rowOff>
    </xdr:from>
    <xdr:ext cx="152400" cy="152400"/>
    <xdr:sp macro="" textlink="">
      <xdr:nvSpPr>
        <xdr:cNvPr id="41" name="AutoShape 4" descr="Bug">
          <a:hlinkClick xmlns:r="http://schemas.openxmlformats.org/officeDocument/2006/relationships" r:id="rId1"/>
          <a:extLst>
            <a:ext uri="{FF2B5EF4-FFF2-40B4-BE49-F238E27FC236}">
              <a16:creationId xmlns:a16="http://schemas.microsoft.com/office/drawing/2014/main" id="{F87BC8B9-42CB-4D4F-B285-DFFC96C3B476}"/>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2" name="AutoShape 6" descr="Bug">
          <a:hlinkClick xmlns:r="http://schemas.openxmlformats.org/officeDocument/2006/relationships" r:id="rId2"/>
          <a:extLst>
            <a:ext uri="{FF2B5EF4-FFF2-40B4-BE49-F238E27FC236}">
              <a16:creationId xmlns:a16="http://schemas.microsoft.com/office/drawing/2014/main" id="{20C3257A-EC3F-434E-8C9C-4BB932700995}"/>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3" name="AutoShape 7" descr="Story">
          <a:hlinkClick xmlns:r="http://schemas.openxmlformats.org/officeDocument/2006/relationships" r:id="rId3"/>
          <a:extLst>
            <a:ext uri="{FF2B5EF4-FFF2-40B4-BE49-F238E27FC236}">
              <a16:creationId xmlns:a16="http://schemas.microsoft.com/office/drawing/2014/main" id="{65357B5E-E441-48FF-8F78-ED8334D92445}"/>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4" name="AutoShape 8" descr="Story">
          <a:hlinkClick xmlns:r="http://schemas.openxmlformats.org/officeDocument/2006/relationships" r:id="rId4"/>
          <a:extLst>
            <a:ext uri="{FF2B5EF4-FFF2-40B4-BE49-F238E27FC236}">
              <a16:creationId xmlns:a16="http://schemas.microsoft.com/office/drawing/2014/main" id="{F287A870-7AAE-4112-9644-57B9FA9AD434}"/>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5" name="AutoShape 9" descr="Story">
          <a:hlinkClick xmlns:r="http://schemas.openxmlformats.org/officeDocument/2006/relationships" r:id="rId5"/>
          <a:extLst>
            <a:ext uri="{FF2B5EF4-FFF2-40B4-BE49-F238E27FC236}">
              <a16:creationId xmlns:a16="http://schemas.microsoft.com/office/drawing/2014/main" id="{98A6FB43-A48B-427C-A67B-D257D6D19FF8}"/>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6" name="AutoShape 10" descr="Story">
          <a:hlinkClick xmlns:r="http://schemas.openxmlformats.org/officeDocument/2006/relationships" r:id="rId6"/>
          <a:extLst>
            <a:ext uri="{FF2B5EF4-FFF2-40B4-BE49-F238E27FC236}">
              <a16:creationId xmlns:a16="http://schemas.microsoft.com/office/drawing/2014/main" id="{A8508152-C4E8-4CA3-AAA9-6C3A587FCD4D}"/>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7" name="AutoShape 13" descr="Story">
          <a:hlinkClick xmlns:r="http://schemas.openxmlformats.org/officeDocument/2006/relationships" r:id="rId4"/>
          <a:extLst>
            <a:ext uri="{FF2B5EF4-FFF2-40B4-BE49-F238E27FC236}">
              <a16:creationId xmlns:a16="http://schemas.microsoft.com/office/drawing/2014/main" id="{27DA88A2-8109-4A44-9175-91BDF1E4CB41}"/>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8" name="AutoShape 14" descr="Story">
          <a:hlinkClick xmlns:r="http://schemas.openxmlformats.org/officeDocument/2006/relationships" r:id="rId4"/>
          <a:extLst>
            <a:ext uri="{FF2B5EF4-FFF2-40B4-BE49-F238E27FC236}">
              <a16:creationId xmlns:a16="http://schemas.microsoft.com/office/drawing/2014/main" id="{BD557FC2-7834-4EA1-A8B6-A19AE3A2750B}"/>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0</xdr:row>
      <xdr:rowOff>0</xdr:rowOff>
    </xdr:from>
    <xdr:to>
      <xdr:col>1</xdr:col>
      <xdr:colOff>152400</xdr:colOff>
      <xdr:row>0</xdr:row>
      <xdr:rowOff>152400</xdr:rowOff>
    </xdr:to>
    <xdr:sp macro="" textlink="">
      <xdr:nvSpPr>
        <xdr:cNvPr id="49" name="AutoShape 4" descr="Bug">
          <a:hlinkClick xmlns:r="http://schemas.openxmlformats.org/officeDocument/2006/relationships" r:id="rId1"/>
          <a:extLst>
            <a:ext uri="{FF2B5EF4-FFF2-40B4-BE49-F238E27FC236}">
              <a16:creationId xmlns:a16="http://schemas.microsoft.com/office/drawing/2014/main" id="{47090EAD-2C19-4812-8B14-DEA6F014BECD}"/>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50" name="AutoShape 6" descr="Bug">
          <a:hlinkClick xmlns:r="http://schemas.openxmlformats.org/officeDocument/2006/relationships" r:id="rId2"/>
          <a:extLst>
            <a:ext uri="{FF2B5EF4-FFF2-40B4-BE49-F238E27FC236}">
              <a16:creationId xmlns:a16="http://schemas.microsoft.com/office/drawing/2014/main" id="{D09653D0-F960-444C-8DC8-BEE73E0B716D}"/>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51" name="AutoShape 7" descr="Story">
          <a:hlinkClick xmlns:r="http://schemas.openxmlformats.org/officeDocument/2006/relationships" r:id="rId3"/>
          <a:extLst>
            <a:ext uri="{FF2B5EF4-FFF2-40B4-BE49-F238E27FC236}">
              <a16:creationId xmlns:a16="http://schemas.microsoft.com/office/drawing/2014/main" id="{6C99C77F-F7D5-4EB1-A087-4C08CE7468B3}"/>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52" name="AutoShape 8" descr="Story">
          <a:hlinkClick xmlns:r="http://schemas.openxmlformats.org/officeDocument/2006/relationships" r:id="rId4"/>
          <a:extLst>
            <a:ext uri="{FF2B5EF4-FFF2-40B4-BE49-F238E27FC236}">
              <a16:creationId xmlns:a16="http://schemas.microsoft.com/office/drawing/2014/main" id="{2CE9B3DE-EC9D-46B7-A354-738FACA27A64}"/>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53" name="AutoShape 9" descr="Story">
          <a:hlinkClick xmlns:r="http://schemas.openxmlformats.org/officeDocument/2006/relationships" r:id="rId5"/>
          <a:extLst>
            <a:ext uri="{FF2B5EF4-FFF2-40B4-BE49-F238E27FC236}">
              <a16:creationId xmlns:a16="http://schemas.microsoft.com/office/drawing/2014/main" id="{1FC9EBBF-E156-4286-AEB9-2FA7D0653D75}"/>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54" name="AutoShape 10" descr="Story">
          <a:hlinkClick xmlns:r="http://schemas.openxmlformats.org/officeDocument/2006/relationships" r:id="rId6"/>
          <a:extLst>
            <a:ext uri="{FF2B5EF4-FFF2-40B4-BE49-F238E27FC236}">
              <a16:creationId xmlns:a16="http://schemas.microsoft.com/office/drawing/2014/main" id="{2814E7BD-F6B9-40F9-A902-F43B34616A7C}"/>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55" name="AutoShape 13" descr="Story">
          <a:hlinkClick xmlns:r="http://schemas.openxmlformats.org/officeDocument/2006/relationships" r:id="rId4"/>
          <a:extLst>
            <a:ext uri="{FF2B5EF4-FFF2-40B4-BE49-F238E27FC236}">
              <a16:creationId xmlns:a16="http://schemas.microsoft.com/office/drawing/2014/main" id="{1AFF8840-B9A1-4746-BBD4-A3A5B48A4495}"/>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56" name="AutoShape 14" descr="Story">
          <a:hlinkClick xmlns:r="http://schemas.openxmlformats.org/officeDocument/2006/relationships" r:id="rId4"/>
          <a:extLst>
            <a:ext uri="{FF2B5EF4-FFF2-40B4-BE49-F238E27FC236}">
              <a16:creationId xmlns:a16="http://schemas.microsoft.com/office/drawing/2014/main" id="{60B53503-86EB-48EA-A6BD-8213C663D4CB}"/>
            </a:ext>
          </a:extLst>
        </xdr:cNvPr>
        <xdr:cNvSpPr>
          <a:spLocks noChangeAspect="1" noChangeArrowheads="1"/>
        </xdr:cNvSpPr>
      </xdr:nvSpPr>
      <xdr:spPr bwMode="auto">
        <a:xfrm>
          <a:off x="198882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xdr:row>
      <xdr:rowOff>0</xdr:rowOff>
    </xdr:from>
    <xdr:to>
      <xdr:col>0</xdr:col>
      <xdr:colOff>152400</xdr:colOff>
      <xdr:row>75</xdr:row>
      <xdr:rowOff>152400</xdr:rowOff>
    </xdr:to>
    <xdr:sp macro="" textlink="">
      <xdr:nvSpPr>
        <xdr:cNvPr id="61" name="AutoShape 1" descr="Story">
          <a:hlinkClick xmlns:r="http://schemas.openxmlformats.org/officeDocument/2006/relationships" r:id="rId7"/>
          <a:extLst>
            <a:ext uri="{FF2B5EF4-FFF2-40B4-BE49-F238E27FC236}">
              <a16:creationId xmlns:a16="http://schemas.microsoft.com/office/drawing/2014/main" id="{F1842BD6-D6EF-4C19-AB6C-DCE0CB76142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xdr:row>
      <xdr:rowOff>0</xdr:rowOff>
    </xdr:from>
    <xdr:to>
      <xdr:col>0</xdr:col>
      <xdr:colOff>152400</xdr:colOff>
      <xdr:row>73</xdr:row>
      <xdr:rowOff>152400</xdr:rowOff>
    </xdr:to>
    <xdr:sp macro="" textlink="">
      <xdr:nvSpPr>
        <xdr:cNvPr id="62" name="AutoShape 2" descr="Story">
          <a:hlinkClick xmlns:r="http://schemas.openxmlformats.org/officeDocument/2006/relationships" r:id="rId8"/>
          <a:extLst>
            <a:ext uri="{FF2B5EF4-FFF2-40B4-BE49-F238E27FC236}">
              <a16:creationId xmlns:a16="http://schemas.microsoft.com/office/drawing/2014/main" id="{72360CE3-3A60-481F-B790-BEC6859C566E}"/>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xdr:row>
      <xdr:rowOff>0</xdr:rowOff>
    </xdr:from>
    <xdr:to>
      <xdr:col>0</xdr:col>
      <xdr:colOff>152400</xdr:colOff>
      <xdr:row>72</xdr:row>
      <xdr:rowOff>152400</xdr:rowOff>
    </xdr:to>
    <xdr:sp macro="" textlink="">
      <xdr:nvSpPr>
        <xdr:cNvPr id="63" name="AutoShape 3" descr="Story">
          <a:hlinkClick xmlns:r="http://schemas.openxmlformats.org/officeDocument/2006/relationships" r:id="rId9"/>
          <a:extLst>
            <a:ext uri="{FF2B5EF4-FFF2-40B4-BE49-F238E27FC236}">
              <a16:creationId xmlns:a16="http://schemas.microsoft.com/office/drawing/2014/main" id="{EA62F680-A2B5-458D-942A-EDF096363D7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152400</xdr:colOff>
      <xdr:row>69</xdr:row>
      <xdr:rowOff>152400</xdr:rowOff>
    </xdr:to>
    <xdr:sp macro="" textlink="">
      <xdr:nvSpPr>
        <xdr:cNvPr id="64" name="AutoShape 4" descr="Bug">
          <a:hlinkClick xmlns:r="http://schemas.openxmlformats.org/officeDocument/2006/relationships" r:id="rId1"/>
          <a:extLst>
            <a:ext uri="{FF2B5EF4-FFF2-40B4-BE49-F238E27FC236}">
              <a16:creationId xmlns:a16="http://schemas.microsoft.com/office/drawing/2014/main" id="{1EF697A3-3C9A-4C12-B228-E9D77C8580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xdr:row>
      <xdr:rowOff>0</xdr:rowOff>
    </xdr:from>
    <xdr:to>
      <xdr:col>0</xdr:col>
      <xdr:colOff>152400</xdr:colOff>
      <xdr:row>73</xdr:row>
      <xdr:rowOff>152400</xdr:rowOff>
    </xdr:to>
    <xdr:sp macro="" textlink="">
      <xdr:nvSpPr>
        <xdr:cNvPr id="65" name="AutoShape 5" descr="Story">
          <a:hlinkClick xmlns:r="http://schemas.openxmlformats.org/officeDocument/2006/relationships" r:id="rId10"/>
          <a:extLst>
            <a:ext uri="{FF2B5EF4-FFF2-40B4-BE49-F238E27FC236}">
              <a16:creationId xmlns:a16="http://schemas.microsoft.com/office/drawing/2014/main" id="{4462E754-D93D-4459-9B5A-3F1B545D66D4}"/>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152400</xdr:colOff>
      <xdr:row>69</xdr:row>
      <xdr:rowOff>152400</xdr:rowOff>
    </xdr:to>
    <xdr:sp macro="" textlink="">
      <xdr:nvSpPr>
        <xdr:cNvPr id="66" name="AutoShape 6" descr="Bug">
          <a:hlinkClick xmlns:r="http://schemas.openxmlformats.org/officeDocument/2006/relationships" r:id="rId2"/>
          <a:extLst>
            <a:ext uri="{FF2B5EF4-FFF2-40B4-BE49-F238E27FC236}">
              <a16:creationId xmlns:a16="http://schemas.microsoft.com/office/drawing/2014/main" id="{830965F1-D5BF-4E4D-91E2-A89B83592BC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152400</xdr:colOff>
      <xdr:row>69</xdr:row>
      <xdr:rowOff>152400</xdr:rowOff>
    </xdr:to>
    <xdr:sp macro="" textlink="">
      <xdr:nvSpPr>
        <xdr:cNvPr id="67" name="AutoShape 7" descr="Story">
          <a:hlinkClick xmlns:r="http://schemas.openxmlformats.org/officeDocument/2006/relationships" r:id="rId3"/>
          <a:extLst>
            <a:ext uri="{FF2B5EF4-FFF2-40B4-BE49-F238E27FC236}">
              <a16:creationId xmlns:a16="http://schemas.microsoft.com/office/drawing/2014/main" id="{9C8130A0-5866-4D7B-8666-1F6A475B8A4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152400</xdr:colOff>
      <xdr:row>69</xdr:row>
      <xdr:rowOff>152400</xdr:rowOff>
    </xdr:to>
    <xdr:sp macro="" textlink="">
      <xdr:nvSpPr>
        <xdr:cNvPr id="68" name="AutoShape 8" descr="Story">
          <a:hlinkClick xmlns:r="http://schemas.openxmlformats.org/officeDocument/2006/relationships" r:id="rId4"/>
          <a:extLst>
            <a:ext uri="{FF2B5EF4-FFF2-40B4-BE49-F238E27FC236}">
              <a16:creationId xmlns:a16="http://schemas.microsoft.com/office/drawing/2014/main" id="{DB4CCA61-C9E1-4545-9E76-0921FF73383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152400</xdr:colOff>
      <xdr:row>69</xdr:row>
      <xdr:rowOff>152400</xdr:rowOff>
    </xdr:to>
    <xdr:sp macro="" textlink="">
      <xdr:nvSpPr>
        <xdr:cNvPr id="69" name="AutoShape 9" descr="Story">
          <a:hlinkClick xmlns:r="http://schemas.openxmlformats.org/officeDocument/2006/relationships" r:id="rId5"/>
          <a:extLst>
            <a:ext uri="{FF2B5EF4-FFF2-40B4-BE49-F238E27FC236}">
              <a16:creationId xmlns:a16="http://schemas.microsoft.com/office/drawing/2014/main" id="{16927F42-DADF-457D-B7BC-3CC55A0FD5D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70" name="AutoShape 10" descr="Story">
          <a:hlinkClick xmlns:r="http://schemas.openxmlformats.org/officeDocument/2006/relationships" r:id="rId6"/>
          <a:extLst>
            <a:ext uri="{FF2B5EF4-FFF2-40B4-BE49-F238E27FC236}">
              <a16:creationId xmlns:a16="http://schemas.microsoft.com/office/drawing/2014/main" id="{D17267D7-7755-48B9-9AC4-7C8ED5A11E7D}"/>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xdr:row>
      <xdr:rowOff>0</xdr:rowOff>
    </xdr:from>
    <xdr:to>
      <xdr:col>0</xdr:col>
      <xdr:colOff>152400</xdr:colOff>
      <xdr:row>73</xdr:row>
      <xdr:rowOff>152400</xdr:rowOff>
    </xdr:to>
    <xdr:sp macro="" textlink="">
      <xdr:nvSpPr>
        <xdr:cNvPr id="71" name="AutoShape 11" descr="Story">
          <a:hlinkClick xmlns:r="http://schemas.openxmlformats.org/officeDocument/2006/relationships" r:id="rId11"/>
          <a:extLst>
            <a:ext uri="{FF2B5EF4-FFF2-40B4-BE49-F238E27FC236}">
              <a16:creationId xmlns:a16="http://schemas.microsoft.com/office/drawing/2014/main" id="{B8AB6173-F116-4F7B-BA4D-EA0B10A27DC0}"/>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xdr:row>
      <xdr:rowOff>0</xdr:rowOff>
    </xdr:from>
    <xdr:to>
      <xdr:col>0</xdr:col>
      <xdr:colOff>152400</xdr:colOff>
      <xdr:row>72</xdr:row>
      <xdr:rowOff>152400</xdr:rowOff>
    </xdr:to>
    <xdr:sp macro="" textlink="">
      <xdr:nvSpPr>
        <xdr:cNvPr id="72" name="AutoShape 12" descr="Story">
          <a:hlinkClick xmlns:r="http://schemas.openxmlformats.org/officeDocument/2006/relationships" r:id="rId8"/>
          <a:extLst>
            <a:ext uri="{FF2B5EF4-FFF2-40B4-BE49-F238E27FC236}">
              <a16:creationId xmlns:a16="http://schemas.microsoft.com/office/drawing/2014/main" id="{BA672C9C-85F5-4C22-8A30-772232BC2AA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152400</xdr:colOff>
      <xdr:row>69</xdr:row>
      <xdr:rowOff>152400</xdr:rowOff>
    </xdr:to>
    <xdr:sp macro="" textlink="">
      <xdr:nvSpPr>
        <xdr:cNvPr id="73" name="AutoShape 13" descr="Story">
          <a:hlinkClick xmlns:r="http://schemas.openxmlformats.org/officeDocument/2006/relationships" r:id="rId4"/>
          <a:extLst>
            <a:ext uri="{FF2B5EF4-FFF2-40B4-BE49-F238E27FC236}">
              <a16:creationId xmlns:a16="http://schemas.microsoft.com/office/drawing/2014/main" id="{899D41E9-ED68-4478-81B1-2CBE78A678E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74" name="AutoShape 14" descr="Story">
          <a:hlinkClick xmlns:r="http://schemas.openxmlformats.org/officeDocument/2006/relationships" r:id="rId4"/>
          <a:extLst>
            <a:ext uri="{FF2B5EF4-FFF2-40B4-BE49-F238E27FC236}">
              <a16:creationId xmlns:a16="http://schemas.microsoft.com/office/drawing/2014/main" id="{61EBBF32-222D-4CE2-AC17-F5A295FC12F4}"/>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xdr:row>
      <xdr:rowOff>0</xdr:rowOff>
    </xdr:from>
    <xdr:to>
      <xdr:col>0</xdr:col>
      <xdr:colOff>152400</xdr:colOff>
      <xdr:row>73</xdr:row>
      <xdr:rowOff>152400</xdr:rowOff>
    </xdr:to>
    <xdr:sp macro="" textlink="">
      <xdr:nvSpPr>
        <xdr:cNvPr id="75" name="AutoShape 15" descr="Story">
          <a:hlinkClick xmlns:r="http://schemas.openxmlformats.org/officeDocument/2006/relationships" r:id="rId4"/>
          <a:extLst>
            <a:ext uri="{FF2B5EF4-FFF2-40B4-BE49-F238E27FC236}">
              <a16:creationId xmlns:a16="http://schemas.microsoft.com/office/drawing/2014/main" id="{DADC5C2A-561E-4864-AA68-161C33AA2EF1}"/>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69</xdr:row>
      <xdr:rowOff>0</xdr:rowOff>
    </xdr:from>
    <xdr:ext cx="152400" cy="152400"/>
    <xdr:sp macro="" textlink="">
      <xdr:nvSpPr>
        <xdr:cNvPr id="76" name="AutoShape 1" descr="Story">
          <a:hlinkClick xmlns:r="http://schemas.openxmlformats.org/officeDocument/2006/relationships" r:id="rId12"/>
          <a:extLst>
            <a:ext uri="{FF2B5EF4-FFF2-40B4-BE49-F238E27FC236}">
              <a16:creationId xmlns:a16="http://schemas.microsoft.com/office/drawing/2014/main" id="{C42DB449-6D5E-4458-A2DC-B227C8DD084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77" name="AutoShape 2" descr="Story">
          <a:hlinkClick xmlns:r="http://schemas.openxmlformats.org/officeDocument/2006/relationships" r:id="rId13"/>
          <a:extLst>
            <a:ext uri="{FF2B5EF4-FFF2-40B4-BE49-F238E27FC236}">
              <a16:creationId xmlns:a16="http://schemas.microsoft.com/office/drawing/2014/main" id="{C7131707-B7D0-44FD-B39E-B0F5F485727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78" name="AutoShape 5" descr="Story">
          <a:hlinkClick xmlns:r="http://schemas.openxmlformats.org/officeDocument/2006/relationships" r:id="rId6"/>
          <a:extLst>
            <a:ext uri="{FF2B5EF4-FFF2-40B4-BE49-F238E27FC236}">
              <a16:creationId xmlns:a16="http://schemas.microsoft.com/office/drawing/2014/main" id="{E7D5D739-E8B9-434B-B4D5-F712D83F16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79" name="AutoShape 1" descr="Sub-task">
          <a:hlinkClick xmlns:r="http://schemas.openxmlformats.org/officeDocument/2006/relationships" r:id="rId14"/>
          <a:extLst>
            <a:ext uri="{FF2B5EF4-FFF2-40B4-BE49-F238E27FC236}">
              <a16:creationId xmlns:a16="http://schemas.microsoft.com/office/drawing/2014/main" id="{6A324277-E246-44FC-B631-B5E9015717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80" name="AutoShape 2" descr="Sub-task">
          <a:hlinkClick xmlns:r="http://schemas.openxmlformats.org/officeDocument/2006/relationships" r:id="rId15"/>
          <a:extLst>
            <a:ext uri="{FF2B5EF4-FFF2-40B4-BE49-F238E27FC236}">
              <a16:creationId xmlns:a16="http://schemas.microsoft.com/office/drawing/2014/main" id="{FFFEBD92-D7BD-4E16-B6FF-3C60A567284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81" name="AutoShape 3" descr="Story">
          <a:hlinkClick xmlns:r="http://schemas.openxmlformats.org/officeDocument/2006/relationships" r:id="rId9"/>
          <a:extLst>
            <a:ext uri="{FF2B5EF4-FFF2-40B4-BE49-F238E27FC236}">
              <a16:creationId xmlns:a16="http://schemas.microsoft.com/office/drawing/2014/main" id="{B3996068-7E3D-43F4-AE03-352D06CE46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82" name="AutoShape 12" descr="Story">
          <a:hlinkClick xmlns:r="http://schemas.openxmlformats.org/officeDocument/2006/relationships" r:id="rId8"/>
          <a:extLst>
            <a:ext uri="{FF2B5EF4-FFF2-40B4-BE49-F238E27FC236}">
              <a16:creationId xmlns:a16="http://schemas.microsoft.com/office/drawing/2014/main" id="{33EA66A1-DDDD-4F6E-A558-50915DC65C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83" name="AutoShape 1" descr="Story">
          <a:hlinkClick xmlns:r="http://schemas.openxmlformats.org/officeDocument/2006/relationships" r:id="rId7"/>
          <a:extLst>
            <a:ext uri="{FF2B5EF4-FFF2-40B4-BE49-F238E27FC236}">
              <a16:creationId xmlns:a16="http://schemas.microsoft.com/office/drawing/2014/main" id="{DC109AF6-94C0-46D3-B97F-BF85787FD01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84" name="AutoShape 1" descr="Story">
          <a:hlinkClick xmlns:r="http://schemas.openxmlformats.org/officeDocument/2006/relationships" r:id="rId7"/>
          <a:extLst>
            <a:ext uri="{FF2B5EF4-FFF2-40B4-BE49-F238E27FC236}">
              <a16:creationId xmlns:a16="http://schemas.microsoft.com/office/drawing/2014/main" id="{2366D95F-47A8-4658-BBBC-EFBB7050E54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85" name="AutoShape 3" descr="Story">
          <a:hlinkClick xmlns:r="http://schemas.openxmlformats.org/officeDocument/2006/relationships" r:id="rId4"/>
          <a:extLst>
            <a:ext uri="{FF2B5EF4-FFF2-40B4-BE49-F238E27FC236}">
              <a16:creationId xmlns:a16="http://schemas.microsoft.com/office/drawing/2014/main" id="{BCCF5544-5ACA-460D-BFA0-740CEBC0687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86" name="AutoShape 4" descr="Story">
          <a:hlinkClick xmlns:r="http://schemas.openxmlformats.org/officeDocument/2006/relationships" r:id="rId5"/>
          <a:extLst>
            <a:ext uri="{FF2B5EF4-FFF2-40B4-BE49-F238E27FC236}">
              <a16:creationId xmlns:a16="http://schemas.microsoft.com/office/drawing/2014/main" id="{42482BF0-1E81-4641-AB63-E2AB59BC74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152400" cy="152400"/>
    <xdr:sp macro="" textlink="">
      <xdr:nvSpPr>
        <xdr:cNvPr id="87" name="AutoShape 1" descr="Story">
          <a:hlinkClick xmlns:r="http://schemas.openxmlformats.org/officeDocument/2006/relationships" r:id="rId12"/>
          <a:extLst>
            <a:ext uri="{FF2B5EF4-FFF2-40B4-BE49-F238E27FC236}">
              <a16:creationId xmlns:a16="http://schemas.microsoft.com/office/drawing/2014/main" id="{ADB0E696-3783-4C35-86C1-785B3FCBFBE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152400" cy="152400"/>
    <xdr:sp macro="" textlink="">
      <xdr:nvSpPr>
        <xdr:cNvPr id="88" name="AutoShape 2" descr="Story">
          <a:hlinkClick xmlns:r="http://schemas.openxmlformats.org/officeDocument/2006/relationships" r:id="rId13"/>
          <a:extLst>
            <a:ext uri="{FF2B5EF4-FFF2-40B4-BE49-F238E27FC236}">
              <a16:creationId xmlns:a16="http://schemas.microsoft.com/office/drawing/2014/main" id="{D5D8C73F-65A9-4EDC-AF1F-3DA84ECB613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89" name="AutoShape 3" descr="Story">
          <a:hlinkClick xmlns:r="http://schemas.openxmlformats.org/officeDocument/2006/relationships" r:id="rId4"/>
          <a:extLst>
            <a:ext uri="{FF2B5EF4-FFF2-40B4-BE49-F238E27FC236}">
              <a16:creationId xmlns:a16="http://schemas.microsoft.com/office/drawing/2014/main" id="{40718BE4-CC0A-4806-9BE6-316B28D627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90" name="AutoShape 4" descr="Story">
          <a:hlinkClick xmlns:r="http://schemas.openxmlformats.org/officeDocument/2006/relationships" r:id="rId5"/>
          <a:extLst>
            <a:ext uri="{FF2B5EF4-FFF2-40B4-BE49-F238E27FC236}">
              <a16:creationId xmlns:a16="http://schemas.microsoft.com/office/drawing/2014/main" id="{BC2167F1-7BFA-4393-8C7F-B0A56B314C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152400" cy="152400"/>
    <xdr:sp macro="" textlink="">
      <xdr:nvSpPr>
        <xdr:cNvPr id="91" name="AutoShape 5" descr="Story">
          <a:hlinkClick xmlns:r="http://schemas.openxmlformats.org/officeDocument/2006/relationships" r:id="rId6"/>
          <a:extLst>
            <a:ext uri="{FF2B5EF4-FFF2-40B4-BE49-F238E27FC236}">
              <a16:creationId xmlns:a16="http://schemas.microsoft.com/office/drawing/2014/main" id="{74121033-F4A6-4B86-81FB-10CBEA216F7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152400" cy="152400"/>
    <xdr:sp macro="" textlink="">
      <xdr:nvSpPr>
        <xdr:cNvPr id="92" name="AutoShape 1" descr="Sub-task">
          <a:hlinkClick xmlns:r="http://schemas.openxmlformats.org/officeDocument/2006/relationships" r:id="rId14"/>
          <a:extLst>
            <a:ext uri="{FF2B5EF4-FFF2-40B4-BE49-F238E27FC236}">
              <a16:creationId xmlns:a16="http://schemas.microsoft.com/office/drawing/2014/main" id="{F1DD77EC-5CFC-4E65-9418-D375D470794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152400" cy="152400"/>
    <xdr:sp macro="" textlink="">
      <xdr:nvSpPr>
        <xdr:cNvPr id="93" name="AutoShape 2" descr="Sub-task">
          <a:hlinkClick xmlns:r="http://schemas.openxmlformats.org/officeDocument/2006/relationships" r:id="rId15"/>
          <a:extLst>
            <a:ext uri="{FF2B5EF4-FFF2-40B4-BE49-F238E27FC236}">
              <a16:creationId xmlns:a16="http://schemas.microsoft.com/office/drawing/2014/main" id="{53C635EA-E287-4687-BB96-9407C42D9CF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94" name="AutoShape 7" descr="Story">
          <a:hlinkClick xmlns:r="http://schemas.openxmlformats.org/officeDocument/2006/relationships" r:id="rId3"/>
          <a:extLst>
            <a:ext uri="{FF2B5EF4-FFF2-40B4-BE49-F238E27FC236}">
              <a16:creationId xmlns:a16="http://schemas.microsoft.com/office/drawing/2014/main" id="{3A52AC87-8F29-4A2F-A632-30DD94D6F95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152400" cy="152400"/>
    <xdr:sp macro="" textlink="">
      <xdr:nvSpPr>
        <xdr:cNvPr id="95" name="AutoShape 3" descr="Story">
          <a:hlinkClick xmlns:r="http://schemas.openxmlformats.org/officeDocument/2006/relationships" r:id="rId9"/>
          <a:extLst>
            <a:ext uri="{FF2B5EF4-FFF2-40B4-BE49-F238E27FC236}">
              <a16:creationId xmlns:a16="http://schemas.microsoft.com/office/drawing/2014/main" id="{64077663-C147-4B69-BF76-B1490228648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152400" cy="152400"/>
    <xdr:sp macro="" textlink="">
      <xdr:nvSpPr>
        <xdr:cNvPr id="96" name="AutoShape 12" descr="Story">
          <a:hlinkClick xmlns:r="http://schemas.openxmlformats.org/officeDocument/2006/relationships" r:id="rId8"/>
          <a:extLst>
            <a:ext uri="{FF2B5EF4-FFF2-40B4-BE49-F238E27FC236}">
              <a16:creationId xmlns:a16="http://schemas.microsoft.com/office/drawing/2014/main" id="{A334BC78-1697-4A45-8547-105BEDDABFE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152400" cy="152400"/>
    <xdr:sp macro="" textlink="">
      <xdr:nvSpPr>
        <xdr:cNvPr id="97" name="AutoShape 1" descr="Story">
          <a:hlinkClick xmlns:r="http://schemas.openxmlformats.org/officeDocument/2006/relationships" r:id="rId7"/>
          <a:extLst>
            <a:ext uri="{FF2B5EF4-FFF2-40B4-BE49-F238E27FC236}">
              <a16:creationId xmlns:a16="http://schemas.microsoft.com/office/drawing/2014/main" id="{F7538D61-37A0-4D35-9528-ABCCFB552704}"/>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152400" cy="152400"/>
    <xdr:sp macro="" textlink="">
      <xdr:nvSpPr>
        <xdr:cNvPr id="98" name="AutoShape 1" descr="Story">
          <a:hlinkClick xmlns:r="http://schemas.openxmlformats.org/officeDocument/2006/relationships" r:id="rId7"/>
          <a:extLst>
            <a:ext uri="{FF2B5EF4-FFF2-40B4-BE49-F238E27FC236}">
              <a16:creationId xmlns:a16="http://schemas.microsoft.com/office/drawing/2014/main" id="{1F0B0BB3-BB8A-4236-8780-3813A825CFD4}"/>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152400" cy="152400"/>
    <xdr:sp macro="" textlink="">
      <xdr:nvSpPr>
        <xdr:cNvPr id="99" name="AutoShape 3" descr="Story">
          <a:hlinkClick xmlns:r="http://schemas.openxmlformats.org/officeDocument/2006/relationships" r:id="rId4"/>
          <a:extLst>
            <a:ext uri="{FF2B5EF4-FFF2-40B4-BE49-F238E27FC236}">
              <a16:creationId xmlns:a16="http://schemas.microsoft.com/office/drawing/2014/main" id="{C5C98BA0-2927-44F8-9B66-06A9E1126B5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152400" cy="152400"/>
    <xdr:sp macro="" textlink="">
      <xdr:nvSpPr>
        <xdr:cNvPr id="100" name="AutoShape 4" descr="Story">
          <a:hlinkClick xmlns:r="http://schemas.openxmlformats.org/officeDocument/2006/relationships" r:id="rId5"/>
          <a:extLst>
            <a:ext uri="{FF2B5EF4-FFF2-40B4-BE49-F238E27FC236}">
              <a16:creationId xmlns:a16="http://schemas.microsoft.com/office/drawing/2014/main" id="{1A3C8020-A2E8-4018-AB02-2BF3D855D486}"/>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72</xdr:row>
      <xdr:rowOff>0</xdr:rowOff>
    </xdr:from>
    <xdr:ext cx="152400" cy="152400"/>
    <xdr:sp macro="" textlink="">
      <xdr:nvSpPr>
        <xdr:cNvPr id="101" name="AutoShape 7" descr="Story">
          <a:hlinkClick xmlns:r="http://schemas.openxmlformats.org/officeDocument/2006/relationships" r:id="rId3"/>
          <a:extLst>
            <a:ext uri="{FF2B5EF4-FFF2-40B4-BE49-F238E27FC236}">
              <a16:creationId xmlns:a16="http://schemas.microsoft.com/office/drawing/2014/main" id="{73F31E94-F964-4EAA-84D7-C81033505CD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102" name="AutoShape 8" descr="Story">
          <a:hlinkClick xmlns:r="http://schemas.openxmlformats.org/officeDocument/2006/relationships" r:id="rId4"/>
          <a:extLst>
            <a:ext uri="{FF2B5EF4-FFF2-40B4-BE49-F238E27FC236}">
              <a16:creationId xmlns:a16="http://schemas.microsoft.com/office/drawing/2014/main" id="{4A6E99BC-E27B-4E3F-B56C-3074C3B90A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103" name="AutoShape 8" descr="Story">
          <a:hlinkClick xmlns:r="http://schemas.openxmlformats.org/officeDocument/2006/relationships" r:id="rId4"/>
          <a:extLst>
            <a:ext uri="{FF2B5EF4-FFF2-40B4-BE49-F238E27FC236}">
              <a16:creationId xmlns:a16="http://schemas.microsoft.com/office/drawing/2014/main" id="{B7C73ECA-1D98-4A08-9433-503653D6297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48</xdr:row>
      <xdr:rowOff>0</xdr:rowOff>
    </xdr:from>
    <xdr:to>
      <xdr:col>0</xdr:col>
      <xdr:colOff>152400</xdr:colOff>
      <xdr:row>48</xdr:row>
      <xdr:rowOff>152400</xdr:rowOff>
    </xdr:to>
    <xdr:sp macro="" textlink="">
      <xdr:nvSpPr>
        <xdr:cNvPr id="2" name="AutoShape 1" descr="Story">
          <a:hlinkClick xmlns:r="http://schemas.openxmlformats.org/officeDocument/2006/relationships" r:id="rId7"/>
          <a:extLst>
            <a:ext uri="{FF2B5EF4-FFF2-40B4-BE49-F238E27FC236}">
              <a16:creationId xmlns:a16="http://schemas.microsoft.com/office/drawing/2014/main" id="{79757C6E-4B06-4681-BA0B-F8C1BEC35C0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3" name="AutoShape 2" descr="Story">
          <a:hlinkClick xmlns:r="http://schemas.openxmlformats.org/officeDocument/2006/relationships" r:id="rId8"/>
          <a:extLst>
            <a:ext uri="{FF2B5EF4-FFF2-40B4-BE49-F238E27FC236}">
              <a16:creationId xmlns:a16="http://schemas.microsoft.com/office/drawing/2014/main" id="{24BC32BE-3DE0-4AA2-A9EB-F997BD2975E7}"/>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xdr:row>
      <xdr:rowOff>0</xdr:rowOff>
    </xdr:from>
    <xdr:to>
      <xdr:col>0</xdr:col>
      <xdr:colOff>152400</xdr:colOff>
      <xdr:row>45</xdr:row>
      <xdr:rowOff>152400</xdr:rowOff>
    </xdr:to>
    <xdr:sp macro="" textlink="">
      <xdr:nvSpPr>
        <xdr:cNvPr id="4" name="AutoShape 3" descr="Story">
          <a:hlinkClick xmlns:r="http://schemas.openxmlformats.org/officeDocument/2006/relationships" r:id="rId9"/>
          <a:extLst>
            <a:ext uri="{FF2B5EF4-FFF2-40B4-BE49-F238E27FC236}">
              <a16:creationId xmlns:a16="http://schemas.microsoft.com/office/drawing/2014/main" id="{67BAA225-62DC-4069-8D8E-2FF47E39A3D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xdr:row>
      <xdr:rowOff>0</xdr:rowOff>
    </xdr:from>
    <xdr:to>
      <xdr:col>0</xdr:col>
      <xdr:colOff>152400</xdr:colOff>
      <xdr:row>42</xdr:row>
      <xdr:rowOff>152400</xdr:rowOff>
    </xdr:to>
    <xdr:sp macro="" textlink="">
      <xdr:nvSpPr>
        <xdr:cNvPr id="5" name="AutoShape 4" descr="Bug">
          <a:hlinkClick xmlns:r="http://schemas.openxmlformats.org/officeDocument/2006/relationships" r:id="rId1"/>
          <a:extLst>
            <a:ext uri="{FF2B5EF4-FFF2-40B4-BE49-F238E27FC236}">
              <a16:creationId xmlns:a16="http://schemas.microsoft.com/office/drawing/2014/main" id="{4F6A0577-DAE3-47BB-A1EF-360E70A0CA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6" name="AutoShape 5" descr="Story">
          <a:hlinkClick xmlns:r="http://schemas.openxmlformats.org/officeDocument/2006/relationships" r:id="rId10"/>
          <a:extLst>
            <a:ext uri="{FF2B5EF4-FFF2-40B4-BE49-F238E27FC236}">
              <a16:creationId xmlns:a16="http://schemas.microsoft.com/office/drawing/2014/main" id="{F05CFC83-A47A-4F94-BC8B-97584AD1F6C8}"/>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xdr:row>
      <xdr:rowOff>0</xdr:rowOff>
    </xdr:from>
    <xdr:to>
      <xdr:col>0</xdr:col>
      <xdr:colOff>152400</xdr:colOff>
      <xdr:row>42</xdr:row>
      <xdr:rowOff>152400</xdr:rowOff>
    </xdr:to>
    <xdr:sp macro="" textlink="">
      <xdr:nvSpPr>
        <xdr:cNvPr id="7" name="AutoShape 6" descr="Bug">
          <a:hlinkClick xmlns:r="http://schemas.openxmlformats.org/officeDocument/2006/relationships" r:id="rId2"/>
          <a:extLst>
            <a:ext uri="{FF2B5EF4-FFF2-40B4-BE49-F238E27FC236}">
              <a16:creationId xmlns:a16="http://schemas.microsoft.com/office/drawing/2014/main" id="{7F5788AC-9F59-4A5F-B45B-DF72323FFCA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xdr:row>
      <xdr:rowOff>0</xdr:rowOff>
    </xdr:from>
    <xdr:to>
      <xdr:col>0</xdr:col>
      <xdr:colOff>152400</xdr:colOff>
      <xdr:row>42</xdr:row>
      <xdr:rowOff>152400</xdr:rowOff>
    </xdr:to>
    <xdr:sp macro="" textlink="">
      <xdr:nvSpPr>
        <xdr:cNvPr id="8" name="AutoShape 7" descr="Story">
          <a:hlinkClick xmlns:r="http://schemas.openxmlformats.org/officeDocument/2006/relationships" r:id="rId3"/>
          <a:extLst>
            <a:ext uri="{FF2B5EF4-FFF2-40B4-BE49-F238E27FC236}">
              <a16:creationId xmlns:a16="http://schemas.microsoft.com/office/drawing/2014/main" id="{0A2F4268-1BF0-411F-92F1-FCEE9A92311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xdr:row>
      <xdr:rowOff>0</xdr:rowOff>
    </xdr:from>
    <xdr:to>
      <xdr:col>0</xdr:col>
      <xdr:colOff>152400</xdr:colOff>
      <xdr:row>42</xdr:row>
      <xdr:rowOff>152400</xdr:rowOff>
    </xdr:to>
    <xdr:sp macro="" textlink="">
      <xdr:nvSpPr>
        <xdr:cNvPr id="9" name="AutoShape 8" descr="Story">
          <a:hlinkClick xmlns:r="http://schemas.openxmlformats.org/officeDocument/2006/relationships" r:id="rId4"/>
          <a:extLst>
            <a:ext uri="{FF2B5EF4-FFF2-40B4-BE49-F238E27FC236}">
              <a16:creationId xmlns:a16="http://schemas.microsoft.com/office/drawing/2014/main" id="{B8C2EE39-0D59-47A8-B7A4-7F0FE2C89EA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xdr:row>
      <xdr:rowOff>0</xdr:rowOff>
    </xdr:from>
    <xdr:to>
      <xdr:col>0</xdr:col>
      <xdr:colOff>152400</xdr:colOff>
      <xdr:row>42</xdr:row>
      <xdr:rowOff>152400</xdr:rowOff>
    </xdr:to>
    <xdr:sp macro="" textlink="">
      <xdr:nvSpPr>
        <xdr:cNvPr id="10" name="AutoShape 9" descr="Story">
          <a:hlinkClick xmlns:r="http://schemas.openxmlformats.org/officeDocument/2006/relationships" r:id="rId5"/>
          <a:extLst>
            <a:ext uri="{FF2B5EF4-FFF2-40B4-BE49-F238E27FC236}">
              <a16:creationId xmlns:a16="http://schemas.microsoft.com/office/drawing/2014/main" id="{8ECABF7E-01BC-4CED-B9DB-9D325A01D32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xdr:row>
      <xdr:rowOff>0</xdr:rowOff>
    </xdr:from>
    <xdr:to>
      <xdr:col>0</xdr:col>
      <xdr:colOff>152400</xdr:colOff>
      <xdr:row>43</xdr:row>
      <xdr:rowOff>152400</xdr:rowOff>
    </xdr:to>
    <xdr:sp macro="" textlink="">
      <xdr:nvSpPr>
        <xdr:cNvPr id="11" name="AutoShape 10" descr="Story">
          <a:hlinkClick xmlns:r="http://schemas.openxmlformats.org/officeDocument/2006/relationships" r:id="rId6"/>
          <a:extLst>
            <a:ext uri="{FF2B5EF4-FFF2-40B4-BE49-F238E27FC236}">
              <a16:creationId xmlns:a16="http://schemas.microsoft.com/office/drawing/2014/main" id="{321E40D2-E2E6-4C8F-99EB-2C68D667623F}"/>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12" name="AutoShape 11" descr="Story">
          <a:hlinkClick xmlns:r="http://schemas.openxmlformats.org/officeDocument/2006/relationships" r:id="rId11"/>
          <a:extLst>
            <a:ext uri="{FF2B5EF4-FFF2-40B4-BE49-F238E27FC236}">
              <a16:creationId xmlns:a16="http://schemas.microsoft.com/office/drawing/2014/main" id="{1E039D14-C4EE-4FF5-ABAB-EAF5AD2BDCB9}"/>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xdr:row>
      <xdr:rowOff>0</xdr:rowOff>
    </xdr:from>
    <xdr:to>
      <xdr:col>0</xdr:col>
      <xdr:colOff>152400</xdr:colOff>
      <xdr:row>45</xdr:row>
      <xdr:rowOff>152400</xdr:rowOff>
    </xdr:to>
    <xdr:sp macro="" textlink="">
      <xdr:nvSpPr>
        <xdr:cNvPr id="13" name="AutoShape 12" descr="Story">
          <a:hlinkClick xmlns:r="http://schemas.openxmlformats.org/officeDocument/2006/relationships" r:id="rId8"/>
          <a:extLst>
            <a:ext uri="{FF2B5EF4-FFF2-40B4-BE49-F238E27FC236}">
              <a16:creationId xmlns:a16="http://schemas.microsoft.com/office/drawing/2014/main" id="{F351AE06-ADFD-401E-ACDE-63FD4E70EB5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xdr:row>
      <xdr:rowOff>0</xdr:rowOff>
    </xdr:from>
    <xdr:to>
      <xdr:col>0</xdr:col>
      <xdr:colOff>152400</xdr:colOff>
      <xdr:row>42</xdr:row>
      <xdr:rowOff>152400</xdr:rowOff>
    </xdr:to>
    <xdr:sp macro="" textlink="">
      <xdr:nvSpPr>
        <xdr:cNvPr id="14" name="AutoShape 13" descr="Story">
          <a:hlinkClick xmlns:r="http://schemas.openxmlformats.org/officeDocument/2006/relationships" r:id="rId4"/>
          <a:extLst>
            <a:ext uri="{FF2B5EF4-FFF2-40B4-BE49-F238E27FC236}">
              <a16:creationId xmlns:a16="http://schemas.microsoft.com/office/drawing/2014/main" id="{324B9945-542C-478B-874E-D96D5E6AFDB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xdr:row>
      <xdr:rowOff>0</xdr:rowOff>
    </xdr:from>
    <xdr:to>
      <xdr:col>0</xdr:col>
      <xdr:colOff>152400</xdr:colOff>
      <xdr:row>43</xdr:row>
      <xdr:rowOff>152400</xdr:rowOff>
    </xdr:to>
    <xdr:sp macro="" textlink="">
      <xdr:nvSpPr>
        <xdr:cNvPr id="15" name="AutoShape 14" descr="Story">
          <a:hlinkClick xmlns:r="http://schemas.openxmlformats.org/officeDocument/2006/relationships" r:id="rId4"/>
          <a:extLst>
            <a:ext uri="{FF2B5EF4-FFF2-40B4-BE49-F238E27FC236}">
              <a16:creationId xmlns:a16="http://schemas.microsoft.com/office/drawing/2014/main" id="{411650D8-4454-4379-A90F-18CCBA72784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16" name="AutoShape 15" descr="Story">
          <a:hlinkClick xmlns:r="http://schemas.openxmlformats.org/officeDocument/2006/relationships" r:id="rId4"/>
          <a:extLst>
            <a:ext uri="{FF2B5EF4-FFF2-40B4-BE49-F238E27FC236}">
              <a16:creationId xmlns:a16="http://schemas.microsoft.com/office/drawing/2014/main" id="{9AEEB078-A706-4D2C-AE8E-FB1712D233DA}"/>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42</xdr:row>
      <xdr:rowOff>0</xdr:rowOff>
    </xdr:from>
    <xdr:ext cx="152400" cy="152400"/>
    <xdr:sp macro="" textlink="">
      <xdr:nvSpPr>
        <xdr:cNvPr id="17" name="AutoShape 1" descr="Story">
          <a:hlinkClick xmlns:r="http://schemas.openxmlformats.org/officeDocument/2006/relationships" r:id="rId12"/>
          <a:extLst>
            <a:ext uri="{FF2B5EF4-FFF2-40B4-BE49-F238E27FC236}">
              <a16:creationId xmlns:a16="http://schemas.microsoft.com/office/drawing/2014/main" id="{F11E65A3-BB17-4C19-8E68-B0AE8E64766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18" name="AutoShape 2" descr="Story">
          <a:hlinkClick xmlns:r="http://schemas.openxmlformats.org/officeDocument/2006/relationships" r:id="rId13"/>
          <a:extLst>
            <a:ext uri="{FF2B5EF4-FFF2-40B4-BE49-F238E27FC236}">
              <a16:creationId xmlns:a16="http://schemas.microsoft.com/office/drawing/2014/main" id="{DD81E52D-7870-4A7D-8C77-911A4FD08EC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19" name="AutoShape 5" descr="Story">
          <a:hlinkClick xmlns:r="http://schemas.openxmlformats.org/officeDocument/2006/relationships" r:id="rId6"/>
          <a:extLst>
            <a:ext uri="{FF2B5EF4-FFF2-40B4-BE49-F238E27FC236}">
              <a16:creationId xmlns:a16="http://schemas.microsoft.com/office/drawing/2014/main" id="{F971E993-22CA-4AC6-BC45-B3DA6FF66E7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20" name="AutoShape 1" descr="Sub-task">
          <a:hlinkClick xmlns:r="http://schemas.openxmlformats.org/officeDocument/2006/relationships" r:id="rId14"/>
          <a:extLst>
            <a:ext uri="{FF2B5EF4-FFF2-40B4-BE49-F238E27FC236}">
              <a16:creationId xmlns:a16="http://schemas.microsoft.com/office/drawing/2014/main" id="{9CD40892-83DF-418C-9967-8A53DB8F4E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21" name="AutoShape 2" descr="Sub-task">
          <a:hlinkClick xmlns:r="http://schemas.openxmlformats.org/officeDocument/2006/relationships" r:id="rId15"/>
          <a:extLst>
            <a:ext uri="{FF2B5EF4-FFF2-40B4-BE49-F238E27FC236}">
              <a16:creationId xmlns:a16="http://schemas.microsoft.com/office/drawing/2014/main" id="{298D6788-47AB-4320-892B-ECC1D3C1313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22" name="AutoShape 3" descr="Story">
          <a:hlinkClick xmlns:r="http://schemas.openxmlformats.org/officeDocument/2006/relationships" r:id="rId9"/>
          <a:extLst>
            <a:ext uri="{FF2B5EF4-FFF2-40B4-BE49-F238E27FC236}">
              <a16:creationId xmlns:a16="http://schemas.microsoft.com/office/drawing/2014/main" id="{D069E747-69A1-4991-AC78-37188E4354B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23" name="AutoShape 12" descr="Story">
          <a:hlinkClick xmlns:r="http://schemas.openxmlformats.org/officeDocument/2006/relationships" r:id="rId8"/>
          <a:extLst>
            <a:ext uri="{FF2B5EF4-FFF2-40B4-BE49-F238E27FC236}">
              <a16:creationId xmlns:a16="http://schemas.microsoft.com/office/drawing/2014/main" id="{C9E1B61B-F7AF-4CE7-AA48-2C716394375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24" name="AutoShape 1" descr="Story">
          <a:hlinkClick xmlns:r="http://schemas.openxmlformats.org/officeDocument/2006/relationships" r:id="rId7"/>
          <a:extLst>
            <a:ext uri="{FF2B5EF4-FFF2-40B4-BE49-F238E27FC236}">
              <a16:creationId xmlns:a16="http://schemas.microsoft.com/office/drawing/2014/main" id="{3AE45C86-18F2-4DB6-8A7F-80920391AF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25" name="AutoShape 1" descr="Story">
          <a:hlinkClick xmlns:r="http://schemas.openxmlformats.org/officeDocument/2006/relationships" r:id="rId7"/>
          <a:extLst>
            <a:ext uri="{FF2B5EF4-FFF2-40B4-BE49-F238E27FC236}">
              <a16:creationId xmlns:a16="http://schemas.microsoft.com/office/drawing/2014/main" id="{84F78875-B552-4FD5-B901-04F64C14B1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26" name="AutoShape 3" descr="Story">
          <a:hlinkClick xmlns:r="http://schemas.openxmlformats.org/officeDocument/2006/relationships" r:id="rId4"/>
          <a:extLst>
            <a:ext uri="{FF2B5EF4-FFF2-40B4-BE49-F238E27FC236}">
              <a16:creationId xmlns:a16="http://schemas.microsoft.com/office/drawing/2014/main" id="{DDD4883A-A66D-44A3-867B-232AF739291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27" name="AutoShape 4" descr="Story">
          <a:hlinkClick xmlns:r="http://schemas.openxmlformats.org/officeDocument/2006/relationships" r:id="rId5"/>
          <a:extLst>
            <a:ext uri="{FF2B5EF4-FFF2-40B4-BE49-F238E27FC236}">
              <a16:creationId xmlns:a16="http://schemas.microsoft.com/office/drawing/2014/main" id="{90367D42-053F-46DC-9F28-DE9A5B25AD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152400" cy="152400"/>
    <xdr:sp macro="" textlink="">
      <xdr:nvSpPr>
        <xdr:cNvPr id="28" name="AutoShape 1" descr="Story">
          <a:hlinkClick xmlns:r="http://schemas.openxmlformats.org/officeDocument/2006/relationships" r:id="rId12"/>
          <a:extLst>
            <a:ext uri="{FF2B5EF4-FFF2-40B4-BE49-F238E27FC236}">
              <a16:creationId xmlns:a16="http://schemas.microsoft.com/office/drawing/2014/main" id="{7C786D93-470B-4634-8665-0919F0E9475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152400" cy="152400"/>
    <xdr:sp macro="" textlink="">
      <xdr:nvSpPr>
        <xdr:cNvPr id="29" name="AutoShape 2" descr="Story">
          <a:hlinkClick xmlns:r="http://schemas.openxmlformats.org/officeDocument/2006/relationships" r:id="rId13"/>
          <a:extLst>
            <a:ext uri="{FF2B5EF4-FFF2-40B4-BE49-F238E27FC236}">
              <a16:creationId xmlns:a16="http://schemas.microsoft.com/office/drawing/2014/main" id="{FD4B3D6A-8790-4A8D-8BBE-B9439819E8B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30" name="AutoShape 3" descr="Story">
          <a:hlinkClick xmlns:r="http://schemas.openxmlformats.org/officeDocument/2006/relationships" r:id="rId4"/>
          <a:extLst>
            <a:ext uri="{FF2B5EF4-FFF2-40B4-BE49-F238E27FC236}">
              <a16:creationId xmlns:a16="http://schemas.microsoft.com/office/drawing/2014/main" id="{593F229B-8ED9-45C0-B5F4-FA7491BA41B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31" name="AutoShape 4" descr="Story">
          <a:hlinkClick xmlns:r="http://schemas.openxmlformats.org/officeDocument/2006/relationships" r:id="rId5"/>
          <a:extLst>
            <a:ext uri="{FF2B5EF4-FFF2-40B4-BE49-F238E27FC236}">
              <a16:creationId xmlns:a16="http://schemas.microsoft.com/office/drawing/2014/main" id="{1E76F1FE-D804-4FFB-8AA2-234D87E0DED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152400" cy="152400"/>
    <xdr:sp macro="" textlink="">
      <xdr:nvSpPr>
        <xdr:cNvPr id="32" name="AutoShape 5" descr="Story">
          <a:hlinkClick xmlns:r="http://schemas.openxmlformats.org/officeDocument/2006/relationships" r:id="rId6"/>
          <a:extLst>
            <a:ext uri="{FF2B5EF4-FFF2-40B4-BE49-F238E27FC236}">
              <a16:creationId xmlns:a16="http://schemas.microsoft.com/office/drawing/2014/main" id="{2FE57903-A6CC-4C1A-9880-2AE83403C7C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152400" cy="152400"/>
    <xdr:sp macro="" textlink="">
      <xdr:nvSpPr>
        <xdr:cNvPr id="33" name="AutoShape 1" descr="Sub-task">
          <a:hlinkClick xmlns:r="http://schemas.openxmlformats.org/officeDocument/2006/relationships" r:id="rId14"/>
          <a:extLst>
            <a:ext uri="{FF2B5EF4-FFF2-40B4-BE49-F238E27FC236}">
              <a16:creationId xmlns:a16="http://schemas.microsoft.com/office/drawing/2014/main" id="{738E8347-612F-4773-ACA9-6CAD1F36C7A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152400" cy="152400"/>
    <xdr:sp macro="" textlink="">
      <xdr:nvSpPr>
        <xdr:cNvPr id="34" name="AutoShape 2" descr="Sub-task">
          <a:hlinkClick xmlns:r="http://schemas.openxmlformats.org/officeDocument/2006/relationships" r:id="rId15"/>
          <a:extLst>
            <a:ext uri="{FF2B5EF4-FFF2-40B4-BE49-F238E27FC236}">
              <a16:creationId xmlns:a16="http://schemas.microsoft.com/office/drawing/2014/main" id="{81B3E3DC-09B8-4D4D-BF7B-B5B99665E9D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35" name="AutoShape 7" descr="Story">
          <a:hlinkClick xmlns:r="http://schemas.openxmlformats.org/officeDocument/2006/relationships" r:id="rId3"/>
          <a:extLst>
            <a:ext uri="{FF2B5EF4-FFF2-40B4-BE49-F238E27FC236}">
              <a16:creationId xmlns:a16="http://schemas.microsoft.com/office/drawing/2014/main" id="{C7F8726B-9483-4C54-847E-C31C1A2271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152400" cy="152400"/>
    <xdr:sp macro="" textlink="">
      <xdr:nvSpPr>
        <xdr:cNvPr id="36" name="AutoShape 3" descr="Story">
          <a:hlinkClick xmlns:r="http://schemas.openxmlformats.org/officeDocument/2006/relationships" r:id="rId9"/>
          <a:extLst>
            <a:ext uri="{FF2B5EF4-FFF2-40B4-BE49-F238E27FC236}">
              <a16:creationId xmlns:a16="http://schemas.microsoft.com/office/drawing/2014/main" id="{44B6E611-E0EC-4781-8E0B-05821B52FBE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152400" cy="152400"/>
    <xdr:sp macro="" textlink="">
      <xdr:nvSpPr>
        <xdr:cNvPr id="37" name="AutoShape 12" descr="Story">
          <a:hlinkClick xmlns:r="http://schemas.openxmlformats.org/officeDocument/2006/relationships" r:id="rId8"/>
          <a:extLst>
            <a:ext uri="{FF2B5EF4-FFF2-40B4-BE49-F238E27FC236}">
              <a16:creationId xmlns:a16="http://schemas.microsoft.com/office/drawing/2014/main" id="{DF7202B1-46E6-400C-9757-E4E69D9DA9B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152400" cy="152400"/>
    <xdr:sp macro="" textlink="">
      <xdr:nvSpPr>
        <xdr:cNvPr id="38" name="AutoShape 1" descr="Story">
          <a:hlinkClick xmlns:r="http://schemas.openxmlformats.org/officeDocument/2006/relationships" r:id="rId7"/>
          <a:extLst>
            <a:ext uri="{FF2B5EF4-FFF2-40B4-BE49-F238E27FC236}">
              <a16:creationId xmlns:a16="http://schemas.microsoft.com/office/drawing/2014/main" id="{37A154B5-A267-447C-A572-FD3F053E0DB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152400" cy="152400"/>
    <xdr:sp macro="" textlink="">
      <xdr:nvSpPr>
        <xdr:cNvPr id="39" name="AutoShape 1" descr="Story">
          <a:hlinkClick xmlns:r="http://schemas.openxmlformats.org/officeDocument/2006/relationships" r:id="rId7"/>
          <a:extLst>
            <a:ext uri="{FF2B5EF4-FFF2-40B4-BE49-F238E27FC236}">
              <a16:creationId xmlns:a16="http://schemas.microsoft.com/office/drawing/2014/main" id="{A7B79411-DB28-4D04-A8C3-5B7101C4C6E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152400" cy="152400"/>
    <xdr:sp macro="" textlink="">
      <xdr:nvSpPr>
        <xdr:cNvPr id="40" name="AutoShape 3" descr="Story">
          <a:hlinkClick xmlns:r="http://schemas.openxmlformats.org/officeDocument/2006/relationships" r:id="rId4"/>
          <a:extLst>
            <a:ext uri="{FF2B5EF4-FFF2-40B4-BE49-F238E27FC236}">
              <a16:creationId xmlns:a16="http://schemas.microsoft.com/office/drawing/2014/main" id="{5C1604A3-FC3D-4C08-A9A0-716FB84FB23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152400" cy="152400"/>
    <xdr:sp macro="" textlink="">
      <xdr:nvSpPr>
        <xdr:cNvPr id="57" name="AutoShape 4" descr="Story">
          <a:hlinkClick xmlns:r="http://schemas.openxmlformats.org/officeDocument/2006/relationships" r:id="rId5"/>
          <a:extLst>
            <a:ext uri="{FF2B5EF4-FFF2-40B4-BE49-F238E27FC236}">
              <a16:creationId xmlns:a16="http://schemas.microsoft.com/office/drawing/2014/main" id="{D6BAB628-C614-4DF2-BB02-6A46DF89221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45</xdr:row>
      <xdr:rowOff>0</xdr:rowOff>
    </xdr:from>
    <xdr:ext cx="152400" cy="152400"/>
    <xdr:sp macro="" textlink="">
      <xdr:nvSpPr>
        <xdr:cNvPr id="58" name="AutoShape 7" descr="Story">
          <a:hlinkClick xmlns:r="http://schemas.openxmlformats.org/officeDocument/2006/relationships" r:id="rId3"/>
          <a:extLst>
            <a:ext uri="{FF2B5EF4-FFF2-40B4-BE49-F238E27FC236}">
              <a16:creationId xmlns:a16="http://schemas.microsoft.com/office/drawing/2014/main" id="{DDF50E54-A2E4-433E-BD0E-67A26A86239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59" name="AutoShape 8" descr="Story">
          <a:hlinkClick xmlns:r="http://schemas.openxmlformats.org/officeDocument/2006/relationships" r:id="rId4"/>
          <a:extLst>
            <a:ext uri="{FF2B5EF4-FFF2-40B4-BE49-F238E27FC236}">
              <a16:creationId xmlns:a16="http://schemas.microsoft.com/office/drawing/2014/main" id="{27C6B2FC-02BC-4120-929E-2E3DB3D9A29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42</xdr:row>
      <xdr:rowOff>0</xdr:rowOff>
    </xdr:from>
    <xdr:ext cx="152400" cy="152400"/>
    <xdr:sp macro="" textlink="">
      <xdr:nvSpPr>
        <xdr:cNvPr id="60" name="AutoShape 8" descr="Story">
          <a:hlinkClick xmlns:r="http://schemas.openxmlformats.org/officeDocument/2006/relationships" r:id="rId4"/>
          <a:extLst>
            <a:ext uri="{FF2B5EF4-FFF2-40B4-BE49-F238E27FC236}">
              <a16:creationId xmlns:a16="http://schemas.microsoft.com/office/drawing/2014/main" id="{B24F67C7-D2E7-4421-BA18-88866D3A538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52</xdr:row>
      <xdr:rowOff>0</xdr:rowOff>
    </xdr:from>
    <xdr:to>
      <xdr:col>0</xdr:col>
      <xdr:colOff>152400</xdr:colOff>
      <xdr:row>52</xdr:row>
      <xdr:rowOff>152400</xdr:rowOff>
    </xdr:to>
    <xdr:sp macro="" textlink="">
      <xdr:nvSpPr>
        <xdr:cNvPr id="104" name="AutoShape 1" descr="Story">
          <a:hlinkClick xmlns:r="http://schemas.openxmlformats.org/officeDocument/2006/relationships" r:id="rId7"/>
          <a:extLst>
            <a:ext uri="{FF2B5EF4-FFF2-40B4-BE49-F238E27FC236}">
              <a16:creationId xmlns:a16="http://schemas.microsoft.com/office/drawing/2014/main" id="{49F21385-7765-4689-B6B7-92BDDB9F9BD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xdr:row>
      <xdr:rowOff>0</xdr:rowOff>
    </xdr:from>
    <xdr:to>
      <xdr:col>0</xdr:col>
      <xdr:colOff>152400</xdr:colOff>
      <xdr:row>50</xdr:row>
      <xdr:rowOff>152400</xdr:rowOff>
    </xdr:to>
    <xdr:sp macro="" textlink="">
      <xdr:nvSpPr>
        <xdr:cNvPr id="105" name="AutoShape 2" descr="Story">
          <a:hlinkClick xmlns:r="http://schemas.openxmlformats.org/officeDocument/2006/relationships" r:id="rId8"/>
          <a:extLst>
            <a:ext uri="{FF2B5EF4-FFF2-40B4-BE49-F238E27FC236}">
              <a16:creationId xmlns:a16="http://schemas.microsoft.com/office/drawing/2014/main" id="{E6AA5A15-C236-4998-A7AA-43E1016A2CDC}"/>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xdr:row>
      <xdr:rowOff>0</xdr:rowOff>
    </xdr:from>
    <xdr:to>
      <xdr:col>0</xdr:col>
      <xdr:colOff>152400</xdr:colOff>
      <xdr:row>49</xdr:row>
      <xdr:rowOff>152400</xdr:rowOff>
    </xdr:to>
    <xdr:sp macro="" textlink="">
      <xdr:nvSpPr>
        <xdr:cNvPr id="106" name="AutoShape 3" descr="Story">
          <a:hlinkClick xmlns:r="http://schemas.openxmlformats.org/officeDocument/2006/relationships" r:id="rId9"/>
          <a:extLst>
            <a:ext uri="{FF2B5EF4-FFF2-40B4-BE49-F238E27FC236}">
              <a16:creationId xmlns:a16="http://schemas.microsoft.com/office/drawing/2014/main" id="{FDFA2EAD-B115-46BD-967F-49A7F2FE87B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107" name="AutoShape 4" descr="Bug">
          <a:hlinkClick xmlns:r="http://schemas.openxmlformats.org/officeDocument/2006/relationships" r:id="rId1"/>
          <a:extLst>
            <a:ext uri="{FF2B5EF4-FFF2-40B4-BE49-F238E27FC236}">
              <a16:creationId xmlns:a16="http://schemas.microsoft.com/office/drawing/2014/main" id="{7985816C-90E5-4DD3-8494-AF290274512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xdr:row>
      <xdr:rowOff>0</xdr:rowOff>
    </xdr:from>
    <xdr:to>
      <xdr:col>0</xdr:col>
      <xdr:colOff>152400</xdr:colOff>
      <xdr:row>50</xdr:row>
      <xdr:rowOff>152400</xdr:rowOff>
    </xdr:to>
    <xdr:sp macro="" textlink="">
      <xdr:nvSpPr>
        <xdr:cNvPr id="108" name="AutoShape 5" descr="Story">
          <a:hlinkClick xmlns:r="http://schemas.openxmlformats.org/officeDocument/2006/relationships" r:id="rId10"/>
          <a:extLst>
            <a:ext uri="{FF2B5EF4-FFF2-40B4-BE49-F238E27FC236}">
              <a16:creationId xmlns:a16="http://schemas.microsoft.com/office/drawing/2014/main" id="{1619730B-BBF8-4830-BBC8-E01817FD8D85}"/>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109" name="AutoShape 6" descr="Bug">
          <a:hlinkClick xmlns:r="http://schemas.openxmlformats.org/officeDocument/2006/relationships" r:id="rId2"/>
          <a:extLst>
            <a:ext uri="{FF2B5EF4-FFF2-40B4-BE49-F238E27FC236}">
              <a16:creationId xmlns:a16="http://schemas.microsoft.com/office/drawing/2014/main" id="{D2E1084E-EDAD-4389-A8A9-C070876C6C2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110" name="AutoShape 7" descr="Story">
          <a:hlinkClick xmlns:r="http://schemas.openxmlformats.org/officeDocument/2006/relationships" r:id="rId3"/>
          <a:extLst>
            <a:ext uri="{FF2B5EF4-FFF2-40B4-BE49-F238E27FC236}">
              <a16:creationId xmlns:a16="http://schemas.microsoft.com/office/drawing/2014/main" id="{DE5E3705-528B-4287-9CCD-03528FCB60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111" name="AutoShape 8" descr="Story">
          <a:hlinkClick xmlns:r="http://schemas.openxmlformats.org/officeDocument/2006/relationships" r:id="rId4"/>
          <a:extLst>
            <a:ext uri="{FF2B5EF4-FFF2-40B4-BE49-F238E27FC236}">
              <a16:creationId xmlns:a16="http://schemas.microsoft.com/office/drawing/2014/main" id="{03E57E03-CFAF-4888-BA5A-87CBB33AC4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112" name="AutoShape 9" descr="Story">
          <a:hlinkClick xmlns:r="http://schemas.openxmlformats.org/officeDocument/2006/relationships" r:id="rId5"/>
          <a:extLst>
            <a:ext uri="{FF2B5EF4-FFF2-40B4-BE49-F238E27FC236}">
              <a16:creationId xmlns:a16="http://schemas.microsoft.com/office/drawing/2014/main" id="{E539AB79-C21A-4025-A433-00D5D89BA66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xdr:row>
      <xdr:rowOff>0</xdr:rowOff>
    </xdr:from>
    <xdr:to>
      <xdr:col>0</xdr:col>
      <xdr:colOff>152400</xdr:colOff>
      <xdr:row>47</xdr:row>
      <xdr:rowOff>152400</xdr:rowOff>
    </xdr:to>
    <xdr:sp macro="" textlink="">
      <xdr:nvSpPr>
        <xdr:cNvPr id="113" name="AutoShape 10" descr="Story">
          <a:hlinkClick xmlns:r="http://schemas.openxmlformats.org/officeDocument/2006/relationships" r:id="rId6"/>
          <a:extLst>
            <a:ext uri="{FF2B5EF4-FFF2-40B4-BE49-F238E27FC236}">
              <a16:creationId xmlns:a16="http://schemas.microsoft.com/office/drawing/2014/main" id="{34137C79-B97F-4C7C-8F28-C4FD0CF2D20D}"/>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xdr:row>
      <xdr:rowOff>0</xdr:rowOff>
    </xdr:from>
    <xdr:to>
      <xdr:col>0</xdr:col>
      <xdr:colOff>152400</xdr:colOff>
      <xdr:row>50</xdr:row>
      <xdr:rowOff>152400</xdr:rowOff>
    </xdr:to>
    <xdr:sp macro="" textlink="">
      <xdr:nvSpPr>
        <xdr:cNvPr id="114" name="AutoShape 11" descr="Story">
          <a:hlinkClick xmlns:r="http://schemas.openxmlformats.org/officeDocument/2006/relationships" r:id="rId11"/>
          <a:extLst>
            <a:ext uri="{FF2B5EF4-FFF2-40B4-BE49-F238E27FC236}">
              <a16:creationId xmlns:a16="http://schemas.microsoft.com/office/drawing/2014/main" id="{34A8B240-8107-4624-B61A-BE9815C5A39C}"/>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xdr:row>
      <xdr:rowOff>0</xdr:rowOff>
    </xdr:from>
    <xdr:to>
      <xdr:col>0</xdr:col>
      <xdr:colOff>152400</xdr:colOff>
      <xdr:row>49</xdr:row>
      <xdr:rowOff>152400</xdr:rowOff>
    </xdr:to>
    <xdr:sp macro="" textlink="">
      <xdr:nvSpPr>
        <xdr:cNvPr id="115" name="AutoShape 12" descr="Story">
          <a:hlinkClick xmlns:r="http://schemas.openxmlformats.org/officeDocument/2006/relationships" r:id="rId8"/>
          <a:extLst>
            <a:ext uri="{FF2B5EF4-FFF2-40B4-BE49-F238E27FC236}">
              <a16:creationId xmlns:a16="http://schemas.microsoft.com/office/drawing/2014/main" id="{7E5EC446-5BB9-48E8-A5D2-1ED3FF77CB7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116" name="AutoShape 13" descr="Story">
          <a:hlinkClick xmlns:r="http://schemas.openxmlformats.org/officeDocument/2006/relationships" r:id="rId4"/>
          <a:extLst>
            <a:ext uri="{FF2B5EF4-FFF2-40B4-BE49-F238E27FC236}">
              <a16:creationId xmlns:a16="http://schemas.microsoft.com/office/drawing/2014/main" id="{0E5D28F1-D991-49A0-AA04-44E2AECD14B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xdr:row>
      <xdr:rowOff>0</xdr:rowOff>
    </xdr:from>
    <xdr:to>
      <xdr:col>0</xdr:col>
      <xdr:colOff>152400</xdr:colOff>
      <xdr:row>47</xdr:row>
      <xdr:rowOff>152400</xdr:rowOff>
    </xdr:to>
    <xdr:sp macro="" textlink="">
      <xdr:nvSpPr>
        <xdr:cNvPr id="117" name="AutoShape 14" descr="Story">
          <a:hlinkClick xmlns:r="http://schemas.openxmlformats.org/officeDocument/2006/relationships" r:id="rId4"/>
          <a:extLst>
            <a:ext uri="{FF2B5EF4-FFF2-40B4-BE49-F238E27FC236}">
              <a16:creationId xmlns:a16="http://schemas.microsoft.com/office/drawing/2014/main" id="{BDE3C64C-AE92-4FA2-81CF-0C26D618C8DD}"/>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xdr:row>
      <xdr:rowOff>0</xdr:rowOff>
    </xdr:from>
    <xdr:to>
      <xdr:col>0</xdr:col>
      <xdr:colOff>152400</xdr:colOff>
      <xdr:row>50</xdr:row>
      <xdr:rowOff>152400</xdr:rowOff>
    </xdr:to>
    <xdr:sp macro="" textlink="">
      <xdr:nvSpPr>
        <xdr:cNvPr id="118" name="AutoShape 15" descr="Story">
          <a:hlinkClick xmlns:r="http://schemas.openxmlformats.org/officeDocument/2006/relationships" r:id="rId4"/>
          <a:extLst>
            <a:ext uri="{FF2B5EF4-FFF2-40B4-BE49-F238E27FC236}">
              <a16:creationId xmlns:a16="http://schemas.microsoft.com/office/drawing/2014/main" id="{3993C00F-3994-47A1-A1E0-266DB2987CD2}"/>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46</xdr:row>
      <xdr:rowOff>0</xdr:rowOff>
    </xdr:from>
    <xdr:ext cx="152400" cy="152400"/>
    <xdr:sp macro="" textlink="">
      <xdr:nvSpPr>
        <xdr:cNvPr id="119" name="AutoShape 1" descr="Story">
          <a:hlinkClick xmlns:r="http://schemas.openxmlformats.org/officeDocument/2006/relationships" r:id="rId12"/>
          <a:extLst>
            <a:ext uri="{FF2B5EF4-FFF2-40B4-BE49-F238E27FC236}">
              <a16:creationId xmlns:a16="http://schemas.microsoft.com/office/drawing/2014/main" id="{F85216A8-EE23-4D14-B4EF-F01FF01135A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20" name="AutoShape 2" descr="Story">
          <a:hlinkClick xmlns:r="http://schemas.openxmlformats.org/officeDocument/2006/relationships" r:id="rId13"/>
          <a:extLst>
            <a:ext uri="{FF2B5EF4-FFF2-40B4-BE49-F238E27FC236}">
              <a16:creationId xmlns:a16="http://schemas.microsoft.com/office/drawing/2014/main" id="{B1895D20-4D56-4268-B81F-6F1607F70D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21" name="AutoShape 5" descr="Story">
          <a:hlinkClick xmlns:r="http://schemas.openxmlformats.org/officeDocument/2006/relationships" r:id="rId6"/>
          <a:extLst>
            <a:ext uri="{FF2B5EF4-FFF2-40B4-BE49-F238E27FC236}">
              <a16:creationId xmlns:a16="http://schemas.microsoft.com/office/drawing/2014/main" id="{871577E9-91A7-4D28-88AE-1A776FB3084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22" name="AutoShape 1" descr="Sub-task">
          <a:hlinkClick xmlns:r="http://schemas.openxmlformats.org/officeDocument/2006/relationships" r:id="rId14"/>
          <a:extLst>
            <a:ext uri="{FF2B5EF4-FFF2-40B4-BE49-F238E27FC236}">
              <a16:creationId xmlns:a16="http://schemas.microsoft.com/office/drawing/2014/main" id="{8D66C33E-D1EB-4DB0-8DC8-CEA752BF2BF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23" name="AutoShape 2" descr="Sub-task">
          <a:hlinkClick xmlns:r="http://schemas.openxmlformats.org/officeDocument/2006/relationships" r:id="rId15"/>
          <a:extLst>
            <a:ext uri="{FF2B5EF4-FFF2-40B4-BE49-F238E27FC236}">
              <a16:creationId xmlns:a16="http://schemas.microsoft.com/office/drawing/2014/main" id="{D4447AFF-F202-4D63-85EA-A102FCFF92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24" name="AutoShape 3" descr="Story">
          <a:hlinkClick xmlns:r="http://schemas.openxmlformats.org/officeDocument/2006/relationships" r:id="rId9"/>
          <a:extLst>
            <a:ext uri="{FF2B5EF4-FFF2-40B4-BE49-F238E27FC236}">
              <a16:creationId xmlns:a16="http://schemas.microsoft.com/office/drawing/2014/main" id="{F267C215-527F-48F4-876C-B2FEA66EAD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25" name="AutoShape 12" descr="Story">
          <a:hlinkClick xmlns:r="http://schemas.openxmlformats.org/officeDocument/2006/relationships" r:id="rId8"/>
          <a:extLst>
            <a:ext uri="{FF2B5EF4-FFF2-40B4-BE49-F238E27FC236}">
              <a16:creationId xmlns:a16="http://schemas.microsoft.com/office/drawing/2014/main" id="{2311EAF9-DC79-4D0C-86DC-A5758511FAB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26" name="AutoShape 1" descr="Story">
          <a:hlinkClick xmlns:r="http://schemas.openxmlformats.org/officeDocument/2006/relationships" r:id="rId7"/>
          <a:extLst>
            <a:ext uri="{FF2B5EF4-FFF2-40B4-BE49-F238E27FC236}">
              <a16:creationId xmlns:a16="http://schemas.microsoft.com/office/drawing/2014/main" id="{0FB724BF-E27A-413E-AB7C-BF10315F23E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27" name="AutoShape 1" descr="Story">
          <a:hlinkClick xmlns:r="http://schemas.openxmlformats.org/officeDocument/2006/relationships" r:id="rId7"/>
          <a:extLst>
            <a:ext uri="{FF2B5EF4-FFF2-40B4-BE49-F238E27FC236}">
              <a16:creationId xmlns:a16="http://schemas.microsoft.com/office/drawing/2014/main" id="{80ADF40D-44BB-4699-93C1-3D30FA543F6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28" name="AutoShape 3" descr="Story">
          <a:hlinkClick xmlns:r="http://schemas.openxmlformats.org/officeDocument/2006/relationships" r:id="rId4"/>
          <a:extLst>
            <a:ext uri="{FF2B5EF4-FFF2-40B4-BE49-F238E27FC236}">
              <a16:creationId xmlns:a16="http://schemas.microsoft.com/office/drawing/2014/main" id="{3B535F6F-4C7D-4519-90D7-AE0D51D382A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29" name="AutoShape 4" descr="Story">
          <a:hlinkClick xmlns:r="http://schemas.openxmlformats.org/officeDocument/2006/relationships" r:id="rId5"/>
          <a:extLst>
            <a:ext uri="{FF2B5EF4-FFF2-40B4-BE49-F238E27FC236}">
              <a16:creationId xmlns:a16="http://schemas.microsoft.com/office/drawing/2014/main" id="{806D29BA-A0FD-4635-A979-F415EB3CE87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30" name="AutoShape 1" descr="Story">
          <a:hlinkClick xmlns:r="http://schemas.openxmlformats.org/officeDocument/2006/relationships" r:id="rId12"/>
          <a:extLst>
            <a:ext uri="{FF2B5EF4-FFF2-40B4-BE49-F238E27FC236}">
              <a16:creationId xmlns:a16="http://schemas.microsoft.com/office/drawing/2014/main" id="{9EAE77CD-7EDE-45CF-9AF5-BF98631D6C0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31" name="AutoShape 2" descr="Story">
          <a:hlinkClick xmlns:r="http://schemas.openxmlformats.org/officeDocument/2006/relationships" r:id="rId13"/>
          <a:extLst>
            <a:ext uri="{FF2B5EF4-FFF2-40B4-BE49-F238E27FC236}">
              <a16:creationId xmlns:a16="http://schemas.microsoft.com/office/drawing/2014/main" id="{5D9E86CA-7561-40D8-B750-649194F6115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32" name="AutoShape 3" descr="Story">
          <a:hlinkClick xmlns:r="http://schemas.openxmlformats.org/officeDocument/2006/relationships" r:id="rId4"/>
          <a:extLst>
            <a:ext uri="{FF2B5EF4-FFF2-40B4-BE49-F238E27FC236}">
              <a16:creationId xmlns:a16="http://schemas.microsoft.com/office/drawing/2014/main" id="{966A71C4-F8AC-4DC4-8B29-C8B562DF2B8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33" name="AutoShape 4" descr="Story">
          <a:hlinkClick xmlns:r="http://schemas.openxmlformats.org/officeDocument/2006/relationships" r:id="rId5"/>
          <a:extLst>
            <a:ext uri="{FF2B5EF4-FFF2-40B4-BE49-F238E27FC236}">
              <a16:creationId xmlns:a16="http://schemas.microsoft.com/office/drawing/2014/main" id="{65DAAD37-6052-4452-96B7-317B9E1E9BF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34" name="AutoShape 5" descr="Story">
          <a:hlinkClick xmlns:r="http://schemas.openxmlformats.org/officeDocument/2006/relationships" r:id="rId6"/>
          <a:extLst>
            <a:ext uri="{FF2B5EF4-FFF2-40B4-BE49-F238E27FC236}">
              <a16:creationId xmlns:a16="http://schemas.microsoft.com/office/drawing/2014/main" id="{6BA6C020-EF25-4413-BFFF-01C4576134C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35" name="AutoShape 1" descr="Sub-task">
          <a:hlinkClick xmlns:r="http://schemas.openxmlformats.org/officeDocument/2006/relationships" r:id="rId14"/>
          <a:extLst>
            <a:ext uri="{FF2B5EF4-FFF2-40B4-BE49-F238E27FC236}">
              <a16:creationId xmlns:a16="http://schemas.microsoft.com/office/drawing/2014/main" id="{DF08680F-6AB0-421F-B0C5-FE2492FB93E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36" name="AutoShape 2" descr="Sub-task">
          <a:hlinkClick xmlns:r="http://schemas.openxmlformats.org/officeDocument/2006/relationships" r:id="rId15"/>
          <a:extLst>
            <a:ext uri="{FF2B5EF4-FFF2-40B4-BE49-F238E27FC236}">
              <a16:creationId xmlns:a16="http://schemas.microsoft.com/office/drawing/2014/main" id="{2A692BF3-035A-4101-809B-1F10B2C17E5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37" name="AutoShape 7" descr="Story">
          <a:hlinkClick xmlns:r="http://schemas.openxmlformats.org/officeDocument/2006/relationships" r:id="rId3"/>
          <a:extLst>
            <a:ext uri="{FF2B5EF4-FFF2-40B4-BE49-F238E27FC236}">
              <a16:creationId xmlns:a16="http://schemas.microsoft.com/office/drawing/2014/main" id="{4588A062-63CC-4CDF-A0EA-64084CCA188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38" name="AutoShape 3" descr="Story">
          <a:hlinkClick xmlns:r="http://schemas.openxmlformats.org/officeDocument/2006/relationships" r:id="rId9"/>
          <a:extLst>
            <a:ext uri="{FF2B5EF4-FFF2-40B4-BE49-F238E27FC236}">
              <a16:creationId xmlns:a16="http://schemas.microsoft.com/office/drawing/2014/main" id="{82E413E6-F6AB-4D0B-867A-B27BEF6D7C7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39" name="AutoShape 12" descr="Story">
          <a:hlinkClick xmlns:r="http://schemas.openxmlformats.org/officeDocument/2006/relationships" r:id="rId8"/>
          <a:extLst>
            <a:ext uri="{FF2B5EF4-FFF2-40B4-BE49-F238E27FC236}">
              <a16:creationId xmlns:a16="http://schemas.microsoft.com/office/drawing/2014/main" id="{077D0C9F-5532-4DE3-9DD3-DE18B97CF7F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40" name="AutoShape 1" descr="Story">
          <a:hlinkClick xmlns:r="http://schemas.openxmlformats.org/officeDocument/2006/relationships" r:id="rId7"/>
          <a:extLst>
            <a:ext uri="{FF2B5EF4-FFF2-40B4-BE49-F238E27FC236}">
              <a16:creationId xmlns:a16="http://schemas.microsoft.com/office/drawing/2014/main" id="{307B8507-1810-4A64-ADA6-1D0A3AFA3E5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41" name="AutoShape 1" descr="Story">
          <a:hlinkClick xmlns:r="http://schemas.openxmlformats.org/officeDocument/2006/relationships" r:id="rId7"/>
          <a:extLst>
            <a:ext uri="{FF2B5EF4-FFF2-40B4-BE49-F238E27FC236}">
              <a16:creationId xmlns:a16="http://schemas.microsoft.com/office/drawing/2014/main" id="{6606E2C5-D3A9-4691-A1EC-26478C11056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42" name="AutoShape 3" descr="Story">
          <a:hlinkClick xmlns:r="http://schemas.openxmlformats.org/officeDocument/2006/relationships" r:id="rId4"/>
          <a:extLst>
            <a:ext uri="{FF2B5EF4-FFF2-40B4-BE49-F238E27FC236}">
              <a16:creationId xmlns:a16="http://schemas.microsoft.com/office/drawing/2014/main" id="{CED1E7CB-BF40-4C00-B60C-052BC2FDC496}"/>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43" name="AutoShape 4" descr="Story">
          <a:hlinkClick xmlns:r="http://schemas.openxmlformats.org/officeDocument/2006/relationships" r:id="rId5"/>
          <a:extLst>
            <a:ext uri="{FF2B5EF4-FFF2-40B4-BE49-F238E27FC236}">
              <a16:creationId xmlns:a16="http://schemas.microsoft.com/office/drawing/2014/main" id="{1201EF51-880C-4524-8C24-7254DBA7D65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44" name="AutoShape 7" descr="Story">
          <a:hlinkClick xmlns:r="http://schemas.openxmlformats.org/officeDocument/2006/relationships" r:id="rId3"/>
          <a:extLst>
            <a:ext uri="{FF2B5EF4-FFF2-40B4-BE49-F238E27FC236}">
              <a16:creationId xmlns:a16="http://schemas.microsoft.com/office/drawing/2014/main" id="{9EDCFD76-A1C1-4CE5-845E-3232FFA9C8F8}"/>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45" name="AutoShape 8" descr="Story">
          <a:hlinkClick xmlns:r="http://schemas.openxmlformats.org/officeDocument/2006/relationships" r:id="rId4"/>
          <a:extLst>
            <a:ext uri="{FF2B5EF4-FFF2-40B4-BE49-F238E27FC236}">
              <a16:creationId xmlns:a16="http://schemas.microsoft.com/office/drawing/2014/main" id="{3D4C672F-3607-4FFB-AB7F-CB983DD7045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46" name="AutoShape 8" descr="Story">
          <a:hlinkClick xmlns:r="http://schemas.openxmlformats.org/officeDocument/2006/relationships" r:id="rId4"/>
          <a:extLst>
            <a:ext uri="{FF2B5EF4-FFF2-40B4-BE49-F238E27FC236}">
              <a16:creationId xmlns:a16="http://schemas.microsoft.com/office/drawing/2014/main" id="{426D54E0-8F9A-4F9B-AC52-71BFE38EF83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51</xdr:row>
      <xdr:rowOff>0</xdr:rowOff>
    </xdr:from>
    <xdr:to>
      <xdr:col>0</xdr:col>
      <xdr:colOff>152400</xdr:colOff>
      <xdr:row>51</xdr:row>
      <xdr:rowOff>152400</xdr:rowOff>
    </xdr:to>
    <xdr:sp macro="" textlink="">
      <xdr:nvSpPr>
        <xdr:cNvPr id="147" name="AutoShape 1" descr="Story">
          <a:hlinkClick xmlns:r="http://schemas.openxmlformats.org/officeDocument/2006/relationships" r:id="rId7"/>
          <a:extLst>
            <a:ext uri="{FF2B5EF4-FFF2-40B4-BE49-F238E27FC236}">
              <a16:creationId xmlns:a16="http://schemas.microsoft.com/office/drawing/2014/main" id="{87A8F580-3378-42E0-AF98-E410D9F93101}"/>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xdr:row>
      <xdr:rowOff>0</xdr:rowOff>
    </xdr:from>
    <xdr:to>
      <xdr:col>0</xdr:col>
      <xdr:colOff>152400</xdr:colOff>
      <xdr:row>50</xdr:row>
      <xdr:rowOff>152400</xdr:rowOff>
    </xdr:to>
    <xdr:sp macro="" textlink="">
      <xdr:nvSpPr>
        <xdr:cNvPr id="148" name="AutoShape 2" descr="Story">
          <a:hlinkClick xmlns:r="http://schemas.openxmlformats.org/officeDocument/2006/relationships" r:id="rId8"/>
          <a:extLst>
            <a:ext uri="{FF2B5EF4-FFF2-40B4-BE49-F238E27FC236}">
              <a16:creationId xmlns:a16="http://schemas.microsoft.com/office/drawing/2014/main" id="{90C2C3E5-3FE8-400C-87CE-2F9F8B51D3D8}"/>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xdr:row>
      <xdr:rowOff>0</xdr:rowOff>
    </xdr:from>
    <xdr:to>
      <xdr:col>0</xdr:col>
      <xdr:colOff>152400</xdr:colOff>
      <xdr:row>49</xdr:row>
      <xdr:rowOff>152400</xdr:rowOff>
    </xdr:to>
    <xdr:sp macro="" textlink="">
      <xdr:nvSpPr>
        <xdr:cNvPr id="149" name="AutoShape 3" descr="Story">
          <a:hlinkClick xmlns:r="http://schemas.openxmlformats.org/officeDocument/2006/relationships" r:id="rId9"/>
          <a:extLst>
            <a:ext uri="{FF2B5EF4-FFF2-40B4-BE49-F238E27FC236}">
              <a16:creationId xmlns:a16="http://schemas.microsoft.com/office/drawing/2014/main" id="{E3C5E9F8-F827-45A9-9C82-BE5FE6FCBC8A}"/>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150" name="AutoShape 4" descr="Bug">
          <a:hlinkClick xmlns:r="http://schemas.openxmlformats.org/officeDocument/2006/relationships" r:id="rId1"/>
          <a:extLst>
            <a:ext uri="{FF2B5EF4-FFF2-40B4-BE49-F238E27FC236}">
              <a16:creationId xmlns:a16="http://schemas.microsoft.com/office/drawing/2014/main" id="{C0A4763E-8C56-4E12-B107-5AC17B6D21D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xdr:row>
      <xdr:rowOff>0</xdr:rowOff>
    </xdr:from>
    <xdr:to>
      <xdr:col>0</xdr:col>
      <xdr:colOff>152400</xdr:colOff>
      <xdr:row>50</xdr:row>
      <xdr:rowOff>152400</xdr:rowOff>
    </xdr:to>
    <xdr:sp macro="" textlink="">
      <xdr:nvSpPr>
        <xdr:cNvPr id="151" name="AutoShape 5" descr="Story">
          <a:hlinkClick xmlns:r="http://schemas.openxmlformats.org/officeDocument/2006/relationships" r:id="rId10"/>
          <a:extLst>
            <a:ext uri="{FF2B5EF4-FFF2-40B4-BE49-F238E27FC236}">
              <a16:creationId xmlns:a16="http://schemas.microsoft.com/office/drawing/2014/main" id="{27C99EEA-7987-4929-8ECC-F0FCFACDDD7C}"/>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152" name="AutoShape 6" descr="Bug">
          <a:hlinkClick xmlns:r="http://schemas.openxmlformats.org/officeDocument/2006/relationships" r:id="rId2"/>
          <a:extLst>
            <a:ext uri="{FF2B5EF4-FFF2-40B4-BE49-F238E27FC236}">
              <a16:creationId xmlns:a16="http://schemas.microsoft.com/office/drawing/2014/main" id="{7B8B7FD8-E0AD-4B71-B016-57611E24413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153" name="AutoShape 7" descr="Story">
          <a:hlinkClick xmlns:r="http://schemas.openxmlformats.org/officeDocument/2006/relationships" r:id="rId3"/>
          <a:extLst>
            <a:ext uri="{FF2B5EF4-FFF2-40B4-BE49-F238E27FC236}">
              <a16:creationId xmlns:a16="http://schemas.microsoft.com/office/drawing/2014/main" id="{319C3DFD-F7DF-4D48-8C4A-8CC62442B62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154" name="AutoShape 8" descr="Story">
          <a:hlinkClick xmlns:r="http://schemas.openxmlformats.org/officeDocument/2006/relationships" r:id="rId4"/>
          <a:extLst>
            <a:ext uri="{FF2B5EF4-FFF2-40B4-BE49-F238E27FC236}">
              <a16:creationId xmlns:a16="http://schemas.microsoft.com/office/drawing/2014/main" id="{019B944F-3063-481B-9B35-FAD110DA6E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155" name="AutoShape 9" descr="Story">
          <a:hlinkClick xmlns:r="http://schemas.openxmlformats.org/officeDocument/2006/relationships" r:id="rId5"/>
          <a:extLst>
            <a:ext uri="{FF2B5EF4-FFF2-40B4-BE49-F238E27FC236}">
              <a16:creationId xmlns:a16="http://schemas.microsoft.com/office/drawing/2014/main" id="{0B4FF202-BC1B-4379-9886-0064B4AAD40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xdr:row>
      <xdr:rowOff>0</xdr:rowOff>
    </xdr:from>
    <xdr:to>
      <xdr:col>0</xdr:col>
      <xdr:colOff>152400</xdr:colOff>
      <xdr:row>47</xdr:row>
      <xdr:rowOff>152400</xdr:rowOff>
    </xdr:to>
    <xdr:sp macro="" textlink="">
      <xdr:nvSpPr>
        <xdr:cNvPr id="156" name="AutoShape 10" descr="Story">
          <a:hlinkClick xmlns:r="http://schemas.openxmlformats.org/officeDocument/2006/relationships" r:id="rId6"/>
          <a:extLst>
            <a:ext uri="{FF2B5EF4-FFF2-40B4-BE49-F238E27FC236}">
              <a16:creationId xmlns:a16="http://schemas.microsoft.com/office/drawing/2014/main" id="{7868562D-CDAE-4123-8A4A-375CFB0157F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xdr:row>
      <xdr:rowOff>0</xdr:rowOff>
    </xdr:from>
    <xdr:to>
      <xdr:col>0</xdr:col>
      <xdr:colOff>152400</xdr:colOff>
      <xdr:row>50</xdr:row>
      <xdr:rowOff>152400</xdr:rowOff>
    </xdr:to>
    <xdr:sp macro="" textlink="">
      <xdr:nvSpPr>
        <xdr:cNvPr id="157" name="AutoShape 11" descr="Story">
          <a:hlinkClick xmlns:r="http://schemas.openxmlformats.org/officeDocument/2006/relationships" r:id="rId11"/>
          <a:extLst>
            <a:ext uri="{FF2B5EF4-FFF2-40B4-BE49-F238E27FC236}">
              <a16:creationId xmlns:a16="http://schemas.microsoft.com/office/drawing/2014/main" id="{706A486F-2E10-49A3-BF8D-EB5A6D7ADB3F}"/>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xdr:row>
      <xdr:rowOff>0</xdr:rowOff>
    </xdr:from>
    <xdr:to>
      <xdr:col>0</xdr:col>
      <xdr:colOff>152400</xdr:colOff>
      <xdr:row>49</xdr:row>
      <xdr:rowOff>152400</xdr:rowOff>
    </xdr:to>
    <xdr:sp macro="" textlink="">
      <xdr:nvSpPr>
        <xdr:cNvPr id="158" name="AutoShape 12" descr="Story">
          <a:hlinkClick xmlns:r="http://schemas.openxmlformats.org/officeDocument/2006/relationships" r:id="rId8"/>
          <a:extLst>
            <a:ext uri="{FF2B5EF4-FFF2-40B4-BE49-F238E27FC236}">
              <a16:creationId xmlns:a16="http://schemas.microsoft.com/office/drawing/2014/main" id="{9E8E673B-3076-4884-A94C-A461D1C8DDB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0</xdr:col>
      <xdr:colOff>152400</xdr:colOff>
      <xdr:row>46</xdr:row>
      <xdr:rowOff>152400</xdr:rowOff>
    </xdr:to>
    <xdr:sp macro="" textlink="">
      <xdr:nvSpPr>
        <xdr:cNvPr id="159" name="AutoShape 13" descr="Story">
          <a:hlinkClick xmlns:r="http://schemas.openxmlformats.org/officeDocument/2006/relationships" r:id="rId4"/>
          <a:extLst>
            <a:ext uri="{FF2B5EF4-FFF2-40B4-BE49-F238E27FC236}">
              <a16:creationId xmlns:a16="http://schemas.microsoft.com/office/drawing/2014/main" id="{7A903D80-5614-499B-93AE-92AEDB8B8F2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xdr:row>
      <xdr:rowOff>0</xdr:rowOff>
    </xdr:from>
    <xdr:to>
      <xdr:col>0</xdr:col>
      <xdr:colOff>152400</xdr:colOff>
      <xdr:row>47</xdr:row>
      <xdr:rowOff>152400</xdr:rowOff>
    </xdr:to>
    <xdr:sp macro="" textlink="">
      <xdr:nvSpPr>
        <xdr:cNvPr id="160" name="AutoShape 14" descr="Story">
          <a:hlinkClick xmlns:r="http://schemas.openxmlformats.org/officeDocument/2006/relationships" r:id="rId4"/>
          <a:extLst>
            <a:ext uri="{FF2B5EF4-FFF2-40B4-BE49-F238E27FC236}">
              <a16:creationId xmlns:a16="http://schemas.microsoft.com/office/drawing/2014/main" id="{69720C13-06B3-4642-A564-CC0D3663E431}"/>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xdr:row>
      <xdr:rowOff>0</xdr:rowOff>
    </xdr:from>
    <xdr:to>
      <xdr:col>0</xdr:col>
      <xdr:colOff>152400</xdr:colOff>
      <xdr:row>50</xdr:row>
      <xdr:rowOff>152400</xdr:rowOff>
    </xdr:to>
    <xdr:sp macro="" textlink="">
      <xdr:nvSpPr>
        <xdr:cNvPr id="161" name="AutoShape 15" descr="Story">
          <a:hlinkClick xmlns:r="http://schemas.openxmlformats.org/officeDocument/2006/relationships" r:id="rId4"/>
          <a:extLst>
            <a:ext uri="{FF2B5EF4-FFF2-40B4-BE49-F238E27FC236}">
              <a16:creationId xmlns:a16="http://schemas.microsoft.com/office/drawing/2014/main" id="{F7E22C1D-9B55-4C4F-883A-C01EAF7A3386}"/>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46</xdr:row>
      <xdr:rowOff>0</xdr:rowOff>
    </xdr:from>
    <xdr:ext cx="152400" cy="152400"/>
    <xdr:sp macro="" textlink="">
      <xdr:nvSpPr>
        <xdr:cNvPr id="162" name="AutoShape 1" descr="Story">
          <a:hlinkClick xmlns:r="http://schemas.openxmlformats.org/officeDocument/2006/relationships" r:id="rId12"/>
          <a:extLst>
            <a:ext uri="{FF2B5EF4-FFF2-40B4-BE49-F238E27FC236}">
              <a16:creationId xmlns:a16="http://schemas.microsoft.com/office/drawing/2014/main" id="{E5381C9B-EEAF-4FFA-AF5F-4B543C9B710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63" name="AutoShape 2" descr="Story">
          <a:hlinkClick xmlns:r="http://schemas.openxmlformats.org/officeDocument/2006/relationships" r:id="rId13"/>
          <a:extLst>
            <a:ext uri="{FF2B5EF4-FFF2-40B4-BE49-F238E27FC236}">
              <a16:creationId xmlns:a16="http://schemas.microsoft.com/office/drawing/2014/main" id="{D0928E12-3E67-4048-B8E3-3A3FBF0CCB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64" name="AutoShape 5" descr="Story">
          <a:hlinkClick xmlns:r="http://schemas.openxmlformats.org/officeDocument/2006/relationships" r:id="rId6"/>
          <a:extLst>
            <a:ext uri="{FF2B5EF4-FFF2-40B4-BE49-F238E27FC236}">
              <a16:creationId xmlns:a16="http://schemas.microsoft.com/office/drawing/2014/main" id="{EA97F856-7703-4710-8114-C92374838E1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65" name="AutoShape 1" descr="Sub-task">
          <a:hlinkClick xmlns:r="http://schemas.openxmlformats.org/officeDocument/2006/relationships" r:id="rId14"/>
          <a:extLst>
            <a:ext uri="{FF2B5EF4-FFF2-40B4-BE49-F238E27FC236}">
              <a16:creationId xmlns:a16="http://schemas.microsoft.com/office/drawing/2014/main" id="{995B943D-EDF2-48EA-87D6-60B65BC67A4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66" name="AutoShape 2" descr="Sub-task">
          <a:hlinkClick xmlns:r="http://schemas.openxmlformats.org/officeDocument/2006/relationships" r:id="rId15"/>
          <a:extLst>
            <a:ext uri="{FF2B5EF4-FFF2-40B4-BE49-F238E27FC236}">
              <a16:creationId xmlns:a16="http://schemas.microsoft.com/office/drawing/2014/main" id="{8A5DAFD1-6858-4A0C-98AB-560136CE3C0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67" name="AutoShape 3" descr="Story">
          <a:hlinkClick xmlns:r="http://schemas.openxmlformats.org/officeDocument/2006/relationships" r:id="rId9"/>
          <a:extLst>
            <a:ext uri="{FF2B5EF4-FFF2-40B4-BE49-F238E27FC236}">
              <a16:creationId xmlns:a16="http://schemas.microsoft.com/office/drawing/2014/main" id="{E5F5A43C-17AA-4C1E-810F-37CEFF08D8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68" name="AutoShape 12" descr="Story">
          <a:hlinkClick xmlns:r="http://schemas.openxmlformats.org/officeDocument/2006/relationships" r:id="rId8"/>
          <a:extLst>
            <a:ext uri="{FF2B5EF4-FFF2-40B4-BE49-F238E27FC236}">
              <a16:creationId xmlns:a16="http://schemas.microsoft.com/office/drawing/2014/main" id="{FA304A61-2BF0-4B3D-8AB5-371C5E7D9FA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69" name="AutoShape 1" descr="Story">
          <a:hlinkClick xmlns:r="http://schemas.openxmlformats.org/officeDocument/2006/relationships" r:id="rId7"/>
          <a:extLst>
            <a:ext uri="{FF2B5EF4-FFF2-40B4-BE49-F238E27FC236}">
              <a16:creationId xmlns:a16="http://schemas.microsoft.com/office/drawing/2014/main" id="{4658D544-3581-4645-8484-3520F101E83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70" name="AutoShape 1" descr="Story">
          <a:hlinkClick xmlns:r="http://schemas.openxmlformats.org/officeDocument/2006/relationships" r:id="rId7"/>
          <a:extLst>
            <a:ext uri="{FF2B5EF4-FFF2-40B4-BE49-F238E27FC236}">
              <a16:creationId xmlns:a16="http://schemas.microsoft.com/office/drawing/2014/main" id="{8101C18B-B448-4CBC-945C-8DFDFE19135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71" name="AutoShape 3" descr="Story">
          <a:hlinkClick xmlns:r="http://schemas.openxmlformats.org/officeDocument/2006/relationships" r:id="rId4"/>
          <a:extLst>
            <a:ext uri="{FF2B5EF4-FFF2-40B4-BE49-F238E27FC236}">
              <a16:creationId xmlns:a16="http://schemas.microsoft.com/office/drawing/2014/main" id="{6E16B382-C9E5-453D-832B-6ACCD454E49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72" name="AutoShape 4" descr="Story">
          <a:hlinkClick xmlns:r="http://schemas.openxmlformats.org/officeDocument/2006/relationships" r:id="rId5"/>
          <a:extLst>
            <a:ext uri="{FF2B5EF4-FFF2-40B4-BE49-F238E27FC236}">
              <a16:creationId xmlns:a16="http://schemas.microsoft.com/office/drawing/2014/main" id="{6C4DC654-BAC5-45AF-8A07-FE9A6764613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73" name="AutoShape 1" descr="Story">
          <a:hlinkClick xmlns:r="http://schemas.openxmlformats.org/officeDocument/2006/relationships" r:id="rId12"/>
          <a:extLst>
            <a:ext uri="{FF2B5EF4-FFF2-40B4-BE49-F238E27FC236}">
              <a16:creationId xmlns:a16="http://schemas.microsoft.com/office/drawing/2014/main" id="{2AD3CE75-D443-4144-9237-AB4B040A9B46}"/>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74" name="AutoShape 2" descr="Story">
          <a:hlinkClick xmlns:r="http://schemas.openxmlformats.org/officeDocument/2006/relationships" r:id="rId13"/>
          <a:extLst>
            <a:ext uri="{FF2B5EF4-FFF2-40B4-BE49-F238E27FC236}">
              <a16:creationId xmlns:a16="http://schemas.microsoft.com/office/drawing/2014/main" id="{9E5E2FA8-FC12-45A8-B283-C9C18C3DD36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75" name="AutoShape 3" descr="Story">
          <a:hlinkClick xmlns:r="http://schemas.openxmlformats.org/officeDocument/2006/relationships" r:id="rId4"/>
          <a:extLst>
            <a:ext uri="{FF2B5EF4-FFF2-40B4-BE49-F238E27FC236}">
              <a16:creationId xmlns:a16="http://schemas.microsoft.com/office/drawing/2014/main" id="{160BC476-8697-474A-9694-933398B44E3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76" name="AutoShape 4" descr="Story">
          <a:hlinkClick xmlns:r="http://schemas.openxmlformats.org/officeDocument/2006/relationships" r:id="rId5"/>
          <a:extLst>
            <a:ext uri="{FF2B5EF4-FFF2-40B4-BE49-F238E27FC236}">
              <a16:creationId xmlns:a16="http://schemas.microsoft.com/office/drawing/2014/main" id="{E4305B21-0A4B-4D0B-8D69-1C814DE1176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77" name="AutoShape 5" descr="Story">
          <a:hlinkClick xmlns:r="http://schemas.openxmlformats.org/officeDocument/2006/relationships" r:id="rId6"/>
          <a:extLst>
            <a:ext uri="{FF2B5EF4-FFF2-40B4-BE49-F238E27FC236}">
              <a16:creationId xmlns:a16="http://schemas.microsoft.com/office/drawing/2014/main" id="{1A42F072-38D4-4F1D-BFE2-33CD35A1AF4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78" name="AutoShape 1" descr="Sub-task">
          <a:hlinkClick xmlns:r="http://schemas.openxmlformats.org/officeDocument/2006/relationships" r:id="rId14"/>
          <a:extLst>
            <a:ext uri="{FF2B5EF4-FFF2-40B4-BE49-F238E27FC236}">
              <a16:creationId xmlns:a16="http://schemas.microsoft.com/office/drawing/2014/main" id="{96C41C7E-2BE3-4DCB-A008-3043E6AF114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79" name="AutoShape 2" descr="Sub-task">
          <a:hlinkClick xmlns:r="http://schemas.openxmlformats.org/officeDocument/2006/relationships" r:id="rId15"/>
          <a:extLst>
            <a:ext uri="{FF2B5EF4-FFF2-40B4-BE49-F238E27FC236}">
              <a16:creationId xmlns:a16="http://schemas.microsoft.com/office/drawing/2014/main" id="{359D1D86-4A6C-4457-9F5F-66E57602010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80" name="AutoShape 7" descr="Story">
          <a:hlinkClick xmlns:r="http://schemas.openxmlformats.org/officeDocument/2006/relationships" r:id="rId3"/>
          <a:extLst>
            <a:ext uri="{FF2B5EF4-FFF2-40B4-BE49-F238E27FC236}">
              <a16:creationId xmlns:a16="http://schemas.microsoft.com/office/drawing/2014/main" id="{B5A6F418-EEF3-477D-A897-A0DD392259C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81" name="AutoShape 3" descr="Story">
          <a:hlinkClick xmlns:r="http://schemas.openxmlformats.org/officeDocument/2006/relationships" r:id="rId9"/>
          <a:extLst>
            <a:ext uri="{FF2B5EF4-FFF2-40B4-BE49-F238E27FC236}">
              <a16:creationId xmlns:a16="http://schemas.microsoft.com/office/drawing/2014/main" id="{C9DC186B-E660-4A66-8358-17508BC5683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82" name="AutoShape 12" descr="Story">
          <a:hlinkClick xmlns:r="http://schemas.openxmlformats.org/officeDocument/2006/relationships" r:id="rId8"/>
          <a:extLst>
            <a:ext uri="{FF2B5EF4-FFF2-40B4-BE49-F238E27FC236}">
              <a16:creationId xmlns:a16="http://schemas.microsoft.com/office/drawing/2014/main" id="{2398B0F7-57B0-4B4E-9690-388F9CD5C21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83" name="AutoShape 1" descr="Story">
          <a:hlinkClick xmlns:r="http://schemas.openxmlformats.org/officeDocument/2006/relationships" r:id="rId7"/>
          <a:extLst>
            <a:ext uri="{FF2B5EF4-FFF2-40B4-BE49-F238E27FC236}">
              <a16:creationId xmlns:a16="http://schemas.microsoft.com/office/drawing/2014/main" id="{6CF173F6-3756-4279-AD07-A82B425CA94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84" name="AutoShape 1" descr="Story">
          <a:hlinkClick xmlns:r="http://schemas.openxmlformats.org/officeDocument/2006/relationships" r:id="rId7"/>
          <a:extLst>
            <a:ext uri="{FF2B5EF4-FFF2-40B4-BE49-F238E27FC236}">
              <a16:creationId xmlns:a16="http://schemas.microsoft.com/office/drawing/2014/main" id="{61F83456-7D47-47BC-9222-094DC32653B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85" name="AutoShape 3" descr="Story">
          <a:hlinkClick xmlns:r="http://schemas.openxmlformats.org/officeDocument/2006/relationships" r:id="rId4"/>
          <a:extLst>
            <a:ext uri="{FF2B5EF4-FFF2-40B4-BE49-F238E27FC236}">
              <a16:creationId xmlns:a16="http://schemas.microsoft.com/office/drawing/2014/main" id="{7FA43A8C-A14B-48F9-B2F3-1148525B054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86" name="AutoShape 4" descr="Story">
          <a:hlinkClick xmlns:r="http://schemas.openxmlformats.org/officeDocument/2006/relationships" r:id="rId5"/>
          <a:extLst>
            <a:ext uri="{FF2B5EF4-FFF2-40B4-BE49-F238E27FC236}">
              <a16:creationId xmlns:a16="http://schemas.microsoft.com/office/drawing/2014/main" id="{58C3C310-B689-4035-A83C-332262749FC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152400" cy="152400"/>
    <xdr:sp macro="" textlink="">
      <xdr:nvSpPr>
        <xdr:cNvPr id="187" name="AutoShape 7" descr="Story">
          <a:hlinkClick xmlns:r="http://schemas.openxmlformats.org/officeDocument/2006/relationships" r:id="rId3"/>
          <a:extLst>
            <a:ext uri="{FF2B5EF4-FFF2-40B4-BE49-F238E27FC236}">
              <a16:creationId xmlns:a16="http://schemas.microsoft.com/office/drawing/2014/main" id="{AFE302D0-1287-4B79-A7D7-0AA8452D91B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88" name="AutoShape 8" descr="Story">
          <a:hlinkClick xmlns:r="http://schemas.openxmlformats.org/officeDocument/2006/relationships" r:id="rId4"/>
          <a:extLst>
            <a:ext uri="{FF2B5EF4-FFF2-40B4-BE49-F238E27FC236}">
              <a16:creationId xmlns:a16="http://schemas.microsoft.com/office/drawing/2014/main" id="{C446E0D8-4755-4F9E-BD99-3B790777D6B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46</xdr:row>
      <xdr:rowOff>0</xdr:rowOff>
    </xdr:from>
    <xdr:ext cx="152400" cy="152400"/>
    <xdr:sp macro="" textlink="">
      <xdr:nvSpPr>
        <xdr:cNvPr id="189" name="AutoShape 8" descr="Story">
          <a:hlinkClick xmlns:r="http://schemas.openxmlformats.org/officeDocument/2006/relationships" r:id="rId4"/>
          <a:extLst>
            <a:ext uri="{FF2B5EF4-FFF2-40B4-BE49-F238E27FC236}">
              <a16:creationId xmlns:a16="http://schemas.microsoft.com/office/drawing/2014/main" id="{5D99A24E-DEE3-4BD7-B7D5-62AAA31F43D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72</xdr:row>
      <xdr:rowOff>0</xdr:rowOff>
    </xdr:from>
    <xdr:to>
      <xdr:col>0</xdr:col>
      <xdr:colOff>152400</xdr:colOff>
      <xdr:row>72</xdr:row>
      <xdr:rowOff>152400</xdr:rowOff>
    </xdr:to>
    <xdr:sp macro="" textlink="">
      <xdr:nvSpPr>
        <xdr:cNvPr id="190" name="AutoShape 1" descr="Story">
          <a:hlinkClick xmlns:r="http://schemas.openxmlformats.org/officeDocument/2006/relationships" r:id="rId7"/>
          <a:extLst>
            <a:ext uri="{FF2B5EF4-FFF2-40B4-BE49-F238E27FC236}">
              <a16:creationId xmlns:a16="http://schemas.microsoft.com/office/drawing/2014/main" id="{F6B03F76-7408-4258-BE93-C14181E902E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191" name="AutoShape 2" descr="Story">
          <a:hlinkClick xmlns:r="http://schemas.openxmlformats.org/officeDocument/2006/relationships" r:id="rId8"/>
          <a:extLst>
            <a:ext uri="{FF2B5EF4-FFF2-40B4-BE49-F238E27FC236}">
              <a16:creationId xmlns:a16="http://schemas.microsoft.com/office/drawing/2014/main" id="{3ABF5DBE-A738-43C1-B21B-CAC4A9D709E8}"/>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152400</xdr:colOff>
      <xdr:row>69</xdr:row>
      <xdr:rowOff>152400</xdr:rowOff>
    </xdr:to>
    <xdr:sp macro="" textlink="">
      <xdr:nvSpPr>
        <xdr:cNvPr id="192" name="AutoShape 3" descr="Story">
          <a:hlinkClick xmlns:r="http://schemas.openxmlformats.org/officeDocument/2006/relationships" r:id="rId9"/>
          <a:extLst>
            <a:ext uri="{FF2B5EF4-FFF2-40B4-BE49-F238E27FC236}">
              <a16:creationId xmlns:a16="http://schemas.microsoft.com/office/drawing/2014/main" id="{0BEE1FCB-23E8-431E-A32F-3F916BFED07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193" name="AutoShape 4" descr="Bug">
          <a:hlinkClick xmlns:r="http://schemas.openxmlformats.org/officeDocument/2006/relationships" r:id="rId1"/>
          <a:extLst>
            <a:ext uri="{FF2B5EF4-FFF2-40B4-BE49-F238E27FC236}">
              <a16:creationId xmlns:a16="http://schemas.microsoft.com/office/drawing/2014/main" id="{5C23C2F4-B21C-46AB-AA8A-419466B6EEF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194" name="AutoShape 5" descr="Story">
          <a:hlinkClick xmlns:r="http://schemas.openxmlformats.org/officeDocument/2006/relationships" r:id="rId10"/>
          <a:extLst>
            <a:ext uri="{FF2B5EF4-FFF2-40B4-BE49-F238E27FC236}">
              <a16:creationId xmlns:a16="http://schemas.microsoft.com/office/drawing/2014/main" id="{62E9DD96-4CBF-42CB-8A6E-39E4CF5FC71F}"/>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195" name="AutoShape 6" descr="Bug">
          <a:hlinkClick xmlns:r="http://schemas.openxmlformats.org/officeDocument/2006/relationships" r:id="rId2"/>
          <a:extLst>
            <a:ext uri="{FF2B5EF4-FFF2-40B4-BE49-F238E27FC236}">
              <a16:creationId xmlns:a16="http://schemas.microsoft.com/office/drawing/2014/main" id="{F7ED90DA-7B43-433B-A68C-AC94A1A380A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196" name="AutoShape 7" descr="Story">
          <a:hlinkClick xmlns:r="http://schemas.openxmlformats.org/officeDocument/2006/relationships" r:id="rId3"/>
          <a:extLst>
            <a:ext uri="{FF2B5EF4-FFF2-40B4-BE49-F238E27FC236}">
              <a16:creationId xmlns:a16="http://schemas.microsoft.com/office/drawing/2014/main" id="{531CBFBD-EB04-480E-AA3E-ED6A8684C62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197" name="AutoShape 8" descr="Story">
          <a:hlinkClick xmlns:r="http://schemas.openxmlformats.org/officeDocument/2006/relationships" r:id="rId4"/>
          <a:extLst>
            <a:ext uri="{FF2B5EF4-FFF2-40B4-BE49-F238E27FC236}">
              <a16:creationId xmlns:a16="http://schemas.microsoft.com/office/drawing/2014/main" id="{DE7F0419-591A-4C79-BBD2-1A3D066B626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198" name="AutoShape 9" descr="Story">
          <a:hlinkClick xmlns:r="http://schemas.openxmlformats.org/officeDocument/2006/relationships" r:id="rId5"/>
          <a:extLst>
            <a:ext uri="{FF2B5EF4-FFF2-40B4-BE49-F238E27FC236}">
              <a16:creationId xmlns:a16="http://schemas.microsoft.com/office/drawing/2014/main" id="{C7CA9B7D-395F-4BE5-92D3-D0F353F8CFA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152400</xdr:colOff>
      <xdr:row>67</xdr:row>
      <xdr:rowOff>152400</xdr:rowOff>
    </xdr:to>
    <xdr:sp macro="" textlink="">
      <xdr:nvSpPr>
        <xdr:cNvPr id="199" name="AutoShape 10" descr="Story">
          <a:hlinkClick xmlns:r="http://schemas.openxmlformats.org/officeDocument/2006/relationships" r:id="rId6"/>
          <a:extLst>
            <a:ext uri="{FF2B5EF4-FFF2-40B4-BE49-F238E27FC236}">
              <a16:creationId xmlns:a16="http://schemas.microsoft.com/office/drawing/2014/main" id="{501152E1-11BD-49D6-A6E0-696F8B52D3D5}"/>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200" name="AutoShape 11" descr="Story">
          <a:hlinkClick xmlns:r="http://schemas.openxmlformats.org/officeDocument/2006/relationships" r:id="rId11"/>
          <a:extLst>
            <a:ext uri="{FF2B5EF4-FFF2-40B4-BE49-F238E27FC236}">
              <a16:creationId xmlns:a16="http://schemas.microsoft.com/office/drawing/2014/main" id="{EAF2AE96-3956-4E3A-97FC-5DEDD40661F2}"/>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152400</xdr:colOff>
      <xdr:row>69</xdr:row>
      <xdr:rowOff>152400</xdr:rowOff>
    </xdr:to>
    <xdr:sp macro="" textlink="">
      <xdr:nvSpPr>
        <xdr:cNvPr id="201" name="AutoShape 12" descr="Story">
          <a:hlinkClick xmlns:r="http://schemas.openxmlformats.org/officeDocument/2006/relationships" r:id="rId8"/>
          <a:extLst>
            <a:ext uri="{FF2B5EF4-FFF2-40B4-BE49-F238E27FC236}">
              <a16:creationId xmlns:a16="http://schemas.microsoft.com/office/drawing/2014/main" id="{17523ABC-B96A-4023-8F9F-C7D6CDB49C5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202" name="AutoShape 13" descr="Story">
          <a:hlinkClick xmlns:r="http://schemas.openxmlformats.org/officeDocument/2006/relationships" r:id="rId4"/>
          <a:extLst>
            <a:ext uri="{FF2B5EF4-FFF2-40B4-BE49-F238E27FC236}">
              <a16:creationId xmlns:a16="http://schemas.microsoft.com/office/drawing/2014/main" id="{A8E0041B-2F92-45A8-9ED7-F30143965CA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152400</xdr:colOff>
      <xdr:row>67</xdr:row>
      <xdr:rowOff>152400</xdr:rowOff>
    </xdr:to>
    <xdr:sp macro="" textlink="">
      <xdr:nvSpPr>
        <xdr:cNvPr id="203" name="AutoShape 14" descr="Story">
          <a:hlinkClick xmlns:r="http://schemas.openxmlformats.org/officeDocument/2006/relationships" r:id="rId4"/>
          <a:extLst>
            <a:ext uri="{FF2B5EF4-FFF2-40B4-BE49-F238E27FC236}">
              <a16:creationId xmlns:a16="http://schemas.microsoft.com/office/drawing/2014/main" id="{4DF95F0A-110E-4690-8557-27124C2629CE}"/>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204" name="AutoShape 15" descr="Story">
          <a:hlinkClick xmlns:r="http://schemas.openxmlformats.org/officeDocument/2006/relationships" r:id="rId4"/>
          <a:extLst>
            <a:ext uri="{FF2B5EF4-FFF2-40B4-BE49-F238E27FC236}">
              <a16:creationId xmlns:a16="http://schemas.microsoft.com/office/drawing/2014/main" id="{4F7417E3-5450-4515-BE73-54EF6A999DF4}"/>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66</xdr:row>
      <xdr:rowOff>0</xdr:rowOff>
    </xdr:from>
    <xdr:ext cx="152400" cy="152400"/>
    <xdr:sp macro="" textlink="">
      <xdr:nvSpPr>
        <xdr:cNvPr id="205" name="AutoShape 1" descr="Story">
          <a:hlinkClick xmlns:r="http://schemas.openxmlformats.org/officeDocument/2006/relationships" r:id="rId12"/>
          <a:extLst>
            <a:ext uri="{FF2B5EF4-FFF2-40B4-BE49-F238E27FC236}">
              <a16:creationId xmlns:a16="http://schemas.microsoft.com/office/drawing/2014/main" id="{563212FC-9E0F-4054-A54A-B4FCEFFECDD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06" name="AutoShape 2" descr="Story">
          <a:hlinkClick xmlns:r="http://schemas.openxmlformats.org/officeDocument/2006/relationships" r:id="rId13"/>
          <a:extLst>
            <a:ext uri="{FF2B5EF4-FFF2-40B4-BE49-F238E27FC236}">
              <a16:creationId xmlns:a16="http://schemas.microsoft.com/office/drawing/2014/main" id="{DB808FE0-2BCE-46F0-85CF-97EA071073D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07" name="AutoShape 5" descr="Story">
          <a:hlinkClick xmlns:r="http://schemas.openxmlformats.org/officeDocument/2006/relationships" r:id="rId6"/>
          <a:extLst>
            <a:ext uri="{FF2B5EF4-FFF2-40B4-BE49-F238E27FC236}">
              <a16:creationId xmlns:a16="http://schemas.microsoft.com/office/drawing/2014/main" id="{474C8703-DDAF-4926-8BCA-D6BAD648E2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08" name="AutoShape 1" descr="Sub-task">
          <a:hlinkClick xmlns:r="http://schemas.openxmlformats.org/officeDocument/2006/relationships" r:id="rId14"/>
          <a:extLst>
            <a:ext uri="{FF2B5EF4-FFF2-40B4-BE49-F238E27FC236}">
              <a16:creationId xmlns:a16="http://schemas.microsoft.com/office/drawing/2014/main" id="{E4749B08-ED38-4C12-B4B4-34E1465F020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09" name="AutoShape 2" descr="Sub-task">
          <a:hlinkClick xmlns:r="http://schemas.openxmlformats.org/officeDocument/2006/relationships" r:id="rId15"/>
          <a:extLst>
            <a:ext uri="{FF2B5EF4-FFF2-40B4-BE49-F238E27FC236}">
              <a16:creationId xmlns:a16="http://schemas.microsoft.com/office/drawing/2014/main" id="{21A66E77-AA5B-4770-8DDB-F51D3D7201B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10" name="AutoShape 3" descr="Story">
          <a:hlinkClick xmlns:r="http://schemas.openxmlformats.org/officeDocument/2006/relationships" r:id="rId9"/>
          <a:extLst>
            <a:ext uri="{FF2B5EF4-FFF2-40B4-BE49-F238E27FC236}">
              <a16:creationId xmlns:a16="http://schemas.microsoft.com/office/drawing/2014/main" id="{4DD38AD1-AF10-42B8-AC88-D4128499403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11" name="AutoShape 12" descr="Story">
          <a:hlinkClick xmlns:r="http://schemas.openxmlformats.org/officeDocument/2006/relationships" r:id="rId8"/>
          <a:extLst>
            <a:ext uri="{FF2B5EF4-FFF2-40B4-BE49-F238E27FC236}">
              <a16:creationId xmlns:a16="http://schemas.microsoft.com/office/drawing/2014/main" id="{48F8AC03-327C-4BEA-86C0-41959AD91F8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12" name="AutoShape 1" descr="Story">
          <a:hlinkClick xmlns:r="http://schemas.openxmlformats.org/officeDocument/2006/relationships" r:id="rId7"/>
          <a:extLst>
            <a:ext uri="{FF2B5EF4-FFF2-40B4-BE49-F238E27FC236}">
              <a16:creationId xmlns:a16="http://schemas.microsoft.com/office/drawing/2014/main" id="{7994EBE9-E097-4994-860E-934F1F57013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13" name="AutoShape 1" descr="Story">
          <a:hlinkClick xmlns:r="http://schemas.openxmlformats.org/officeDocument/2006/relationships" r:id="rId7"/>
          <a:extLst>
            <a:ext uri="{FF2B5EF4-FFF2-40B4-BE49-F238E27FC236}">
              <a16:creationId xmlns:a16="http://schemas.microsoft.com/office/drawing/2014/main" id="{AFBBFC60-8EC0-4FE7-90FE-F6A9275591C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14" name="AutoShape 3" descr="Story">
          <a:hlinkClick xmlns:r="http://schemas.openxmlformats.org/officeDocument/2006/relationships" r:id="rId4"/>
          <a:extLst>
            <a:ext uri="{FF2B5EF4-FFF2-40B4-BE49-F238E27FC236}">
              <a16:creationId xmlns:a16="http://schemas.microsoft.com/office/drawing/2014/main" id="{C1F08445-61F6-4FAC-838F-29FA8E5DC6C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15" name="AutoShape 4" descr="Story">
          <a:hlinkClick xmlns:r="http://schemas.openxmlformats.org/officeDocument/2006/relationships" r:id="rId5"/>
          <a:extLst>
            <a:ext uri="{FF2B5EF4-FFF2-40B4-BE49-F238E27FC236}">
              <a16:creationId xmlns:a16="http://schemas.microsoft.com/office/drawing/2014/main" id="{12B2643E-40A8-4066-B402-FE849D4286B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16" name="AutoShape 1" descr="Story">
          <a:hlinkClick xmlns:r="http://schemas.openxmlformats.org/officeDocument/2006/relationships" r:id="rId12"/>
          <a:extLst>
            <a:ext uri="{FF2B5EF4-FFF2-40B4-BE49-F238E27FC236}">
              <a16:creationId xmlns:a16="http://schemas.microsoft.com/office/drawing/2014/main" id="{B6C96D8F-C240-454A-BA51-4A0E689C911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17" name="AutoShape 2" descr="Story">
          <a:hlinkClick xmlns:r="http://schemas.openxmlformats.org/officeDocument/2006/relationships" r:id="rId13"/>
          <a:extLst>
            <a:ext uri="{FF2B5EF4-FFF2-40B4-BE49-F238E27FC236}">
              <a16:creationId xmlns:a16="http://schemas.microsoft.com/office/drawing/2014/main" id="{1CE34CB6-0156-4954-A495-C85FA3FA298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18" name="AutoShape 3" descr="Story">
          <a:hlinkClick xmlns:r="http://schemas.openxmlformats.org/officeDocument/2006/relationships" r:id="rId4"/>
          <a:extLst>
            <a:ext uri="{FF2B5EF4-FFF2-40B4-BE49-F238E27FC236}">
              <a16:creationId xmlns:a16="http://schemas.microsoft.com/office/drawing/2014/main" id="{88621173-53E5-464B-8C26-027B7D444B1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19" name="AutoShape 4" descr="Story">
          <a:hlinkClick xmlns:r="http://schemas.openxmlformats.org/officeDocument/2006/relationships" r:id="rId5"/>
          <a:extLst>
            <a:ext uri="{FF2B5EF4-FFF2-40B4-BE49-F238E27FC236}">
              <a16:creationId xmlns:a16="http://schemas.microsoft.com/office/drawing/2014/main" id="{D57DE596-5B59-4696-96A6-01C409A8CFC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20" name="AutoShape 5" descr="Story">
          <a:hlinkClick xmlns:r="http://schemas.openxmlformats.org/officeDocument/2006/relationships" r:id="rId6"/>
          <a:extLst>
            <a:ext uri="{FF2B5EF4-FFF2-40B4-BE49-F238E27FC236}">
              <a16:creationId xmlns:a16="http://schemas.microsoft.com/office/drawing/2014/main" id="{BF714E32-CB4F-4971-A6AB-AA78678C975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21" name="AutoShape 1" descr="Sub-task">
          <a:hlinkClick xmlns:r="http://schemas.openxmlformats.org/officeDocument/2006/relationships" r:id="rId14"/>
          <a:extLst>
            <a:ext uri="{FF2B5EF4-FFF2-40B4-BE49-F238E27FC236}">
              <a16:creationId xmlns:a16="http://schemas.microsoft.com/office/drawing/2014/main" id="{668A2130-558E-4D3C-810D-EF4C0F4C81C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22" name="AutoShape 2" descr="Sub-task">
          <a:hlinkClick xmlns:r="http://schemas.openxmlformats.org/officeDocument/2006/relationships" r:id="rId15"/>
          <a:extLst>
            <a:ext uri="{FF2B5EF4-FFF2-40B4-BE49-F238E27FC236}">
              <a16:creationId xmlns:a16="http://schemas.microsoft.com/office/drawing/2014/main" id="{92DA5BF1-5362-4001-BBF6-C35194D2A10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23" name="AutoShape 7" descr="Story">
          <a:hlinkClick xmlns:r="http://schemas.openxmlformats.org/officeDocument/2006/relationships" r:id="rId3"/>
          <a:extLst>
            <a:ext uri="{FF2B5EF4-FFF2-40B4-BE49-F238E27FC236}">
              <a16:creationId xmlns:a16="http://schemas.microsoft.com/office/drawing/2014/main" id="{4BD93BED-6EF5-4E32-8B9A-E6DC51F0A41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24" name="AutoShape 3" descr="Story">
          <a:hlinkClick xmlns:r="http://schemas.openxmlformats.org/officeDocument/2006/relationships" r:id="rId9"/>
          <a:extLst>
            <a:ext uri="{FF2B5EF4-FFF2-40B4-BE49-F238E27FC236}">
              <a16:creationId xmlns:a16="http://schemas.microsoft.com/office/drawing/2014/main" id="{1C62E75E-2C15-4400-82A3-8858B2C32533}"/>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25" name="AutoShape 12" descr="Story">
          <a:hlinkClick xmlns:r="http://schemas.openxmlformats.org/officeDocument/2006/relationships" r:id="rId8"/>
          <a:extLst>
            <a:ext uri="{FF2B5EF4-FFF2-40B4-BE49-F238E27FC236}">
              <a16:creationId xmlns:a16="http://schemas.microsoft.com/office/drawing/2014/main" id="{994FA2B6-3E58-41E0-86C4-8B4E1700F78A}"/>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26" name="AutoShape 1" descr="Story">
          <a:hlinkClick xmlns:r="http://schemas.openxmlformats.org/officeDocument/2006/relationships" r:id="rId7"/>
          <a:extLst>
            <a:ext uri="{FF2B5EF4-FFF2-40B4-BE49-F238E27FC236}">
              <a16:creationId xmlns:a16="http://schemas.microsoft.com/office/drawing/2014/main" id="{0842F634-6357-4951-A349-EF328102C014}"/>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27" name="AutoShape 1" descr="Story">
          <a:hlinkClick xmlns:r="http://schemas.openxmlformats.org/officeDocument/2006/relationships" r:id="rId7"/>
          <a:extLst>
            <a:ext uri="{FF2B5EF4-FFF2-40B4-BE49-F238E27FC236}">
              <a16:creationId xmlns:a16="http://schemas.microsoft.com/office/drawing/2014/main" id="{0722FCDC-C276-45C1-AF8D-929D77C9A75A}"/>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28" name="AutoShape 3" descr="Story">
          <a:hlinkClick xmlns:r="http://schemas.openxmlformats.org/officeDocument/2006/relationships" r:id="rId4"/>
          <a:extLst>
            <a:ext uri="{FF2B5EF4-FFF2-40B4-BE49-F238E27FC236}">
              <a16:creationId xmlns:a16="http://schemas.microsoft.com/office/drawing/2014/main" id="{009F79A1-894F-4809-967F-9C67AE5CE70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29" name="AutoShape 4" descr="Story">
          <a:hlinkClick xmlns:r="http://schemas.openxmlformats.org/officeDocument/2006/relationships" r:id="rId5"/>
          <a:extLst>
            <a:ext uri="{FF2B5EF4-FFF2-40B4-BE49-F238E27FC236}">
              <a16:creationId xmlns:a16="http://schemas.microsoft.com/office/drawing/2014/main" id="{4401A001-69BD-4483-8703-F8BFF6EE419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30" name="AutoShape 7" descr="Story">
          <a:hlinkClick xmlns:r="http://schemas.openxmlformats.org/officeDocument/2006/relationships" r:id="rId3"/>
          <a:extLst>
            <a:ext uri="{FF2B5EF4-FFF2-40B4-BE49-F238E27FC236}">
              <a16:creationId xmlns:a16="http://schemas.microsoft.com/office/drawing/2014/main" id="{F7A6D5F5-87A0-478D-B231-3AEBBAF73D0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31" name="AutoShape 8" descr="Story">
          <a:hlinkClick xmlns:r="http://schemas.openxmlformats.org/officeDocument/2006/relationships" r:id="rId4"/>
          <a:extLst>
            <a:ext uri="{FF2B5EF4-FFF2-40B4-BE49-F238E27FC236}">
              <a16:creationId xmlns:a16="http://schemas.microsoft.com/office/drawing/2014/main" id="{7B3B5354-056B-4481-ACA8-0DE1A4AF395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32" name="AutoShape 8" descr="Story">
          <a:hlinkClick xmlns:r="http://schemas.openxmlformats.org/officeDocument/2006/relationships" r:id="rId4"/>
          <a:extLst>
            <a:ext uri="{FF2B5EF4-FFF2-40B4-BE49-F238E27FC236}">
              <a16:creationId xmlns:a16="http://schemas.microsoft.com/office/drawing/2014/main" id="{A9C5A375-CABC-4FEF-A9B9-CAE9E08B7A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71</xdr:row>
      <xdr:rowOff>0</xdr:rowOff>
    </xdr:from>
    <xdr:to>
      <xdr:col>0</xdr:col>
      <xdr:colOff>152400</xdr:colOff>
      <xdr:row>71</xdr:row>
      <xdr:rowOff>152400</xdr:rowOff>
    </xdr:to>
    <xdr:sp macro="" textlink="">
      <xdr:nvSpPr>
        <xdr:cNvPr id="233" name="AutoShape 1" descr="Story">
          <a:hlinkClick xmlns:r="http://schemas.openxmlformats.org/officeDocument/2006/relationships" r:id="rId7"/>
          <a:extLst>
            <a:ext uri="{FF2B5EF4-FFF2-40B4-BE49-F238E27FC236}">
              <a16:creationId xmlns:a16="http://schemas.microsoft.com/office/drawing/2014/main" id="{995D5AE5-BF1A-4DDB-88EE-7390D6162636}"/>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234" name="AutoShape 2" descr="Story">
          <a:hlinkClick xmlns:r="http://schemas.openxmlformats.org/officeDocument/2006/relationships" r:id="rId8"/>
          <a:extLst>
            <a:ext uri="{FF2B5EF4-FFF2-40B4-BE49-F238E27FC236}">
              <a16:creationId xmlns:a16="http://schemas.microsoft.com/office/drawing/2014/main" id="{3B6052CB-65B4-450F-92BB-F650E4B54A35}"/>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152400</xdr:colOff>
      <xdr:row>69</xdr:row>
      <xdr:rowOff>152400</xdr:rowOff>
    </xdr:to>
    <xdr:sp macro="" textlink="">
      <xdr:nvSpPr>
        <xdr:cNvPr id="235" name="AutoShape 3" descr="Story">
          <a:hlinkClick xmlns:r="http://schemas.openxmlformats.org/officeDocument/2006/relationships" r:id="rId9"/>
          <a:extLst>
            <a:ext uri="{FF2B5EF4-FFF2-40B4-BE49-F238E27FC236}">
              <a16:creationId xmlns:a16="http://schemas.microsoft.com/office/drawing/2014/main" id="{186FA4B3-048B-474B-A9B3-7D56F1658CC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236" name="AutoShape 4" descr="Bug">
          <a:hlinkClick xmlns:r="http://schemas.openxmlformats.org/officeDocument/2006/relationships" r:id="rId1"/>
          <a:extLst>
            <a:ext uri="{FF2B5EF4-FFF2-40B4-BE49-F238E27FC236}">
              <a16:creationId xmlns:a16="http://schemas.microsoft.com/office/drawing/2014/main" id="{E575DA54-AB88-41F3-A3FA-ED56A920DCA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237" name="AutoShape 5" descr="Story">
          <a:hlinkClick xmlns:r="http://schemas.openxmlformats.org/officeDocument/2006/relationships" r:id="rId10"/>
          <a:extLst>
            <a:ext uri="{FF2B5EF4-FFF2-40B4-BE49-F238E27FC236}">
              <a16:creationId xmlns:a16="http://schemas.microsoft.com/office/drawing/2014/main" id="{1533A349-1FF3-4EBB-802B-D81EA6E7F63E}"/>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238" name="AutoShape 6" descr="Bug">
          <a:hlinkClick xmlns:r="http://schemas.openxmlformats.org/officeDocument/2006/relationships" r:id="rId2"/>
          <a:extLst>
            <a:ext uri="{FF2B5EF4-FFF2-40B4-BE49-F238E27FC236}">
              <a16:creationId xmlns:a16="http://schemas.microsoft.com/office/drawing/2014/main" id="{2B46DB8A-31C8-4523-9064-1C410710C25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239" name="AutoShape 7" descr="Story">
          <a:hlinkClick xmlns:r="http://schemas.openxmlformats.org/officeDocument/2006/relationships" r:id="rId3"/>
          <a:extLst>
            <a:ext uri="{FF2B5EF4-FFF2-40B4-BE49-F238E27FC236}">
              <a16:creationId xmlns:a16="http://schemas.microsoft.com/office/drawing/2014/main" id="{99BE3F16-2641-480E-BE2F-C5FB3F3FC76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240" name="AutoShape 8" descr="Story">
          <a:hlinkClick xmlns:r="http://schemas.openxmlformats.org/officeDocument/2006/relationships" r:id="rId4"/>
          <a:extLst>
            <a:ext uri="{FF2B5EF4-FFF2-40B4-BE49-F238E27FC236}">
              <a16:creationId xmlns:a16="http://schemas.microsoft.com/office/drawing/2014/main" id="{B33E8B26-8C4E-4281-AEB5-60E989C6077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241" name="AutoShape 9" descr="Story">
          <a:hlinkClick xmlns:r="http://schemas.openxmlformats.org/officeDocument/2006/relationships" r:id="rId5"/>
          <a:extLst>
            <a:ext uri="{FF2B5EF4-FFF2-40B4-BE49-F238E27FC236}">
              <a16:creationId xmlns:a16="http://schemas.microsoft.com/office/drawing/2014/main" id="{7805C81F-A6B9-49B5-B36B-DC1FE7A2A3E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152400</xdr:colOff>
      <xdr:row>67</xdr:row>
      <xdr:rowOff>152400</xdr:rowOff>
    </xdr:to>
    <xdr:sp macro="" textlink="">
      <xdr:nvSpPr>
        <xdr:cNvPr id="242" name="AutoShape 10" descr="Story">
          <a:hlinkClick xmlns:r="http://schemas.openxmlformats.org/officeDocument/2006/relationships" r:id="rId6"/>
          <a:extLst>
            <a:ext uri="{FF2B5EF4-FFF2-40B4-BE49-F238E27FC236}">
              <a16:creationId xmlns:a16="http://schemas.microsoft.com/office/drawing/2014/main" id="{05B094D2-D3E8-4904-AC12-BC1031ED92A8}"/>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243" name="AutoShape 11" descr="Story">
          <a:hlinkClick xmlns:r="http://schemas.openxmlformats.org/officeDocument/2006/relationships" r:id="rId11"/>
          <a:extLst>
            <a:ext uri="{FF2B5EF4-FFF2-40B4-BE49-F238E27FC236}">
              <a16:creationId xmlns:a16="http://schemas.microsoft.com/office/drawing/2014/main" id="{CF6FC4FA-AA1A-430C-9C20-3188A49394BB}"/>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152400</xdr:colOff>
      <xdr:row>69</xdr:row>
      <xdr:rowOff>152400</xdr:rowOff>
    </xdr:to>
    <xdr:sp macro="" textlink="">
      <xdr:nvSpPr>
        <xdr:cNvPr id="244" name="AutoShape 12" descr="Story">
          <a:hlinkClick xmlns:r="http://schemas.openxmlformats.org/officeDocument/2006/relationships" r:id="rId8"/>
          <a:extLst>
            <a:ext uri="{FF2B5EF4-FFF2-40B4-BE49-F238E27FC236}">
              <a16:creationId xmlns:a16="http://schemas.microsoft.com/office/drawing/2014/main" id="{57F8FEB0-4104-4240-A281-5043F3CE014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245" name="AutoShape 13" descr="Story">
          <a:hlinkClick xmlns:r="http://schemas.openxmlformats.org/officeDocument/2006/relationships" r:id="rId4"/>
          <a:extLst>
            <a:ext uri="{FF2B5EF4-FFF2-40B4-BE49-F238E27FC236}">
              <a16:creationId xmlns:a16="http://schemas.microsoft.com/office/drawing/2014/main" id="{603848C6-6378-4016-A3FF-87641EB096D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152400</xdr:colOff>
      <xdr:row>67</xdr:row>
      <xdr:rowOff>152400</xdr:rowOff>
    </xdr:to>
    <xdr:sp macro="" textlink="">
      <xdr:nvSpPr>
        <xdr:cNvPr id="246" name="AutoShape 14" descr="Story">
          <a:hlinkClick xmlns:r="http://schemas.openxmlformats.org/officeDocument/2006/relationships" r:id="rId4"/>
          <a:extLst>
            <a:ext uri="{FF2B5EF4-FFF2-40B4-BE49-F238E27FC236}">
              <a16:creationId xmlns:a16="http://schemas.microsoft.com/office/drawing/2014/main" id="{0C70BBD3-B787-481E-92AB-D4599524185B}"/>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247" name="AutoShape 15" descr="Story">
          <a:hlinkClick xmlns:r="http://schemas.openxmlformats.org/officeDocument/2006/relationships" r:id="rId4"/>
          <a:extLst>
            <a:ext uri="{FF2B5EF4-FFF2-40B4-BE49-F238E27FC236}">
              <a16:creationId xmlns:a16="http://schemas.microsoft.com/office/drawing/2014/main" id="{D89C8C33-B1D0-4F40-B1D5-A1E255F52722}"/>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66</xdr:row>
      <xdr:rowOff>0</xdr:rowOff>
    </xdr:from>
    <xdr:ext cx="152400" cy="152400"/>
    <xdr:sp macro="" textlink="">
      <xdr:nvSpPr>
        <xdr:cNvPr id="248" name="AutoShape 1" descr="Story">
          <a:hlinkClick xmlns:r="http://schemas.openxmlformats.org/officeDocument/2006/relationships" r:id="rId12"/>
          <a:extLst>
            <a:ext uri="{FF2B5EF4-FFF2-40B4-BE49-F238E27FC236}">
              <a16:creationId xmlns:a16="http://schemas.microsoft.com/office/drawing/2014/main" id="{55CADF46-2BD3-4134-9FC5-577195F946A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49" name="AutoShape 2" descr="Story">
          <a:hlinkClick xmlns:r="http://schemas.openxmlformats.org/officeDocument/2006/relationships" r:id="rId13"/>
          <a:extLst>
            <a:ext uri="{FF2B5EF4-FFF2-40B4-BE49-F238E27FC236}">
              <a16:creationId xmlns:a16="http://schemas.microsoft.com/office/drawing/2014/main" id="{CF63B501-604E-4493-B617-0AA6D1C92BC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50" name="AutoShape 5" descr="Story">
          <a:hlinkClick xmlns:r="http://schemas.openxmlformats.org/officeDocument/2006/relationships" r:id="rId6"/>
          <a:extLst>
            <a:ext uri="{FF2B5EF4-FFF2-40B4-BE49-F238E27FC236}">
              <a16:creationId xmlns:a16="http://schemas.microsoft.com/office/drawing/2014/main" id="{EA9D3E7E-578C-40B2-B860-7C9B74F7661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51" name="AutoShape 1" descr="Sub-task">
          <a:hlinkClick xmlns:r="http://schemas.openxmlformats.org/officeDocument/2006/relationships" r:id="rId14"/>
          <a:extLst>
            <a:ext uri="{FF2B5EF4-FFF2-40B4-BE49-F238E27FC236}">
              <a16:creationId xmlns:a16="http://schemas.microsoft.com/office/drawing/2014/main" id="{6FC6B5B6-441E-4156-94FE-8C874A52D6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52" name="AutoShape 2" descr="Sub-task">
          <a:hlinkClick xmlns:r="http://schemas.openxmlformats.org/officeDocument/2006/relationships" r:id="rId15"/>
          <a:extLst>
            <a:ext uri="{FF2B5EF4-FFF2-40B4-BE49-F238E27FC236}">
              <a16:creationId xmlns:a16="http://schemas.microsoft.com/office/drawing/2014/main" id="{B375855F-4CF3-4A45-973B-B2459544CAD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53" name="AutoShape 3" descr="Story">
          <a:hlinkClick xmlns:r="http://schemas.openxmlformats.org/officeDocument/2006/relationships" r:id="rId9"/>
          <a:extLst>
            <a:ext uri="{FF2B5EF4-FFF2-40B4-BE49-F238E27FC236}">
              <a16:creationId xmlns:a16="http://schemas.microsoft.com/office/drawing/2014/main" id="{58470B44-1DD8-4142-A06D-B997F74A379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54" name="AutoShape 12" descr="Story">
          <a:hlinkClick xmlns:r="http://schemas.openxmlformats.org/officeDocument/2006/relationships" r:id="rId8"/>
          <a:extLst>
            <a:ext uri="{FF2B5EF4-FFF2-40B4-BE49-F238E27FC236}">
              <a16:creationId xmlns:a16="http://schemas.microsoft.com/office/drawing/2014/main" id="{E88CF5AF-7862-431E-8A83-FEFC62BBB6E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55" name="AutoShape 1" descr="Story">
          <a:hlinkClick xmlns:r="http://schemas.openxmlformats.org/officeDocument/2006/relationships" r:id="rId7"/>
          <a:extLst>
            <a:ext uri="{FF2B5EF4-FFF2-40B4-BE49-F238E27FC236}">
              <a16:creationId xmlns:a16="http://schemas.microsoft.com/office/drawing/2014/main" id="{89D3F51D-FA95-48CF-8956-CDAF0684EA4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56" name="AutoShape 1" descr="Story">
          <a:hlinkClick xmlns:r="http://schemas.openxmlformats.org/officeDocument/2006/relationships" r:id="rId7"/>
          <a:extLst>
            <a:ext uri="{FF2B5EF4-FFF2-40B4-BE49-F238E27FC236}">
              <a16:creationId xmlns:a16="http://schemas.microsoft.com/office/drawing/2014/main" id="{1C45933A-437D-4B4A-A5A2-9934D7AC839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57" name="AutoShape 3" descr="Story">
          <a:hlinkClick xmlns:r="http://schemas.openxmlformats.org/officeDocument/2006/relationships" r:id="rId4"/>
          <a:extLst>
            <a:ext uri="{FF2B5EF4-FFF2-40B4-BE49-F238E27FC236}">
              <a16:creationId xmlns:a16="http://schemas.microsoft.com/office/drawing/2014/main" id="{3107172D-C176-46AA-952E-42E424EE496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58" name="AutoShape 4" descr="Story">
          <a:hlinkClick xmlns:r="http://schemas.openxmlformats.org/officeDocument/2006/relationships" r:id="rId5"/>
          <a:extLst>
            <a:ext uri="{FF2B5EF4-FFF2-40B4-BE49-F238E27FC236}">
              <a16:creationId xmlns:a16="http://schemas.microsoft.com/office/drawing/2014/main" id="{9094D5A8-05C8-41D9-B939-7FD40148D11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59" name="AutoShape 1" descr="Story">
          <a:hlinkClick xmlns:r="http://schemas.openxmlformats.org/officeDocument/2006/relationships" r:id="rId12"/>
          <a:extLst>
            <a:ext uri="{FF2B5EF4-FFF2-40B4-BE49-F238E27FC236}">
              <a16:creationId xmlns:a16="http://schemas.microsoft.com/office/drawing/2014/main" id="{9F12686C-D499-4690-9009-EC7DFB37176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60" name="AutoShape 2" descr="Story">
          <a:hlinkClick xmlns:r="http://schemas.openxmlformats.org/officeDocument/2006/relationships" r:id="rId13"/>
          <a:extLst>
            <a:ext uri="{FF2B5EF4-FFF2-40B4-BE49-F238E27FC236}">
              <a16:creationId xmlns:a16="http://schemas.microsoft.com/office/drawing/2014/main" id="{6F5472E9-B3C0-4434-A5FC-E2DC57E7331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61" name="AutoShape 3" descr="Story">
          <a:hlinkClick xmlns:r="http://schemas.openxmlformats.org/officeDocument/2006/relationships" r:id="rId4"/>
          <a:extLst>
            <a:ext uri="{FF2B5EF4-FFF2-40B4-BE49-F238E27FC236}">
              <a16:creationId xmlns:a16="http://schemas.microsoft.com/office/drawing/2014/main" id="{2DC8AD67-5822-4FC8-85CC-C91E9D4B5F7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62" name="AutoShape 4" descr="Story">
          <a:hlinkClick xmlns:r="http://schemas.openxmlformats.org/officeDocument/2006/relationships" r:id="rId5"/>
          <a:extLst>
            <a:ext uri="{FF2B5EF4-FFF2-40B4-BE49-F238E27FC236}">
              <a16:creationId xmlns:a16="http://schemas.microsoft.com/office/drawing/2014/main" id="{D57E2FCE-FACB-423B-9405-DA901011180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63" name="AutoShape 5" descr="Story">
          <a:hlinkClick xmlns:r="http://schemas.openxmlformats.org/officeDocument/2006/relationships" r:id="rId6"/>
          <a:extLst>
            <a:ext uri="{FF2B5EF4-FFF2-40B4-BE49-F238E27FC236}">
              <a16:creationId xmlns:a16="http://schemas.microsoft.com/office/drawing/2014/main" id="{38C464E2-8672-41D2-B2DA-B693280D091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64" name="AutoShape 1" descr="Sub-task">
          <a:hlinkClick xmlns:r="http://schemas.openxmlformats.org/officeDocument/2006/relationships" r:id="rId14"/>
          <a:extLst>
            <a:ext uri="{FF2B5EF4-FFF2-40B4-BE49-F238E27FC236}">
              <a16:creationId xmlns:a16="http://schemas.microsoft.com/office/drawing/2014/main" id="{DB384902-B4BF-4529-94ED-9B26EA1F36C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65" name="AutoShape 2" descr="Sub-task">
          <a:hlinkClick xmlns:r="http://schemas.openxmlformats.org/officeDocument/2006/relationships" r:id="rId15"/>
          <a:extLst>
            <a:ext uri="{FF2B5EF4-FFF2-40B4-BE49-F238E27FC236}">
              <a16:creationId xmlns:a16="http://schemas.microsoft.com/office/drawing/2014/main" id="{8AD6A055-A121-4C7A-8FEA-CD302C7790B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66" name="AutoShape 7" descr="Story">
          <a:hlinkClick xmlns:r="http://schemas.openxmlformats.org/officeDocument/2006/relationships" r:id="rId3"/>
          <a:extLst>
            <a:ext uri="{FF2B5EF4-FFF2-40B4-BE49-F238E27FC236}">
              <a16:creationId xmlns:a16="http://schemas.microsoft.com/office/drawing/2014/main" id="{8C4674AF-1F51-4513-A342-CC63362C97D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67" name="AutoShape 3" descr="Story">
          <a:hlinkClick xmlns:r="http://schemas.openxmlformats.org/officeDocument/2006/relationships" r:id="rId9"/>
          <a:extLst>
            <a:ext uri="{FF2B5EF4-FFF2-40B4-BE49-F238E27FC236}">
              <a16:creationId xmlns:a16="http://schemas.microsoft.com/office/drawing/2014/main" id="{6D5DC3F9-409E-4E1B-8955-5A1FCECBB1B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68" name="AutoShape 12" descr="Story">
          <a:hlinkClick xmlns:r="http://schemas.openxmlformats.org/officeDocument/2006/relationships" r:id="rId8"/>
          <a:extLst>
            <a:ext uri="{FF2B5EF4-FFF2-40B4-BE49-F238E27FC236}">
              <a16:creationId xmlns:a16="http://schemas.microsoft.com/office/drawing/2014/main" id="{D8082F9E-EF68-4905-9449-A97E57767B58}"/>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69" name="AutoShape 1" descr="Story">
          <a:hlinkClick xmlns:r="http://schemas.openxmlformats.org/officeDocument/2006/relationships" r:id="rId7"/>
          <a:extLst>
            <a:ext uri="{FF2B5EF4-FFF2-40B4-BE49-F238E27FC236}">
              <a16:creationId xmlns:a16="http://schemas.microsoft.com/office/drawing/2014/main" id="{884F9E3B-8E12-4238-A0EA-BC999034AF6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70" name="AutoShape 1" descr="Story">
          <a:hlinkClick xmlns:r="http://schemas.openxmlformats.org/officeDocument/2006/relationships" r:id="rId7"/>
          <a:extLst>
            <a:ext uri="{FF2B5EF4-FFF2-40B4-BE49-F238E27FC236}">
              <a16:creationId xmlns:a16="http://schemas.microsoft.com/office/drawing/2014/main" id="{6D3FA8A7-0E95-4F52-A0F4-862B41ECFFE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71" name="AutoShape 3" descr="Story">
          <a:hlinkClick xmlns:r="http://schemas.openxmlformats.org/officeDocument/2006/relationships" r:id="rId4"/>
          <a:extLst>
            <a:ext uri="{FF2B5EF4-FFF2-40B4-BE49-F238E27FC236}">
              <a16:creationId xmlns:a16="http://schemas.microsoft.com/office/drawing/2014/main" id="{9E67B1C2-28E8-4509-9271-D5D94CFBFE4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72" name="AutoShape 4" descr="Story">
          <a:hlinkClick xmlns:r="http://schemas.openxmlformats.org/officeDocument/2006/relationships" r:id="rId5"/>
          <a:extLst>
            <a:ext uri="{FF2B5EF4-FFF2-40B4-BE49-F238E27FC236}">
              <a16:creationId xmlns:a16="http://schemas.microsoft.com/office/drawing/2014/main" id="{3BBEBDF5-1987-4508-8F73-3C967606019A}"/>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273" name="AutoShape 7" descr="Story">
          <a:hlinkClick xmlns:r="http://schemas.openxmlformats.org/officeDocument/2006/relationships" r:id="rId3"/>
          <a:extLst>
            <a:ext uri="{FF2B5EF4-FFF2-40B4-BE49-F238E27FC236}">
              <a16:creationId xmlns:a16="http://schemas.microsoft.com/office/drawing/2014/main" id="{4D6C5BC4-3310-4236-8914-1087D1A17A7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74" name="AutoShape 8" descr="Story">
          <a:hlinkClick xmlns:r="http://schemas.openxmlformats.org/officeDocument/2006/relationships" r:id="rId4"/>
          <a:extLst>
            <a:ext uri="{FF2B5EF4-FFF2-40B4-BE49-F238E27FC236}">
              <a16:creationId xmlns:a16="http://schemas.microsoft.com/office/drawing/2014/main" id="{2B17A26A-C918-441F-B4AA-768C0B2B38A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75" name="AutoShape 8" descr="Story">
          <a:hlinkClick xmlns:r="http://schemas.openxmlformats.org/officeDocument/2006/relationships" r:id="rId4"/>
          <a:extLst>
            <a:ext uri="{FF2B5EF4-FFF2-40B4-BE49-F238E27FC236}">
              <a16:creationId xmlns:a16="http://schemas.microsoft.com/office/drawing/2014/main" id="{70B8916B-FE76-4E81-8B0F-B6B95886A38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71</xdr:row>
      <xdr:rowOff>0</xdr:rowOff>
    </xdr:from>
    <xdr:to>
      <xdr:col>0</xdr:col>
      <xdr:colOff>152400</xdr:colOff>
      <xdr:row>71</xdr:row>
      <xdr:rowOff>152400</xdr:rowOff>
    </xdr:to>
    <xdr:sp macro="" textlink="">
      <xdr:nvSpPr>
        <xdr:cNvPr id="276" name="AutoShape 1" descr="Story">
          <a:hlinkClick xmlns:r="http://schemas.openxmlformats.org/officeDocument/2006/relationships" r:id="rId7"/>
          <a:extLst>
            <a:ext uri="{FF2B5EF4-FFF2-40B4-BE49-F238E27FC236}">
              <a16:creationId xmlns:a16="http://schemas.microsoft.com/office/drawing/2014/main" id="{7D65F1B9-ABDB-444A-A5A7-8C8BE669B20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277" name="AutoShape 2" descr="Story">
          <a:hlinkClick xmlns:r="http://schemas.openxmlformats.org/officeDocument/2006/relationships" r:id="rId8"/>
          <a:extLst>
            <a:ext uri="{FF2B5EF4-FFF2-40B4-BE49-F238E27FC236}">
              <a16:creationId xmlns:a16="http://schemas.microsoft.com/office/drawing/2014/main" id="{E363A539-9DBF-4C65-B75F-B21F58A7CF1B}"/>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152400</xdr:colOff>
      <xdr:row>69</xdr:row>
      <xdr:rowOff>152400</xdr:rowOff>
    </xdr:to>
    <xdr:sp macro="" textlink="">
      <xdr:nvSpPr>
        <xdr:cNvPr id="278" name="AutoShape 3" descr="Story">
          <a:hlinkClick xmlns:r="http://schemas.openxmlformats.org/officeDocument/2006/relationships" r:id="rId9"/>
          <a:extLst>
            <a:ext uri="{FF2B5EF4-FFF2-40B4-BE49-F238E27FC236}">
              <a16:creationId xmlns:a16="http://schemas.microsoft.com/office/drawing/2014/main" id="{8F58DEE1-AAC7-4383-BAE1-CCC574467B8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279" name="AutoShape 4" descr="Bug">
          <a:hlinkClick xmlns:r="http://schemas.openxmlformats.org/officeDocument/2006/relationships" r:id="rId1"/>
          <a:extLst>
            <a:ext uri="{FF2B5EF4-FFF2-40B4-BE49-F238E27FC236}">
              <a16:creationId xmlns:a16="http://schemas.microsoft.com/office/drawing/2014/main" id="{E0B99B55-C85F-4302-8207-C510485BDE7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280" name="AutoShape 5" descr="Story">
          <a:hlinkClick xmlns:r="http://schemas.openxmlformats.org/officeDocument/2006/relationships" r:id="rId10"/>
          <a:extLst>
            <a:ext uri="{FF2B5EF4-FFF2-40B4-BE49-F238E27FC236}">
              <a16:creationId xmlns:a16="http://schemas.microsoft.com/office/drawing/2014/main" id="{374569E6-ABF0-4DF6-873E-583FAAAA1499}"/>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281" name="AutoShape 6" descr="Bug">
          <a:hlinkClick xmlns:r="http://schemas.openxmlformats.org/officeDocument/2006/relationships" r:id="rId2"/>
          <a:extLst>
            <a:ext uri="{FF2B5EF4-FFF2-40B4-BE49-F238E27FC236}">
              <a16:creationId xmlns:a16="http://schemas.microsoft.com/office/drawing/2014/main" id="{20BB8E2E-0866-4199-B404-16620E792E1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282" name="AutoShape 7" descr="Story">
          <a:hlinkClick xmlns:r="http://schemas.openxmlformats.org/officeDocument/2006/relationships" r:id="rId3"/>
          <a:extLst>
            <a:ext uri="{FF2B5EF4-FFF2-40B4-BE49-F238E27FC236}">
              <a16:creationId xmlns:a16="http://schemas.microsoft.com/office/drawing/2014/main" id="{3E62F4BE-D04B-4671-904F-1CBBA33F0E6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283" name="AutoShape 8" descr="Story">
          <a:hlinkClick xmlns:r="http://schemas.openxmlformats.org/officeDocument/2006/relationships" r:id="rId4"/>
          <a:extLst>
            <a:ext uri="{FF2B5EF4-FFF2-40B4-BE49-F238E27FC236}">
              <a16:creationId xmlns:a16="http://schemas.microsoft.com/office/drawing/2014/main" id="{10707A1E-6065-4C6F-A415-34AF439BA24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284" name="AutoShape 9" descr="Story">
          <a:hlinkClick xmlns:r="http://schemas.openxmlformats.org/officeDocument/2006/relationships" r:id="rId5"/>
          <a:extLst>
            <a:ext uri="{FF2B5EF4-FFF2-40B4-BE49-F238E27FC236}">
              <a16:creationId xmlns:a16="http://schemas.microsoft.com/office/drawing/2014/main" id="{AF2BB08A-774A-4257-A399-1EA237EFAE6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152400</xdr:colOff>
      <xdr:row>67</xdr:row>
      <xdr:rowOff>152400</xdr:rowOff>
    </xdr:to>
    <xdr:sp macro="" textlink="">
      <xdr:nvSpPr>
        <xdr:cNvPr id="285" name="AutoShape 10" descr="Story">
          <a:hlinkClick xmlns:r="http://schemas.openxmlformats.org/officeDocument/2006/relationships" r:id="rId6"/>
          <a:extLst>
            <a:ext uri="{FF2B5EF4-FFF2-40B4-BE49-F238E27FC236}">
              <a16:creationId xmlns:a16="http://schemas.microsoft.com/office/drawing/2014/main" id="{2A5D18F6-5E2E-49EB-9933-C2A9DEB1475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286" name="AutoShape 11" descr="Story">
          <a:hlinkClick xmlns:r="http://schemas.openxmlformats.org/officeDocument/2006/relationships" r:id="rId11"/>
          <a:extLst>
            <a:ext uri="{FF2B5EF4-FFF2-40B4-BE49-F238E27FC236}">
              <a16:creationId xmlns:a16="http://schemas.microsoft.com/office/drawing/2014/main" id="{6EDBA99B-D562-4922-997C-CB8DC8AAA472}"/>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152400</xdr:colOff>
      <xdr:row>69</xdr:row>
      <xdr:rowOff>152400</xdr:rowOff>
    </xdr:to>
    <xdr:sp macro="" textlink="">
      <xdr:nvSpPr>
        <xdr:cNvPr id="287" name="AutoShape 12" descr="Story">
          <a:hlinkClick xmlns:r="http://schemas.openxmlformats.org/officeDocument/2006/relationships" r:id="rId8"/>
          <a:extLst>
            <a:ext uri="{FF2B5EF4-FFF2-40B4-BE49-F238E27FC236}">
              <a16:creationId xmlns:a16="http://schemas.microsoft.com/office/drawing/2014/main" id="{878C824F-0604-444D-923C-B317CFB6FB9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288" name="AutoShape 13" descr="Story">
          <a:hlinkClick xmlns:r="http://schemas.openxmlformats.org/officeDocument/2006/relationships" r:id="rId4"/>
          <a:extLst>
            <a:ext uri="{FF2B5EF4-FFF2-40B4-BE49-F238E27FC236}">
              <a16:creationId xmlns:a16="http://schemas.microsoft.com/office/drawing/2014/main" id="{F48E442F-DE93-4ACC-A996-B9C1A85D04E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152400</xdr:colOff>
      <xdr:row>67</xdr:row>
      <xdr:rowOff>152400</xdr:rowOff>
    </xdr:to>
    <xdr:sp macro="" textlink="">
      <xdr:nvSpPr>
        <xdr:cNvPr id="289" name="AutoShape 14" descr="Story">
          <a:hlinkClick xmlns:r="http://schemas.openxmlformats.org/officeDocument/2006/relationships" r:id="rId4"/>
          <a:extLst>
            <a:ext uri="{FF2B5EF4-FFF2-40B4-BE49-F238E27FC236}">
              <a16:creationId xmlns:a16="http://schemas.microsoft.com/office/drawing/2014/main" id="{7DFB3022-9D76-4BCA-A0A5-17AD352AF926}"/>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290" name="AutoShape 15" descr="Story">
          <a:hlinkClick xmlns:r="http://schemas.openxmlformats.org/officeDocument/2006/relationships" r:id="rId4"/>
          <a:extLst>
            <a:ext uri="{FF2B5EF4-FFF2-40B4-BE49-F238E27FC236}">
              <a16:creationId xmlns:a16="http://schemas.microsoft.com/office/drawing/2014/main" id="{48D030E3-C04F-44E9-8A5F-79F870F2B15C}"/>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66</xdr:row>
      <xdr:rowOff>0</xdr:rowOff>
    </xdr:from>
    <xdr:ext cx="152400" cy="152400"/>
    <xdr:sp macro="" textlink="">
      <xdr:nvSpPr>
        <xdr:cNvPr id="291" name="AutoShape 1" descr="Story">
          <a:hlinkClick xmlns:r="http://schemas.openxmlformats.org/officeDocument/2006/relationships" r:id="rId12"/>
          <a:extLst>
            <a:ext uri="{FF2B5EF4-FFF2-40B4-BE49-F238E27FC236}">
              <a16:creationId xmlns:a16="http://schemas.microsoft.com/office/drawing/2014/main" id="{9EEDD3BB-329B-44D2-81FD-F1209B69A7F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92" name="AutoShape 2" descr="Story">
          <a:hlinkClick xmlns:r="http://schemas.openxmlformats.org/officeDocument/2006/relationships" r:id="rId13"/>
          <a:extLst>
            <a:ext uri="{FF2B5EF4-FFF2-40B4-BE49-F238E27FC236}">
              <a16:creationId xmlns:a16="http://schemas.microsoft.com/office/drawing/2014/main" id="{9E90F8DE-4626-44DA-96A8-DFB64977319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93" name="AutoShape 5" descr="Story">
          <a:hlinkClick xmlns:r="http://schemas.openxmlformats.org/officeDocument/2006/relationships" r:id="rId6"/>
          <a:extLst>
            <a:ext uri="{FF2B5EF4-FFF2-40B4-BE49-F238E27FC236}">
              <a16:creationId xmlns:a16="http://schemas.microsoft.com/office/drawing/2014/main" id="{7E9954D8-DE0B-4981-AEA0-7986B4144F9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94" name="AutoShape 1" descr="Sub-task">
          <a:hlinkClick xmlns:r="http://schemas.openxmlformats.org/officeDocument/2006/relationships" r:id="rId14"/>
          <a:extLst>
            <a:ext uri="{FF2B5EF4-FFF2-40B4-BE49-F238E27FC236}">
              <a16:creationId xmlns:a16="http://schemas.microsoft.com/office/drawing/2014/main" id="{C7B9653A-FE12-4E56-9A9E-D24F437DABF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95" name="AutoShape 2" descr="Sub-task">
          <a:hlinkClick xmlns:r="http://schemas.openxmlformats.org/officeDocument/2006/relationships" r:id="rId15"/>
          <a:extLst>
            <a:ext uri="{FF2B5EF4-FFF2-40B4-BE49-F238E27FC236}">
              <a16:creationId xmlns:a16="http://schemas.microsoft.com/office/drawing/2014/main" id="{4B45914A-C2FB-4BDD-8C8F-103AC83C829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96" name="AutoShape 3" descr="Story">
          <a:hlinkClick xmlns:r="http://schemas.openxmlformats.org/officeDocument/2006/relationships" r:id="rId9"/>
          <a:extLst>
            <a:ext uri="{FF2B5EF4-FFF2-40B4-BE49-F238E27FC236}">
              <a16:creationId xmlns:a16="http://schemas.microsoft.com/office/drawing/2014/main" id="{8E66D39D-24C4-443F-BA09-F3F6E546AE1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97" name="AutoShape 12" descr="Story">
          <a:hlinkClick xmlns:r="http://schemas.openxmlformats.org/officeDocument/2006/relationships" r:id="rId8"/>
          <a:extLst>
            <a:ext uri="{FF2B5EF4-FFF2-40B4-BE49-F238E27FC236}">
              <a16:creationId xmlns:a16="http://schemas.microsoft.com/office/drawing/2014/main" id="{3A7B2610-1F0F-4834-B2CC-B85026531F6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98" name="AutoShape 1" descr="Story">
          <a:hlinkClick xmlns:r="http://schemas.openxmlformats.org/officeDocument/2006/relationships" r:id="rId7"/>
          <a:extLst>
            <a:ext uri="{FF2B5EF4-FFF2-40B4-BE49-F238E27FC236}">
              <a16:creationId xmlns:a16="http://schemas.microsoft.com/office/drawing/2014/main" id="{3567F7EC-AE85-424F-B1F4-BB5B152757C0}"/>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299" name="AutoShape 1" descr="Story">
          <a:hlinkClick xmlns:r="http://schemas.openxmlformats.org/officeDocument/2006/relationships" r:id="rId7"/>
          <a:extLst>
            <a:ext uri="{FF2B5EF4-FFF2-40B4-BE49-F238E27FC236}">
              <a16:creationId xmlns:a16="http://schemas.microsoft.com/office/drawing/2014/main" id="{60AFC3ED-ADDD-43CF-B913-E01E906CDC0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00" name="AutoShape 3" descr="Story">
          <a:hlinkClick xmlns:r="http://schemas.openxmlformats.org/officeDocument/2006/relationships" r:id="rId4"/>
          <a:extLst>
            <a:ext uri="{FF2B5EF4-FFF2-40B4-BE49-F238E27FC236}">
              <a16:creationId xmlns:a16="http://schemas.microsoft.com/office/drawing/2014/main" id="{993B41FD-A12F-4386-8495-14CDFE936AC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01" name="AutoShape 4" descr="Story">
          <a:hlinkClick xmlns:r="http://schemas.openxmlformats.org/officeDocument/2006/relationships" r:id="rId5"/>
          <a:extLst>
            <a:ext uri="{FF2B5EF4-FFF2-40B4-BE49-F238E27FC236}">
              <a16:creationId xmlns:a16="http://schemas.microsoft.com/office/drawing/2014/main" id="{1377F870-316F-4D62-8ABE-994BD0FD54F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02" name="AutoShape 1" descr="Story">
          <a:hlinkClick xmlns:r="http://schemas.openxmlformats.org/officeDocument/2006/relationships" r:id="rId12"/>
          <a:extLst>
            <a:ext uri="{FF2B5EF4-FFF2-40B4-BE49-F238E27FC236}">
              <a16:creationId xmlns:a16="http://schemas.microsoft.com/office/drawing/2014/main" id="{35EE19BC-0985-46EC-A739-7EE5242976F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03" name="AutoShape 2" descr="Story">
          <a:hlinkClick xmlns:r="http://schemas.openxmlformats.org/officeDocument/2006/relationships" r:id="rId13"/>
          <a:extLst>
            <a:ext uri="{FF2B5EF4-FFF2-40B4-BE49-F238E27FC236}">
              <a16:creationId xmlns:a16="http://schemas.microsoft.com/office/drawing/2014/main" id="{9D9E7EAF-7CF7-43BE-9546-2E576B3BA46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04" name="AutoShape 3" descr="Story">
          <a:hlinkClick xmlns:r="http://schemas.openxmlformats.org/officeDocument/2006/relationships" r:id="rId4"/>
          <a:extLst>
            <a:ext uri="{FF2B5EF4-FFF2-40B4-BE49-F238E27FC236}">
              <a16:creationId xmlns:a16="http://schemas.microsoft.com/office/drawing/2014/main" id="{8B1147A2-BE80-461A-832C-FFC2EC192E1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05" name="AutoShape 4" descr="Story">
          <a:hlinkClick xmlns:r="http://schemas.openxmlformats.org/officeDocument/2006/relationships" r:id="rId5"/>
          <a:extLst>
            <a:ext uri="{FF2B5EF4-FFF2-40B4-BE49-F238E27FC236}">
              <a16:creationId xmlns:a16="http://schemas.microsoft.com/office/drawing/2014/main" id="{CF526C87-1F16-47AE-9D68-3CAD93E10D5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06" name="AutoShape 5" descr="Story">
          <a:hlinkClick xmlns:r="http://schemas.openxmlformats.org/officeDocument/2006/relationships" r:id="rId6"/>
          <a:extLst>
            <a:ext uri="{FF2B5EF4-FFF2-40B4-BE49-F238E27FC236}">
              <a16:creationId xmlns:a16="http://schemas.microsoft.com/office/drawing/2014/main" id="{684DD4DE-A6C0-4732-B862-D23AE0C197E6}"/>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07" name="AutoShape 1" descr="Sub-task">
          <a:hlinkClick xmlns:r="http://schemas.openxmlformats.org/officeDocument/2006/relationships" r:id="rId14"/>
          <a:extLst>
            <a:ext uri="{FF2B5EF4-FFF2-40B4-BE49-F238E27FC236}">
              <a16:creationId xmlns:a16="http://schemas.microsoft.com/office/drawing/2014/main" id="{7969BB72-C482-42E2-A614-04FD00E82C5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08" name="AutoShape 2" descr="Sub-task">
          <a:hlinkClick xmlns:r="http://schemas.openxmlformats.org/officeDocument/2006/relationships" r:id="rId15"/>
          <a:extLst>
            <a:ext uri="{FF2B5EF4-FFF2-40B4-BE49-F238E27FC236}">
              <a16:creationId xmlns:a16="http://schemas.microsoft.com/office/drawing/2014/main" id="{2737AE7D-AD86-4305-AEA1-8C22C57E14E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09" name="AutoShape 7" descr="Story">
          <a:hlinkClick xmlns:r="http://schemas.openxmlformats.org/officeDocument/2006/relationships" r:id="rId3"/>
          <a:extLst>
            <a:ext uri="{FF2B5EF4-FFF2-40B4-BE49-F238E27FC236}">
              <a16:creationId xmlns:a16="http://schemas.microsoft.com/office/drawing/2014/main" id="{C3730952-4F9B-4555-8A2A-AC7CD9FCA14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10" name="AutoShape 3" descr="Story">
          <a:hlinkClick xmlns:r="http://schemas.openxmlformats.org/officeDocument/2006/relationships" r:id="rId9"/>
          <a:extLst>
            <a:ext uri="{FF2B5EF4-FFF2-40B4-BE49-F238E27FC236}">
              <a16:creationId xmlns:a16="http://schemas.microsoft.com/office/drawing/2014/main" id="{2CAB3A34-2774-4E50-854F-E442BCA3E35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11" name="AutoShape 12" descr="Story">
          <a:hlinkClick xmlns:r="http://schemas.openxmlformats.org/officeDocument/2006/relationships" r:id="rId8"/>
          <a:extLst>
            <a:ext uri="{FF2B5EF4-FFF2-40B4-BE49-F238E27FC236}">
              <a16:creationId xmlns:a16="http://schemas.microsoft.com/office/drawing/2014/main" id="{3618B819-04A1-4503-96DD-DBF8AE8A06D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12" name="AutoShape 1" descr="Story">
          <a:hlinkClick xmlns:r="http://schemas.openxmlformats.org/officeDocument/2006/relationships" r:id="rId7"/>
          <a:extLst>
            <a:ext uri="{FF2B5EF4-FFF2-40B4-BE49-F238E27FC236}">
              <a16:creationId xmlns:a16="http://schemas.microsoft.com/office/drawing/2014/main" id="{15601530-DE50-4398-BC8C-1CAB53104DA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13" name="AutoShape 1" descr="Story">
          <a:hlinkClick xmlns:r="http://schemas.openxmlformats.org/officeDocument/2006/relationships" r:id="rId7"/>
          <a:extLst>
            <a:ext uri="{FF2B5EF4-FFF2-40B4-BE49-F238E27FC236}">
              <a16:creationId xmlns:a16="http://schemas.microsoft.com/office/drawing/2014/main" id="{82202E6D-E5AB-47D4-95A1-937A00CC4CD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14" name="AutoShape 3" descr="Story">
          <a:hlinkClick xmlns:r="http://schemas.openxmlformats.org/officeDocument/2006/relationships" r:id="rId4"/>
          <a:extLst>
            <a:ext uri="{FF2B5EF4-FFF2-40B4-BE49-F238E27FC236}">
              <a16:creationId xmlns:a16="http://schemas.microsoft.com/office/drawing/2014/main" id="{FDE5D9B8-022B-4026-9045-32CC07DA887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15" name="AutoShape 4" descr="Story">
          <a:hlinkClick xmlns:r="http://schemas.openxmlformats.org/officeDocument/2006/relationships" r:id="rId5"/>
          <a:extLst>
            <a:ext uri="{FF2B5EF4-FFF2-40B4-BE49-F238E27FC236}">
              <a16:creationId xmlns:a16="http://schemas.microsoft.com/office/drawing/2014/main" id="{3C06AD07-70E5-492B-9722-7F39311B1A22}"/>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16" name="AutoShape 7" descr="Story">
          <a:hlinkClick xmlns:r="http://schemas.openxmlformats.org/officeDocument/2006/relationships" r:id="rId3"/>
          <a:extLst>
            <a:ext uri="{FF2B5EF4-FFF2-40B4-BE49-F238E27FC236}">
              <a16:creationId xmlns:a16="http://schemas.microsoft.com/office/drawing/2014/main" id="{C408FD7D-6652-4614-9428-DFC99C4C8F2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17" name="AutoShape 8" descr="Story">
          <a:hlinkClick xmlns:r="http://schemas.openxmlformats.org/officeDocument/2006/relationships" r:id="rId4"/>
          <a:extLst>
            <a:ext uri="{FF2B5EF4-FFF2-40B4-BE49-F238E27FC236}">
              <a16:creationId xmlns:a16="http://schemas.microsoft.com/office/drawing/2014/main" id="{5E2E11BE-AFBC-4F2D-9703-7697D578412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18" name="AutoShape 8" descr="Story">
          <a:hlinkClick xmlns:r="http://schemas.openxmlformats.org/officeDocument/2006/relationships" r:id="rId4"/>
          <a:extLst>
            <a:ext uri="{FF2B5EF4-FFF2-40B4-BE49-F238E27FC236}">
              <a16:creationId xmlns:a16="http://schemas.microsoft.com/office/drawing/2014/main" id="{F74F7DAB-E447-48BF-A793-0CE08D71705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67</xdr:row>
      <xdr:rowOff>0</xdr:rowOff>
    </xdr:from>
    <xdr:to>
      <xdr:col>0</xdr:col>
      <xdr:colOff>152400</xdr:colOff>
      <xdr:row>67</xdr:row>
      <xdr:rowOff>152400</xdr:rowOff>
    </xdr:to>
    <xdr:sp macro="" textlink="">
      <xdr:nvSpPr>
        <xdr:cNvPr id="319" name="AutoShape 10" descr="Story">
          <a:hlinkClick xmlns:r="http://schemas.openxmlformats.org/officeDocument/2006/relationships" r:id="rId6"/>
          <a:extLst>
            <a:ext uri="{FF2B5EF4-FFF2-40B4-BE49-F238E27FC236}">
              <a16:creationId xmlns:a16="http://schemas.microsoft.com/office/drawing/2014/main" id="{21893577-302A-4919-BFC0-C71930B533E4}"/>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152400</xdr:colOff>
      <xdr:row>67</xdr:row>
      <xdr:rowOff>152400</xdr:rowOff>
    </xdr:to>
    <xdr:sp macro="" textlink="">
      <xdr:nvSpPr>
        <xdr:cNvPr id="320" name="AutoShape 14" descr="Story">
          <a:hlinkClick xmlns:r="http://schemas.openxmlformats.org/officeDocument/2006/relationships" r:id="rId4"/>
          <a:extLst>
            <a:ext uri="{FF2B5EF4-FFF2-40B4-BE49-F238E27FC236}">
              <a16:creationId xmlns:a16="http://schemas.microsoft.com/office/drawing/2014/main" id="{76C51D9D-4364-4679-A2CB-1922909F6C04}"/>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152400</xdr:colOff>
      <xdr:row>67</xdr:row>
      <xdr:rowOff>152400</xdr:rowOff>
    </xdr:to>
    <xdr:sp macro="" textlink="">
      <xdr:nvSpPr>
        <xdr:cNvPr id="321" name="AutoShape 10" descr="Story">
          <a:hlinkClick xmlns:r="http://schemas.openxmlformats.org/officeDocument/2006/relationships" r:id="rId6"/>
          <a:extLst>
            <a:ext uri="{FF2B5EF4-FFF2-40B4-BE49-F238E27FC236}">
              <a16:creationId xmlns:a16="http://schemas.microsoft.com/office/drawing/2014/main" id="{3B0AC454-1155-4363-B13D-AF9CD8323CB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152400</xdr:colOff>
      <xdr:row>67</xdr:row>
      <xdr:rowOff>152400</xdr:rowOff>
    </xdr:to>
    <xdr:sp macro="" textlink="">
      <xdr:nvSpPr>
        <xdr:cNvPr id="322" name="AutoShape 14" descr="Story">
          <a:hlinkClick xmlns:r="http://schemas.openxmlformats.org/officeDocument/2006/relationships" r:id="rId4"/>
          <a:extLst>
            <a:ext uri="{FF2B5EF4-FFF2-40B4-BE49-F238E27FC236}">
              <a16:creationId xmlns:a16="http://schemas.microsoft.com/office/drawing/2014/main" id="{539E9348-4D1C-437D-A05D-1BF19CBA0461}"/>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xdr:row>
      <xdr:rowOff>0</xdr:rowOff>
    </xdr:from>
    <xdr:to>
      <xdr:col>0</xdr:col>
      <xdr:colOff>152400</xdr:colOff>
      <xdr:row>71</xdr:row>
      <xdr:rowOff>152400</xdr:rowOff>
    </xdr:to>
    <xdr:sp macro="" textlink="">
      <xdr:nvSpPr>
        <xdr:cNvPr id="323" name="AutoShape 1" descr="Story">
          <a:hlinkClick xmlns:r="http://schemas.openxmlformats.org/officeDocument/2006/relationships" r:id="rId7"/>
          <a:extLst>
            <a:ext uri="{FF2B5EF4-FFF2-40B4-BE49-F238E27FC236}">
              <a16:creationId xmlns:a16="http://schemas.microsoft.com/office/drawing/2014/main" id="{832C6F8D-6360-43C0-8C05-7D881E687359}"/>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324" name="AutoShape 2" descr="Story">
          <a:hlinkClick xmlns:r="http://schemas.openxmlformats.org/officeDocument/2006/relationships" r:id="rId8"/>
          <a:extLst>
            <a:ext uri="{FF2B5EF4-FFF2-40B4-BE49-F238E27FC236}">
              <a16:creationId xmlns:a16="http://schemas.microsoft.com/office/drawing/2014/main" id="{E4B3B4D3-4448-48A5-9A53-E7583CE82E64}"/>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152400</xdr:colOff>
      <xdr:row>69</xdr:row>
      <xdr:rowOff>152400</xdr:rowOff>
    </xdr:to>
    <xdr:sp macro="" textlink="">
      <xdr:nvSpPr>
        <xdr:cNvPr id="325" name="AutoShape 3" descr="Story">
          <a:hlinkClick xmlns:r="http://schemas.openxmlformats.org/officeDocument/2006/relationships" r:id="rId9"/>
          <a:extLst>
            <a:ext uri="{FF2B5EF4-FFF2-40B4-BE49-F238E27FC236}">
              <a16:creationId xmlns:a16="http://schemas.microsoft.com/office/drawing/2014/main" id="{A058C599-82D0-4F1E-B31A-70BF19E51AA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326" name="AutoShape 4" descr="Bug">
          <a:hlinkClick xmlns:r="http://schemas.openxmlformats.org/officeDocument/2006/relationships" r:id="rId1"/>
          <a:extLst>
            <a:ext uri="{FF2B5EF4-FFF2-40B4-BE49-F238E27FC236}">
              <a16:creationId xmlns:a16="http://schemas.microsoft.com/office/drawing/2014/main" id="{662A3FED-EAE2-4D55-AFD1-42FD38013C7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327" name="AutoShape 5" descr="Story">
          <a:hlinkClick xmlns:r="http://schemas.openxmlformats.org/officeDocument/2006/relationships" r:id="rId10"/>
          <a:extLst>
            <a:ext uri="{FF2B5EF4-FFF2-40B4-BE49-F238E27FC236}">
              <a16:creationId xmlns:a16="http://schemas.microsoft.com/office/drawing/2014/main" id="{5BD3FD5E-0935-4EFA-BC25-37DEDE28A53E}"/>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328" name="AutoShape 6" descr="Bug">
          <a:hlinkClick xmlns:r="http://schemas.openxmlformats.org/officeDocument/2006/relationships" r:id="rId2"/>
          <a:extLst>
            <a:ext uri="{FF2B5EF4-FFF2-40B4-BE49-F238E27FC236}">
              <a16:creationId xmlns:a16="http://schemas.microsoft.com/office/drawing/2014/main" id="{792CCC07-D0D0-4509-A59B-F96E35FFDF8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329" name="AutoShape 7" descr="Story">
          <a:hlinkClick xmlns:r="http://schemas.openxmlformats.org/officeDocument/2006/relationships" r:id="rId3"/>
          <a:extLst>
            <a:ext uri="{FF2B5EF4-FFF2-40B4-BE49-F238E27FC236}">
              <a16:creationId xmlns:a16="http://schemas.microsoft.com/office/drawing/2014/main" id="{156D64E6-A1E5-4411-ABD0-1286AACE648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330" name="AutoShape 8" descr="Story">
          <a:hlinkClick xmlns:r="http://schemas.openxmlformats.org/officeDocument/2006/relationships" r:id="rId4"/>
          <a:extLst>
            <a:ext uri="{FF2B5EF4-FFF2-40B4-BE49-F238E27FC236}">
              <a16:creationId xmlns:a16="http://schemas.microsoft.com/office/drawing/2014/main" id="{F6382862-83C2-4B5C-B6A8-B071BE7F6A1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331" name="AutoShape 9" descr="Story">
          <a:hlinkClick xmlns:r="http://schemas.openxmlformats.org/officeDocument/2006/relationships" r:id="rId5"/>
          <a:extLst>
            <a:ext uri="{FF2B5EF4-FFF2-40B4-BE49-F238E27FC236}">
              <a16:creationId xmlns:a16="http://schemas.microsoft.com/office/drawing/2014/main" id="{B295B7FC-DB9A-4DFB-A34E-DE3C52A3076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152400</xdr:colOff>
      <xdr:row>67</xdr:row>
      <xdr:rowOff>152400</xdr:rowOff>
    </xdr:to>
    <xdr:sp macro="" textlink="">
      <xdr:nvSpPr>
        <xdr:cNvPr id="332" name="AutoShape 10" descr="Story">
          <a:hlinkClick xmlns:r="http://schemas.openxmlformats.org/officeDocument/2006/relationships" r:id="rId6"/>
          <a:extLst>
            <a:ext uri="{FF2B5EF4-FFF2-40B4-BE49-F238E27FC236}">
              <a16:creationId xmlns:a16="http://schemas.microsoft.com/office/drawing/2014/main" id="{832C6E7E-005D-418A-B4F9-D8F6EF1D0459}"/>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333" name="AutoShape 11" descr="Story">
          <a:hlinkClick xmlns:r="http://schemas.openxmlformats.org/officeDocument/2006/relationships" r:id="rId11"/>
          <a:extLst>
            <a:ext uri="{FF2B5EF4-FFF2-40B4-BE49-F238E27FC236}">
              <a16:creationId xmlns:a16="http://schemas.microsoft.com/office/drawing/2014/main" id="{96687DED-E652-4FEF-ACEF-624DBB4DF106}"/>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xdr:row>
      <xdr:rowOff>0</xdr:rowOff>
    </xdr:from>
    <xdr:to>
      <xdr:col>0</xdr:col>
      <xdr:colOff>152400</xdr:colOff>
      <xdr:row>69</xdr:row>
      <xdr:rowOff>152400</xdr:rowOff>
    </xdr:to>
    <xdr:sp macro="" textlink="">
      <xdr:nvSpPr>
        <xdr:cNvPr id="334" name="AutoShape 12" descr="Story">
          <a:hlinkClick xmlns:r="http://schemas.openxmlformats.org/officeDocument/2006/relationships" r:id="rId8"/>
          <a:extLst>
            <a:ext uri="{FF2B5EF4-FFF2-40B4-BE49-F238E27FC236}">
              <a16:creationId xmlns:a16="http://schemas.microsoft.com/office/drawing/2014/main" id="{F02FCCA3-8CF1-430C-805D-60734B54EB0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xdr:row>
      <xdr:rowOff>0</xdr:rowOff>
    </xdr:from>
    <xdr:to>
      <xdr:col>0</xdr:col>
      <xdr:colOff>152400</xdr:colOff>
      <xdr:row>66</xdr:row>
      <xdr:rowOff>152400</xdr:rowOff>
    </xdr:to>
    <xdr:sp macro="" textlink="">
      <xdr:nvSpPr>
        <xdr:cNvPr id="335" name="AutoShape 13" descr="Story">
          <a:hlinkClick xmlns:r="http://schemas.openxmlformats.org/officeDocument/2006/relationships" r:id="rId4"/>
          <a:extLst>
            <a:ext uri="{FF2B5EF4-FFF2-40B4-BE49-F238E27FC236}">
              <a16:creationId xmlns:a16="http://schemas.microsoft.com/office/drawing/2014/main" id="{F74BDB0C-E7F8-4499-B424-B3FA3908DA3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152400</xdr:colOff>
      <xdr:row>67</xdr:row>
      <xdr:rowOff>152400</xdr:rowOff>
    </xdr:to>
    <xdr:sp macro="" textlink="">
      <xdr:nvSpPr>
        <xdr:cNvPr id="336" name="AutoShape 14" descr="Story">
          <a:hlinkClick xmlns:r="http://schemas.openxmlformats.org/officeDocument/2006/relationships" r:id="rId4"/>
          <a:extLst>
            <a:ext uri="{FF2B5EF4-FFF2-40B4-BE49-F238E27FC236}">
              <a16:creationId xmlns:a16="http://schemas.microsoft.com/office/drawing/2014/main" id="{7C33C5CF-A1CE-45C0-BD59-8E3C3B19C29A}"/>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xdr:row>
      <xdr:rowOff>0</xdr:rowOff>
    </xdr:from>
    <xdr:to>
      <xdr:col>0</xdr:col>
      <xdr:colOff>152400</xdr:colOff>
      <xdr:row>70</xdr:row>
      <xdr:rowOff>152400</xdr:rowOff>
    </xdr:to>
    <xdr:sp macro="" textlink="">
      <xdr:nvSpPr>
        <xdr:cNvPr id="337" name="AutoShape 15" descr="Story">
          <a:hlinkClick xmlns:r="http://schemas.openxmlformats.org/officeDocument/2006/relationships" r:id="rId4"/>
          <a:extLst>
            <a:ext uri="{FF2B5EF4-FFF2-40B4-BE49-F238E27FC236}">
              <a16:creationId xmlns:a16="http://schemas.microsoft.com/office/drawing/2014/main" id="{12165147-6E7B-46AD-B652-62A1A5D8BB72}"/>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66</xdr:row>
      <xdr:rowOff>0</xdr:rowOff>
    </xdr:from>
    <xdr:ext cx="152400" cy="152400"/>
    <xdr:sp macro="" textlink="">
      <xdr:nvSpPr>
        <xdr:cNvPr id="338" name="AutoShape 1" descr="Story">
          <a:hlinkClick xmlns:r="http://schemas.openxmlformats.org/officeDocument/2006/relationships" r:id="rId12"/>
          <a:extLst>
            <a:ext uri="{FF2B5EF4-FFF2-40B4-BE49-F238E27FC236}">
              <a16:creationId xmlns:a16="http://schemas.microsoft.com/office/drawing/2014/main" id="{DE29969E-68B9-48FC-9F67-4D769F52120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39" name="AutoShape 2" descr="Story">
          <a:hlinkClick xmlns:r="http://schemas.openxmlformats.org/officeDocument/2006/relationships" r:id="rId13"/>
          <a:extLst>
            <a:ext uri="{FF2B5EF4-FFF2-40B4-BE49-F238E27FC236}">
              <a16:creationId xmlns:a16="http://schemas.microsoft.com/office/drawing/2014/main" id="{07F0885C-C258-4BD0-9DCD-44FD809519D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40" name="AutoShape 5" descr="Story">
          <a:hlinkClick xmlns:r="http://schemas.openxmlformats.org/officeDocument/2006/relationships" r:id="rId6"/>
          <a:extLst>
            <a:ext uri="{FF2B5EF4-FFF2-40B4-BE49-F238E27FC236}">
              <a16:creationId xmlns:a16="http://schemas.microsoft.com/office/drawing/2014/main" id="{ECEF1A75-3A4B-4C38-A25A-13C3A70C5DD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41" name="AutoShape 1" descr="Sub-task">
          <a:hlinkClick xmlns:r="http://schemas.openxmlformats.org/officeDocument/2006/relationships" r:id="rId14"/>
          <a:extLst>
            <a:ext uri="{FF2B5EF4-FFF2-40B4-BE49-F238E27FC236}">
              <a16:creationId xmlns:a16="http://schemas.microsoft.com/office/drawing/2014/main" id="{24B62886-3CB9-42D3-AAB0-80DCF25B2E3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42" name="AutoShape 2" descr="Sub-task">
          <a:hlinkClick xmlns:r="http://schemas.openxmlformats.org/officeDocument/2006/relationships" r:id="rId15"/>
          <a:extLst>
            <a:ext uri="{FF2B5EF4-FFF2-40B4-BE49-F238E27FC236}">
              <a16:creationId xmlns:a16="http://schemas.microsoft.com/office/drawing/2014/main" id="{23899AD9-C893-413E-810C-DCDA3A499B6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43" name="AutoShape 3" descr="Story">
          <a:hlinkClick xmlns:r="http://schemas.openxmlformats.org/officeDocument/2006/relationships" r:id="rId9"/>
          <a:extLst>
            <a:ext uri="{FF2B5EF4-FFF2-40B4-BE49-F238E27FC236}">
              <a16:creationId xmlns:a16="http://schemas.microsoft.com/office/drawing/2014/main" id="{73388D14-A05A-49B9-8F7C-9DBE090F181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44" name="AutoShape 12" descr="Story">
          <a:hlinkClick xmlns:r="http://schemas.openxmlformats.org/officeDocument/2006/relationships" r:id="rId8"/>
          <a:extLst>
            <a:ext uri="{FF2B5EF4-FFF2-40B4-BE49-F238E27FC236}">
              <a16:creationId xmlns:a16="http://schemas.microsoft.com/office/drawing/2014/main" id="{33ACE3C8-5A13-4E57-BB10-4DAE3EAAA96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45" name="AutoShape 1" descr="Story">
          <a:hlinkClick xmlns:r="http://schemas.openxmlformats.org/officeDocument/2006/relationships" r:id="rId7"/>
          <a:extLst>
            <a:ext uri="{FF2B5EF4-FFF2-40B4-BE49-F238E27FC236}">
              <a16:creationId xmlns:a16="http://schemas.microsoft.com/office/drawing/2014/main" id="{A2705E0F-5B6D-415F-9DDD-24FC03BEBE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46" name="AutoShape 1" descr="Story">
          <a:hlinkClick xmlns:r="http://schemas.openxmlformats.org/officeDocument/2006/relationships" r:id="rId7"/>
          <a:extLst>
            <a:ext uri="{FF2B5EF4-FFF2-40B4-BE49-F238E27FC236}">
              <a16:creationId xmlns:a16="http://schemas.microsoft.com/office/drawing/2014/main" id="{A5561C50-E2E8-4461-8968-B7AD75F63972}"/>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47" name="AutoShape 3" descr="Story">
          <a:hlinkClick xmlns:r="http://schemas.openxmlformats.org/officeDocument/2006/relationships" r:id="rId4"/>
          <a:extLst>
            <a:ext uri="{FF2B5EF4-FFF2-40B4-BE49-F238E27FC236}">
              <a16:creationId xmlns:a16="http://schemas.microsoft.com/office/drawing/2014/main" id="{9C71C757-0789-447C-B5A7-CA4F31A0AFF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48" name="AutoShape 4" descr="Story">
          <a:hlinkClick xmlns:r="http://schemas.openxmlformats.org/officeDocument/2006/relationships" r:id="rId5"/>
          <a:extLst>
            <a:ext uri="{FF2B5EF4-FFF2-40B4-BE49-F238E27FC236}">
              <a16:creationId xmlns:a16="http://schemas.microsoft.com/office/drawing/2014/main" id="{CAE3CDCE-F85B-4B93-819E-D2D114137DF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49" name="AutoShape 1" descr="Story">
          <a:hlinkClick xmlns:r="http://schemas.openxmlformats.org/officeDocument/2006/relationships" r:id="rId12"/>
          <a:extLst>
            <a:ext uri="{FF2B5EF4-FFF2-40B4-BE49-F238E27FC236}">
              <a16:creationId xmlns:a16="http://schemas.microsoft.com/office/drawing/2014/main" id="{C4888FF8-A748-43D1-AF91-F64A3E08966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50" name="AutoShape 2" descr="Story">
          <a:hlinkClick xmlns:r="http://schemas.openxmlformats.org/officeDocument/2006/relationships" r:id="rId13"/>
          <a:extLst>
            <a:ext uri="{FF2B5EF4-FFF2-40B4-BE49-F238E27FC236}">
              <a16:creationId xmlns:a16="http://schemas.microsoft.com/office/drawing/2014/main" id="{9A2A5456-A9D3-4C9C-9EBF-079268AE5AF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51" name="AutoShape 3" descr="Story">
          <a:hlinkClick xmlns:r="http://schemas.openxmlformats.org/officeDocument/2006/relationships" r:id="rId4"/>
          <a:extLst>
            <a:ext uri="{FF2B5EF4-FFF2-40B4-BE49-F238E27FC236}">
              <a16:creationId xmlns:a16="http://schemas.microsoft.com/office/drawing/2014/main" id="{D7CB594B-65F1-4D46-A587-61E6455CF62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52" name="AutoShape 4" descr="Story">
          <a:hlinkClick xmlns:r="http://schemas.openxmlformats.org/officeDocument/2006/relationships" r:id="rId5"/>
          <a:extLst>
            <a:ext uri="{FF2B5EF4-FFF2-40B4-BE49-F238E27FC236}">
              <a16:creationId xmlns:a16="http://schemas.microsoft.com/office/drawing/2014/main" id="{492D22BE-763B-4AEC-9A68-FFC121127D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53" name="AutoShape 5" descr="Story">
          <a:hlinkClick xmlns:r="http://schemas.openxmlformats.org/officeDocument/2006/relationships" r:id="rId6"/>
          <a:extLst>
            <a:ext uri="{FF2B5EF4-FFF2-40B4-BE49-F238E27FC236}">
              <a16:creationId xmlns:a16="http://schemas.microsoft.com/office/drawing/2014/main" id="{95FF31B9-2BEF-4331-A66A-82CA4B45D374}"/>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54" name="AutoShape 1" descr="Sub-task">
          <a:hlinkClick xmlns:r="http://schemas.openxmlformats.org/officeDocument/2006/relationships" r:id="rId14"/>
          <a:extLst>
            <a:ext uri="{FF2B5EF4-FFF2-40B4-BE49-F238E27FC236}">
              <a16:creationId xmlns:a16="http://schemas.microsoft.com/office/drawing/2014/main" id="{BD4B32D2-E555-4A23-8FEF-81C46A2AE70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55" name="AutoShape 2" descr="Sub-task">
          <a:hlinkClick xmlns:r="http://schemas.openxmlformats.org/officeDocument/2006/relationships" r:id="rId15"/>
          <a:extLst>
            <a:ext uri="{FF2B5EF4-FFF2-40B4-BE49-F238E27FC236}">
              <a16:creationId xmlns:a16="http://schemas.microsoft.com/office/drawing/2014/main" id="{72ACED8C-A9ED-4CAB-8DD7-4B6CC64613B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56" name="AutoShape 7" descr="Story">
          <a:hlinkClick xmlns:r="http://schemas.openxmlformats.org/officeDocument/2006/relationships" r:id="rId3"/>
          <a:extLst>
            <a:ext uri="{FF2B5EF4-FFF2-40B4-BE49-F238E27FC236}">
              <a16:creationId xmlns:a16="http://schemas.microsoft.com/office/drawing/2014/main" id="{9C58C635-4527-4CC2-8EAD-2FC2C918105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57" name="AutoShape 3" descr="Story">
          <a:hlinkClick xmlns:r="http://schemas.openxmlformats.org/officeDocument/2006/relationships" r:id="rId9"/>
          <a:extLst>
            <a:ext uri="{FF2B5EF4-FFF2-40B4-BE49-F238E27FC236}">
              <a16:creationId xmlns:a16="http://schemas.microsoft.com/office/drawing/2014/main" id="{9B12F781-F9B9-4640-92FE-2DA14F03ECF1}"/>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58" name="AutoShape 12" descr="Story">
          <a:hlinkClick xmlns:r="http://schemas.openxmlformats.org/officeDocument/2006/relationships" r:id="rId8"/>
          <a:extLst>
            <a:ext uri="{FF2B5EF4-FFF2-40B4-BE49-F238E27FC236}">
              <a16:creationId xmlns:a16="http://schemas.microsoft.com/office/drawing/2014/main" id="{72D40269-539F-44FD-9240-9DA30EF29DE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59" name="AutoShape 1" descr="Story">
          <a:hlinkClick xmlns:r="http://schemas.openxmlformats.org/officeDocument/2006/relationships" r:id="rId7"/>
          <a:extLst>
            <a:ext uri="{FF2B5EF4-FFF2-40B4-BE49-F238E27FC236}">
              <a16:creationId xmlns:a16="http://schemas.microsoft.com/office/drawing/2014/main" id="{7C5CF103-33B4-4FF9-9056-E962BC40E2F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60" name="AutoShape 1" descr="Story">
          <a:hlinkClick xmlns:r="http://schemas.openxmlformats.org/officeDocument/2006/relationships" r:id="rId7"/>
          <a:extLst>
            <a:ext uri="{FF2B5EF4-FFF2-40B4-BE49-F238E27FC236}">
              <a16:creationId xmlns:a16="http://schemas.microsoft.com/office/drawing/2014/main" id="{6E98ABEF-5B47-4C1C-BB86-F0117B67D97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61" name="AutoShape 3" descr="Story">
          <a:hlinkClick xmlns:r="http://schemas.openxmlformats.org/officeDocument/2006/relationships" r:id="rId4"/>
          <a:extLst>
            <a:ext uri="{FF2B5EF4-FFF2-40B4-BE49-F238E27FC236}">
              <a16:creationId xmlns:a16="http://schemas.microsoft.com/office/drawing/2014/main" id="{12D2F36A-A457-41B6-8364-4D7A50A32C0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62" name="AutoShape 4" descr="Story">
          <a:hlinkClick xmlns:r="http://schemas.openxmlformats.org/officeDocument/2006/relationships" r:id="rId5"/>
          <a:extLst>
            <a:ext uri="{FF2B5EF4-FFF2-40B4-BE49-F238E27FC236}">
              <a16:creationId xmlns:a16="http://schemas.microsoft.com/office/drawing/2014/main" id="{75B452F9-3522-4F6A-B545-7537F4ECAA6D}"/>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69</xdr:row>
      <xdr:rowOff>0</xdr:rowOff>
    </xdr:from>
    <xdr:ext cx="152400" cy="152400"/>
    <xdr:sp macro="" textlink="">
      <xdr:nvSpPr>
        <xdr:cNvPr id="363" name="AutoShape 7" descr="Story">
          <a:hlinkClick xmlns:r="http://schemas.openxmlformats.org/officeDocument/2006/relationships" r:id="rId3"/>
          <a:extLst>
            <a:ext uri="{FF2B5EF4-FFF2-40B4-BE49-F238E27FC236}">
              <a16:creationId xmlns:a16="http://schemas.microsoft.com/office/drawing/2014/main" id="{79A27B7F-2521-47F1-9618-FD43EC85749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64" name="AutoShape 8" descr="Story">
          <a:hlinkClick xmlns:r="http://schemas.openxmlformats.org/officeDocument/2006/relationships" r:id="rId4"/>
          <a:extLst>
            <a:ext uri="{FF2B5EF4-FFF2-40B4-BE49-F238E27FC236}">
              <a16:creationId xmlns:a16="http://schemas.microsoft.com/office/drawing/2014/main" id="{C5172479-4445-4CC7-ABD4-441C6C60B2CB}"/>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66</xdr:row>
      <xdr:rowOff>0</xdr:rowOff>
    </xdr:from>
    <xdr:ext cx="152400" cy="152400"/>
    <xdr:sp macro="" textlink="">
      <xdr:nvSpPr>
        <xdr:cNvPr id="365" name="AutoShape 8" descr="Story">
          <a:hlinkClick xmlns:r="http://schemas.openxmlformats.org/officeDocument/2006/relationships" r:id="rId4"/>
          <a:extLst>
            <a:ext uri="{FF2B5EF4-FFF2-40B4-BE49-F238E27FC236}">
              <a16:creationId xmlns:a16="http://schemas.microsoft.com/office/drawing/2014/main" id="{5FF2DEAA-05C1-437B-943D-A996FEF89959}"/>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67</xdr:row>
      <xdr:rowOff>0</xdr:rowOff>
    </xdr:from>
    <xdr:to>
      <xdr:col>0</xdr:col>
      <xdr:colOff>152400</xdr:colOff>
      <xdr:row>67</xdr:row>
      <xdr:rowOff>152400</xdr:rowOff>
    </xdr:to>
    <xdr:sp macro="" textlink="">
      <xdr:nvSpPr>
        <xdr:cNvPr id="366" name="AutoShape 10" descr="Story">
          <a:hlinkClick xmlns:r="http://schemas.openxmlformats.org/officeDocument/2006/relationships" r:id="rId6"/>
          <a:extLst>
            <a:ext uri="{FF2B5EF4-FFF2-40B4-BE49-F238E27FC236}">
              <a16:creationId xmlns:a16="http://schemas.microsoft.com/office/drawing/2014/main" id="{1BAEBBB5-557E-4AD5-8FAF-955AF0BCD825}"/>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152400</xdr:colOff>
      <xdr:row>67</xdr:row>
      <xdr:rowOff>152400</xdr:rowOff>
    </xdr:to>
    <xdr:sp macro="" textlink="">
      <xdr:nvSpPr>
        <xdr:cNvPr id="367" name="AutoShape 14" descr="Story">
          <a:hlinkClick xmlns:r="http://schemas.openxmlformats.org/officeDocument/2006/relationships" r:id="rId4"/>
          <a:extLst>
            <a:ext uri="{FF2B5EF4-FFF2-40B4-BE49-F238E27FC236}">
              <a16:creationId xmlns:a16="http://schemas.microsoft.com/office/drawing/2014/main" id="{EB2B2301-2EEA-4C60-89AF-BAFA50CD841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152400</xdr:colOff>
      <xdr:row>67</xdr:row>
      <xdr:rowOff>152400</xdr:rowOff>
    </xdr:to>
    <xdr:sp macro="" textlink="">
      <xdr:nvSpPr>
        <xdr:cNvPr id="368" name="AutoShape 10" descr="Story">
          <a:hlinkClick xmlns:r="http://schemas.openxmlformats.org/officeDocument/2006/relationships" r:id="rId6"/>
          <a:extLst>
            <a:ext uri="{FF2B5EF4-FFF2-40B4-BE49-F238E27FC236}">
              <a16:creationId xmlns:a16="http://schemas.microsoft.com/office/drawing/2014/main" id="{8A81A92C-A356-4156-9BFC-8752558E505C}"/>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xdr:row>
      <xdr:rowOff>0</xdr:rowOff>
    </xdr:from>
    <xdr:to>
      <xdr:col>0</xdr:col>
      <xdr:colOff>152400</xdr:colOff>
      <xdr:row>67</xdr:row>
      <xdr:rowOff>152400</xdr:rowOff>
    </xdr:to>
    <xdr:sp macro="" textlink="">
      <xdr:nvSpPr>
        <xdr:cNvPr id="369" name="AutoShape 14" descr="Story">
          <a:hlinkClick xmlns:r="http://schemas.openxmlformats.org/officeDocument/2006/relationships" r:id="rId4"/>
          <a:extLst>
            <a:ext uri="{FF2B5EF4-FFF2-40B4-BE49-F238E27FC236}">
              <a16:creationId xmlns:a16="http://schemas.microsoft.com/office/drawing/2014/main" id="{AF46FA13-C891-4F94-948E-45025E921B8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0</xdr:colOff>
      <xdr:row>0</xdr:row>
      <xdr:rowOff>0</xdr:rowOff>
    </xdr:from>
    <xdr:ext cx="152400" cy="152400"/>
    <xdr:sp macro="" textlink="">
      <xdr:nvSpPr>
        <xdr:cNvPr id="2" name="AutoShape 4" descr="Bug">
          <a:hlinkClick xmlns:r="http://schemas.openxmlformats.org/officeDocument/2006/relationships" r:id="rId1"/>
          <a:extLst>
            <a:ext uri="{FF2B5EF4-FFF2-40B4-BE49-F238E27FC236}">
              <a16:creationId xmlns:a16="http://schemas.microsoft.com/office/drawing/2014/main" id="{8632AD43-FF0E-4896-B2AF-7EB96A8899B9}"/>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3" name="AutoShape 6" descr="Bug">
          <a:hlinkClick xmlns:r="http://schemas.openxmlformats.org/officeDocument/2006/relationships" r:id="rId2"/>
          <a:extLst>
            <a:ext uri="{FF2B5EF4-FFF2-40B4-BE49-F238E27FC236}">
              <a16:creationId xmlns:a16="http://schemas.microsoft.com/office/drawing/2014/main" id="{7157BB88-A4B3-461F-8124-970BF43CC901}"/>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4" name="AutoShape 7" descr="Story">
          <a:hlinkClick xmlns:r="http://schemas.openxmlformats.org/officeDocument/2006/relationships" r:id="rId3"/>
          <a:extLst>
            <a:ext uri="{FF2B5EF4-FFF2-40B4-BE49-F238E27FC236}">
              <a16:creationId xmlns:a16="http://schemas.microsoft.com/office/drawing/2014/main" id="{4B303812-8B30-4CDA-9AF5-46AEFF6C47B3}"/>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5" name="AutoShape 8" descr="Story">
          <a:hlinkClick xmlns:r="http://schemas.openxmlformats.org/officeDocument/2006/relationships" r:id="rId4"/>
          <a:extLst>
            <a:ext uri="{FF2B5EF4-FFF2-40B4-BE49-F238E27FC236}">
              <a16:creationId xmlns:a16="http://schemas.microsoft.com/office/drawing/2014/main" id="{64C2F9F2-446B-444C-9A59-9948D612A6F8}"/>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6" name="AutoShape 9" descr="Story">
          <a:hlinkClick xmlns:r="http://schemas.openxmlformats.org/officeDocument/2006/relationships" r:id="rId5"/>
          <a:extLst>
            <a:ext uri="{FF2B5EF4-FFF2-40B4-BE49-F238E27FC236}">
              <a16:creationId xmlns:a16="http://schemas.microsoft.com/office/drawing/2014/main" id="{11CF6906-046F-4662-BF79-D7C8A0DDA99F}"/>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7" name="AutoShape 10" descr="Story">
          <a:hlinkClick xmlns:r="http://schemas.openxmlformats.org/officeDocument/2006/relationships" r:id="rId6"/>
          <a:extLst>
            <a:ext uri="{FF2B5EF4-FFF2-40B4-BE49-F238E27FC236}">
              <a16:creationId xmlns:a16="http://schemas.microsoft.com/office/drawing/2014/main" id="{08DDB5D0-A33A-462F-9E10-2F711DC94916}"/>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8" name="AutoShape 13" descr="Story">
          <a:hlinkClick xmlns:r="http://schemas.openxmlformats.org/officeDocument/2006/relationships" r:id="rId4"/>
          <a:extLst>
            <a:ext uri="{FF2B5EF4-FFF2-40B4-BE49-F238E27FC236}">
              <a16:creationId xmlns:a16="http://schemas.microsoft.com/office/drawing/2014/main" id="{35F73DC1-B385-4E6F-9565-66BF36348CAD}"/>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0</xdr:row>
      <xdr:rowOff>0</xdr:rowOff>
    </xdr:from>
    <xdr:ext cx="152400" cy="152400"/>
    <xdr:sp macro="" textlink="">
      <xdr:nvSpPr>
        <xdr:cNvPr id="9" name="AutoShape 14" descr="Story">
          <a:hlinkClick xmlns:r="http://schemas.openxmlformats.org/officeDocument/2006/relationships" r:id="rId4"/>
          <a:extLst>
            <a:ext uri="{FF2B5EF4-FFF2-40B4-BE49-F238E27FC236}">
              <a16:creationId xmlns:a16="http://schemas.microsoft.com/office/drawing/2014/main" id="{38F3796A-990A-4798-AFEF-9B7A381F530E}"/>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0</xdr:colOff>
      <xdr:row>0</xdr:row>
      <xdr:rowOff>0</xdr:rowOff>
    </xdr:from>
    <xdr:to>
      <xdr:col>1</xdr:col>
      <xdr:colOff>152400</xdr:colOff>
      <xdr:row>0</xdr:row>
      <xdr:rowOff>152400</xdr:rowOff>
    </xdr:to>
    <xdr:sp macro="" textlink="">
      <xdr:nvSpPr>
        <xdr:cNvPr id="10" name="AutoShape 4" descr="Bug">
          <a:hlinkClick xmlns:r="http://schemas.openxmlformats.org/officeDocument/2006/relationships" r:id="rId1"/>
          <a:extLst>
            <a:ext uri="{FF2B5EF4-FFF2-40B4-BE49-F238E27FC236}">
              <a16:creationId xmlns:a16="http://schemas.microsoft.com/office/drawing/2014/main" id="{1411F898-DA07-45C0-AF39-41B0FEB1A358}"/>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11" name="AutoShape 6" descr="Bug">
          <a:hlinkClick xmlns:r="http://schemas.openxmlformats.org/officeDocument/2006/relationships" r:id="rId2"/>
          <a:extLst>
            <a:ext uri="{FF2B5EF4-FFF2-40B4-BE49-F238E27FC236}">
              <a16:creationId xmlns:a16="http://schemas.microsoft.com/office/drawing/2014/main" id="{14E46996-A037-47DD-BFC8-369B777B99A4}"/>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12" name="AutoShape 7" descr="Story">
          <a:hlinkClick xmlns:r="http://schemas.openxmlformats.org/officeDocument/2006/relationships" r:id="rId3"/>
          <a:extLst>
            <a:ext uri="{FF2B5EF4-FFF2-40B4-BE49-F238E27FC236}">
              <a16:creationId xmlns:a16="http://schemas.microsoft.com/office/drawing/2014/main" id="{517D0864-2A90-4173-92FF-7F4E09D54BBC}"/>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13" name="AutoShape 8" descr="Story">
          <a:hlinkClick xmlns:r="http://schemas.openxmlformats.org/officeDocument/2006/relationships" r:id="rId4"/>
          <a:extLst>
            <a:ext uri="{FF2B5EF4-FFF2-40B4-BE49-F238E27FC236}">
              <a16:creationId xmlns:a16="http://schemas.microsoft.com/office/drawing/2014/main" id="{A87D773E-1364-4B81-850C-40DE1A752750}"/>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14" name="AutoShape 9" descr="Story">
          <a:hlinkClick xmlns:r="http://schemas.openxmlformats.org/officeDocument/2006/relationships" r:id="rId5"/>
          <a:extLst>
            <a:ext uri="{FF2B5EF4-FFF2-40B4-BE49-F238E27FC236}">
              <a16:creationId xmlns:a16="http://schemas.microsoft.com/office/drawing/2014/main" id="{D5697545-2FC8-423F-B5A5-56F6C0BE4D50}"/>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15" name="AutoShape 10" descr="Story">
          <a:hlinkClick xmlns:r="http://schemas.openxmlformats.org/officeDocument/2006/relationships" r:id="rId6"/>
          <a:extLst>
            <a:ext uri="{FF2B5EF4-FFF2-40B4-BE49-F238E27FC236}">
              <a16:creationId xmlns:a16="http://schemas.microsoft.com/office/drawing/2014/main" id="{34000224-EA07-4AB5-8622-1DF199E5DE39}"/>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16" name="AutoShape 13" descr="Story">
          <a:hlinkClick xmlns:r="http://schemas.openxmlformats.org/officeDocument/2006/relationships" r:id="rId4"/>
          <a:extLst>
            <a:ext uri="{FF2B5EF4-FFF2-40B4-BE49-F238E27FC236}">
              <a16:creationId xmlns:a16="http://schemas.microsoft.com/office/drawing/2014/main" id="{20BA6428-9010-475E-A87B-CDF731AFFED6}"/>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0</xdr:row>
      <xdr:rowOff>0</xdr:rowOff>
    </xdr:from>
    <xdr:to>
      <xdr:col>1</xdr:col>
      <xdr:colOff>152400</xdr:colOff>
      <xdr:row>0</xdr:row>
      <xdr:rowOff>152400</xdr:rowOff>
    </xdr:to>
    <xdr:sp macro="" textlink="">
      <xdr:nvSpPr>
        <xdr:cNvPr id="17" name="AutoShape 14" descr="Story">
          <a:hlinkClick xmlns:r="http://schemas.openxmlformats.org/officeDocument/2006/relationships" r:id="rId4"/>
          <a:extLst>
            <a:ext uri="{FF2B5EF4-FFF2-40B4-BE49-F238E27FC236}">
              <a16:creationId xmlns:a16="http://schemas.microsoft.com/office/drawing/2014/main" id="{EB2B0B24-3AAE-43CE-95EE-6E9A942C113F}"/>
            </a:ext>
          </a:extLst>
        </xdr:cNvPr>
        <xdr:cNvSpPr>
          <a:spLocks noChangeAspect="1" noChangeArrowheads="1"/>
        </xdr:cNvSpPr>
      </xdr:nvSpPr>
      <xdr:spPr bwMode="auto">
        <a:xfrm>
          <a:off x="1219200" y="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xdr:row>
      <xdr:rowOff>0</xdr:rowOff>
    </xdr:from>
    <xdr:to>
      <xdr:col>0</xdr:col>
      <xdr:colOff>152400</xdr:colOff>
      <xdr:row>56</xdr:row>
      <xdr:rowOff>152400</xdr:rowOff>
    </xdr:to>
    <xdr:sp macro="" textlink="">
      <xdr:nvSpPr>
        <xdr:cNvPr id="18" name="AutoShape 1" descr="Story">
          <a:hlinkClick xmlns:r="http://schemas.openxmlformats.org/officeDocument/2006/relationships" r:id="rId7"/>
          <a:extLst>
            <a:ext uri="{FF2B5EF4-FFF2-40B4-BE49-F238E27FC236}">
              <a16:creationId xmlns:a16="http://schemas.microsoft.com/office/drawing/2014/main" id="{335F5458-1B2E-4904-8B68-5AC6F70D4BB2}"/>
            </a:ext>
          </a:extLst>
        </xdr:cNvPr>
        <xdr:cNvSpPr>
          <a:spLocks noChangeAspect="1" noChangeArrowheads="1"/>
        </xdr:cNvSpPr>
      </xdr:nvSpPr>
      <xdr:spPr bwMode="auto">
        <a:xfrm>
          <a:off x="0" y="10972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xdr:row>
      <xdr:rowOff>0</xdr:rowOff>
    </xdr:from>
    <xdr:to>
      <xdr:col>0</xdr:col>
      <xdr:colOff>152400</xdr:colOff>
      <xdr:row>55</xdr:row>
      <xdr:rowOff>152400</xdr:rowOff>
    </xdr:to>
    <xdr:sp macro="" textlink="">
      <xdr:nvSpPr>
        <xdr:cNvPr id="19" name="AutoShape 2" descr="Story">
          <a:hlinkClick xmlns:r="http://schemas.openxmlformats.org/officeDocument/2006/relationships" r:id="rId8"/>
          <a:extLst>
            <a:ext uri="{FF2B5EF4-FFF2-40B4-BE49-F238E27FC236}">
              <a16:creationId xmlns:a16="http://schemas.microsoft.com/office/drawing/2014/main" id="{57C7B21E-98D4-4516-82DC-9873AB104257}"/>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xdr:row>
      <xdr:rowOff>0</xdr:rowOff>
    </xdr:from>
    <xdr:to>
      <xdr:col>0</xdr:col>
      <xdr:colOff>152400</xdr:colOff>
      <xdr:row>54</xdr:row>
      <xdr:rowOff>152400</xdr:rowOff>
    </xdr:to>
    <xdr:sp macro="" textlink="">
      <xdr:nvSpPr>
        <xdr:cNvPr id="20" name="AutoShape 3" descr="Story">
          <a:hlinkClick xmlns:r="http://schemas.openxmlformats.org/officeDocument/2006/relationships" r:id="rId9"/>
          <a:extLst>
            <a:ext uri="{FF2B5EF4-FFF2-40B4-BE49-F238E27FC236}">
              <a16:creationId xmlns:a16="http://schemas.microsoft.com/office/drawing/2014/main" id="{D3F4B54C-EF70-4CA7-BBDA-810CC1E9E2B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xdr:row>
      <xdr:rowOff>0</xdr:rowOff>
    </xdr:from>
    <xdr:to>
      <xdr:col>0</xdr:col>
      <xdr:colOff>152400</xdr:colOff>
      <xdr:row>51</xdr:row>
      <xdr:rowOff>152400</xdr:rowOff>
    </xdr:to>
    <xdr:sp macro="" textlink="">
      <xdr:nvSpPr>
        <xdr:cNvPr id="21" name="AutoShape 4" descr="Bug">
          <a:hlinkClick xmlns:r="http://schemas.openxmlformats.org/officeDocument/2006/relationships" r:id="rId1"/>
          <a:extLst>
            <a:ext uri="{FF2B5EF4-FFF2-40B4-BE49-F238E27FC236}">
              <a16:creationId xmlns:a16="http://schemas.microsoft.com/office/drawing/2014/main" id="{B4F378F9-32A7-4CFE-95A3-10BDA0CC1F2E}"/>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xdr:row>
      <xdr:rowOff>0</xdr:rowOff>
    </xdr:from>
    <xdr:to>
      <xdr:col>0</xdr:col>
      <xdr:colOff>152400</xdr:colOff>
      <xdr:row>55</xdr:row>
      <xdr:rowOff>152400</xdr:rowOff>
    </xdr:to>
    <xdr:sp macro="" textlink="">
      <xdr:nvSpPr>
        <xdr:cNvPr id="22" name="AutoShape 5" descr="Story">
          <a:hlinkClick xmlns:r="http://schemas.openxmlformats.org/officeDocument/2006/relationships" r:id="rId10"/>
          <a:extLst>
            <a:ext uri="{FF2B5EF4-FFF2-40B4-BE49-F238E27FC236}">
              <a16:creationId xmlns:a16="http://schemas.microsoft.com/office/drawing/2014/main" id="{9DBD8B99-434E-4F51-B137-FAD17501517D}"/>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xdr:row>
      <xdr:rowOff>0</xdr:rowOff>
    </xdr:from>
    <xdr:to>
      <xdr:col>0</xdr:col>
      <xdr:colOff>152400</xdr:colOff>
      <xdr:row>51</xdr:row>
      <xdr:rowOff>152400</xdr:rowOff>
    </xdr:to>
    <xdr:sp macro="" textlink="">
      <xdr:nvSpPr>
        <xdr:cNvPr id="23" name="AutoShape 6" descr="Bug">
          <a:hlinkClick xmlns:r="http://schemas.openxmlformats.org/officeDocument/2006/relationships" r:id="rId2"/>
          <a:extLst>
            <a:ext uri="{FF2B5EF4-FFF2-40B4-BE49-F238E27FC236}">
              <a16:creationId xmlns:a16="http://schemas.microsoft.com/office/drawing/2014/main" id="{73E0864C-9CEC-451B-8760-8F8545C2370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xdr:row>
      <xdr:rowOff>0</xdr:rowOff>
    </xdr:from>
    <xdr:to>
      <xdr:col>0</xdr:col>
      <xdr:colOff>152400</xdr:colOff>
      <xdr:row>51</xdr:row>
      <xdr:rowOff>152400</xdr:rowOff>
    </xdr:to>
    <xdr:sp macro="" textlink="">
      <xdr:nvSpPr>
        <xdr:cNvPr id="24" name="AutoShape 7" descr="Story">
          <a:hlinkClick xmlns:r="http://schemas.openxmlformats.org/officeDocument/2006/relationships" r:id="rId3"/>
          <a:extLst>
            <a:ext uri="{FF2B5EF4-FFF2-40B4-BE49-F238E27FC236}">
              <a16:creationId xmlns:a16="http://schemas.microsoft.com/office/drawing/2014/main" id="{6956971C-D5A9-4673-830C-E37124800B8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xdr:row>
      <xdr:rowOff>0</xdr:rowOff>
    </xdr:from>
    <xdr:to>
      <xdr:col>0</xdr:col>
      <xdr:colOff>152400</xdr:colOff>
      <xdr:row>51</xdr:row>
      <xdr:rowOff>152400</xdr:rowOff>
    </xdr:to>
    <xdr:sp macro="" textlink="">
      <xdr:nvSpPr>
        <xdr:cNvPr id="25" name="AutoShape 8" descr="Story">
          <a:hlinkClick xmlns:r="http://schemas.openxmlformats.org/officeDocument/2006/relationships" r:id="rId4"/>
          <a:extLst>
            <a:ext uri="{FF2B5EF4-FFF2-40B4-BE49-F238E27FC236}">
              <a16:creationId xmlns:a16="http://schemas.microsoft.com/office/drawing/2014/main" id="{404E7E9B-5D63-4400-A09F-47893C5731E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xdr:row>
      <xdr:rowOff>0</xdr:rowOff>
    </xdr:from>
    <xdr:to>
      <xdr:col>0</xdr:col>
      <xdr:colOff>152400</xdr:colOff>
      <xdr:row>51</xdr:row>
      <xdr:rowOff>152400</xdr:rowOff>
    </xdr:to>
    <xdr:sp macro="" textlink="">
      <xdr:nvSpPr>
        <xdr:cNvPr id="26" name="AutoShape 9" descr="Story">
          <a:hlinkClick xmlns:r="http://schemas.openxmlformats.org/officeDocument/2006/relationships" r:id="rId5"/>
          <a:extLst>
            <a:ext uri="{FF2B5EF4-FFF2-40B4-BE49-F238E27FC236}">
              <a16:creationId xmlns:a16="http://schemas.microsoft.com/office/drawing/2014/main" id="{68F09745-F5C0-4094-AA84-0978EECA00FC}"/>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xdr:row>
      <xdr:rowOff>0</xdr:rowOff>
    </xdr:from>
    <xdr:to>
      <xdr:col>0</xdr:col>
      <xdr:colOff>152400</xdr:colOff>
      <xdr:row>52</xdr:row>
      <xdr:rowOff>152400</xdr:rowOff>
    </xdr:to>
    <xdr:sp macro="" textlink="">
      <xdr:nvSpPr>
        <xdr:cNvPr id="27" name="AutoShape 10" descr="Story">
          <a:hlinkClick xmlns:r="http://schemas.openxmlformats.org/officeDocument/2006/relationships" r:id="rId6"/>
          <a:extLst>
            <a:ext uri="{FF2B5EF4-FFF2-40B4-BE49-F238E27FC236}">
              <a16:creationId xmlns:a16="http://schemas.microsoft.com/office/drawing/2014/main" id="{A6BF9F56-4067-4A5E-BEA4-EC239BB06E10}"/>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xdr:row>
      <xdr:rowOff>0</xdr:rowOff>
    </xdr:from>
    <xdr:to>
      <xdr:col>0</xdr:col>
      <xdr:colOff>152400</xdr:colOff>
      <xdr:row>55</xdr:row>
      <xdr:rowOff>152400</xdr:rowOff>
    </xdr:to>
    <xdr:sp macro="" textlink="">
      <xdr:nvSpPr>
        <xdr:cNvPr id="28" name="AutoShape 11" descr="Story">
          <a:hlinkClick xmlns:r="http://schemas.openxmlformats.org/officeDocument/2006/relationships" r:id="rId11"/>
          <a:extLst>
            <a:ext uri="{FF2B5EF4-FFF2-40B4-BE49-F238E27FC236}">
              <a16:creationId xmlns:a16="http://schemas.microsoft.com/office/drawing/2014/main" id="{381845F4-6525-476E-8F86-2EDAB633DED1}"/>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xdr:row>
      <xdr:rowOff>0</xdr:rowOff>
    </xdr:from>
    <xdr:to>
      <xdr:col>0</xdr:col>
      <xdr:colOff>152400</xdr:colOff>
      <xdr:row>54</xdr:row>
      <xdr:rowOff>152400</xdr:rowOff>
    </xdr:to>
    <xdr:sp macro="" textlink="">
      <xdr:nvSpPr>
        <xdr:cNvPr id="29" name="AutoShape 12" descr="Story">
          <a:hlinkClick xmlns:r="http://schemas.openxmlformats.org/officeDocument/2006/relationships" r:id="rId8"/>
          <a:extLst>
            <a:ext uri="{FF2B5EF4-FFF2-40B4-BE49-F238E27FC236}">
              <a16:creationId xmlns:a16="http://schemas.microsoft.com/office/drawing/2014/main" id="{3AA85CE6-AF52-4AA2-BC0A-3E8BA3AF920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xdr:row>
      <xdr:rowOff>0</xdr:rowOff>
    </xdr:from>
    <xdr:to>
      <xdr:col>0</xdr:col>
      <xdr:colOff>152400</xdr:colOff>
      <xdr:row>51</xdr:row>
      <xdr:rowOff>152400</xdr:rowOff>
    </xdr:to>
    <xdr:sp macro="" textlink="">
      <xdr:nvSpPr>
        <xdr:cNvPr id="30" name="AutoShape 13" descr="Story">
          <a:hlinkClick xmlns:r="http://schemas.openxmlformats.org/officeDocument/2006/relationships" r:id="rId4"/>
          <a:extLst>
            <a:ext uri="{FF2B5EF4-FFF2-40B4-BE49-F238E27FC236}">
              <a16:creationId xmlns:a16="http://schemas.microsoft.com/office/drawing/2014/main" id="{A8D7F8B1-4459-45A8-874C-654FDF52412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xdr:row>
      <xdr:rowOff>0</xdr:rowOff>
    </xdr:from>
    <xdr:to>
      <xdr:col>0</xdr:col>
      <xdr:colOff>152400</xdr:colOff>
      <xdr:row>52</xdr:row>
      <xdr:rowOff>152400</xdr:rowOff>
    </xdr:to>
    <xdr:sp macro="" textlink="">
      <xdr:nvSpPr>
        <xdr:cNvPr id="31" name="AutoShape 14" descr="Story">
          <a:hlinkClick xmlns:r="http://schemas.openxmlformats.org/officeDocument/2006/relationships" r:id="rId4"/>
          <a:extLst>
            <a:ext uri="{FF2B5EF4-FFF2-40B4-BE49-F238E27FC236}">
              <a16:creationId xmlns:a16="http://schemas.microsoft.com/office/drawing/2014/main" id="{2D13FDC2-8652-411A-A2C7-C901E793146F}"/>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xdr:row>
      <xdr:rowOff>0</xdr:rowOff>
    </xdr:from>
    <xdr:to>
      <xdr:col>0</xdr:col>
      <xdr:colOff>152400</xdr:colOff>
      <xdr:row>55</xdr:row>
      <xdr:rowOff>152400</xdr:rowOff>
    </xdr:to>
    <xdr:sp macro="" textlink="">
      <xdr:nvSpPr>
        <xdr:cNvPr id="32" name="AutoShape 15" descr="Story">
          <a:hlinkClick xmlns:r="http://schemas.openxmlformats.org/officeDocument/2006/relationships" r:id="rId4"/>
          <a:extLst>
            <a:ext uri="{FF2B5EF4-FFF2-40B4-BE49-F238E27FC236}">
              <a16:creationId xmlns:a16="http://schemas.microsoft.com/office/drawing/2014/main" id="{77A8804C-12AB-4ECC-AE29-EC948EE79C90}"/>
            </a:ext>
          </a:extLst>
        </xdr:cNvPr>
        <xdr:cNvSpPr>
          <a:spLocks noChangeAspect="1" noChangeArrowheads="1"/>
        </xdr:cNvSpPr>
      </xdr:nvSpPr>
      <xdr:spPr bwMode="auto">
        <a:xfrm>
          <a:off x="0" y="91440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51</xdr:row>
      <xdr:rowOff>0</xdr:rowOff>
    </xdr:from>
    <xdr:ext cx="152400" cy="152400"/>
    <xdr:sp macro="" textlink="">
      <xdr:nvSpPr>
        <xdr:cNvPr id="33" name="AutoShape 1" descr="Story">
          <a:hlinkClick xmlns:r="http://schemas.openxmlformats.org/officeDocument/2006/relationships" r:id="rId12"/>
          <a:extLst>
            <a:ext uri="{FF2B5EF4-FFF2-40B4-BE49-F238E27FC236}">
              <a16:creationId xmlns:a16="http://schemas.microsoft.com/office/drawing/2014/main" id="{CC2AE961-235E-4B03-8A30-06F365B353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34" name="AutoShape 2" descr="Story">
          <a:hlinkClick xmlns:r="http://schemas.openxmlformats.org/officeDocument/2006/relationships" r:id="rId13"/>
          <a:extLst>
            <a:ext uri="{FF2B5EF4-FFF2-40B4-BE49-F238E27FC236}">
              <a16:creationId xmlns:a16="http://schemas.microsoft.com/office/drawing/2014/main" id="{5199282E-D3F0-4A86-BB89-8ABDCA0CECCA}"/>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35" name="AutoShape 5" descr="Story">
          <a:hlinkClick xmlns:r="http://schemas.openxmlformats.org/officeDocument/2006/relationships" r:id="rId6"/>
          <a:extLst>
            <a:ext uri="{FF2B5EF4-FFF2-40B4-BE49-F238E27FC236}">
              <a16:creationId xmlns:a16="http://schemas.microsoft.com/office/drawing/2014/main" id="{B356EBF4-E776-42FF-8D6D-8606A38F8DF6}"/>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36" name="AutoShape 1" descr="Sub-task">
          <a:hlinkClick xmlns:r="http://schemas.openxmlformats.org/officeDocument/2006/relationships" r:id="rId14"/>
          <a:extLst>
            <a:ext uri="{FF2B5EF4-FFF2-40B4-BE49-F238E27FC236}">
              <a16:creationId xmlns:a16="http://schemas.microsoft.com/office/drawing/2014/main" id="{8D3FE086-7EC2-4957-A067-B0A5E721E4D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37" name="AutoShape 2" descr="Sub-task">
          <a:hlinkClick xmlns:r="http://schemas.openxmlformats.org/officeDocument/2006/relationships" r:id="rId15"/>
          <a:extLst>
            <a:ext uri="{FF2B5EF4-FFF2-40B4-BE49-F238E27FC236}">
              <a16:creationId xmlns:a16="http://schemas.microsoft.com/office/drawing/2014/main" id="{5B05C0EF-CF19-4887-AC78-F256F7B0D34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38" name="AutoShape 3" descr="Story">
          <a:hlinkClick xmlns:r="http://schemas.openxmlformats.org/officeDocument/2006/relationships" r:id="rId9"/>
          <a:extLst>
            <a:ext uri="{FF2B5EF4-FFF2-40B4-BE49-F238E27FC236}">
              <a16:creationId xmlns:a16="http://schemas.microsoft.com/office/drawing/2014/main" id="{495FA554-F25E-4702-BB1E-37F8990CD553}"/>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39" name="AutoShape 12" descr="Story">
          <a:hlinkClick xmlns:r="http://schemas.openxmlformats.org/officeDocument/2006/relationships" r:id="rId8"/>
          <a:extLst>
            <a:ext uri="{FF2B5EF4-FFF2-40B4-BE49-F238E27FC236}">
              <a16:creationId xmlns:a16="http://schemas.microsoft.com/office/drawing/2014/main" id="{2B0860AA-3046-4858-B2D7-588DB296A6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40" name="AutoShape 1" descr="Story">
          <a:hlinkClick xmlns:r="http://schemas.openxmlformats.org/officeDocument/2006/relationships" r:id="rId7"/>
          <a:extLst>
            <a:ext uri="{FF2B5EF4-FFF2-40B4-BE49-F238E27FC236}">
              <a16:creationId xmlns:a16="http://schemas.microsoft.com/office/drawing/2014/main" id="{D31A04A8-CFF0-468D-A1B7-B4F5CA24857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41" name="AutoShape 1" descr="Story">
          <a:hlinkClick xmlns:r="http://schemas.openxmlformats.org/officeDocument/2006/relationships" r:id="rId7"/>
          <a:extLst>
            <a:ext uri="{FF2B5EF4-FFF2-40B4-BE49-F238E27FC236}">
              <a16:creationId xmlns:a16="http://schemas.microsoft.com/office/drawing/2014/main" id="{B808F0CA-021F-4C9C-A196-90E13DED1677}"/>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42" name="AutoShape 3" descr="Story">
          <a:hlinkClick xmlns:r="http://schemas.openxmlformats.org/officeDocument/2006/relationships" r:id="rId4"/>
          <a:extLst>
            <a:ext uri="{FF2B5EF4-FFF2-40B4-BE49-F238E27FC236}">
              <a16:creationId xmlns:a16="http://schemas.microsoft.com/office/drawing/2014/main" id="{60312C91-4AAA-4D69-A5D0-A7D5020D841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43" name="AutoShape 4" descr="Story">
          <a:hlinkClick xmlns:r="http://schemas.openxmlformats.org/officeDocument/2006/relationships" r:id="rId5"/>
          <a:extLst>
            <a:ext uri="{FF2B5EF4-FFF2-40B4-BE49-F238E27FC236}">
              <a16:creationId xmlns:a16="http://schemas.microsoft.com/office/drawing/2014/main" id="{18091A8E-D664-458E-8A7C-07D16780E3A4}"/>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152400" cy="152400"/>
    <xdr:sp macro="" textlink="">
      <xdr:nvSpPr>
        <xdr:cNvPr id="44" name="AutoShape 1" descr="Story">
          <a:hlinkClick xmlns:r="http://schemas.openxmlformats.org/officeDocument/2006/relationships" r:id="rId12"/>
          <a:extLst>
            <a:ext uri="{FF2B5EF4-FFF2-40B4-BE49-F238E27FC236}">
              <a16:creationId xmlns:a16="http://schemas.microsoft.com/office/drawing/2014/main" id="{350DED04-F18D-47FB-A3A3-75C4EBDBEFAB}"/>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152400" cy="152400"/>
    <xdr:sp macro="" textlink="">
      <xdr:nvSpPr>
        <xdr:cNvPr id="45" name="AutoShape 2" descr="Story">
          <a:hlinkClick xmlns:r="http://schemas.openxmlformats.org/officeDocument/2006/relationships" r:id="rId13"/>
          <a:extLst>
            <a:ext uri="{FF2B5EF4-FFF2-40B4-BE49-F238E27FC236}">
              <a16:creationId xmlns:a16="http://schemas.microsoft.com/office/drawing/2014/main" id="{47B22664-237D-4ECA-8E91-9759F7EBB9F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46" name="AutoShape 3" descr="Story">
          <a:hlinkClick xmlns:r="http://schemas.openxmlformats.org/officeDocument/2006/relationships" r:id="rId4"/>
          <a:extLst>
            <a:ext uri="{FF2B5EF4-FFF2-40B4-BE49-F238E27FC236}">
              <a16:creationId xmlns:a16="http://schemas.microsoft.com/office/drawing/2014/main" id="{7A21C8FE-093A-4945-BF00-A4182937F0AF}"/>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47" name="AutoShape 4" descr="Story">
          <a:hlinkClick xmlns:r="http://schemas.openxmlformats.org/officeDocument/2006/relationships" r:id="rId5"/>
          <a:extLst>
            <a:ext uri="{FF2B5EF4-FFF2-40B4-BE49-F238E27FC236}">
              <a16:creationId xmlns:a16="http://schemas.microsoft.com/office/drawing/2014/main" id="{4DB27F8A-3AA4-43D2-AFCA-F1E14CEB6505}"/>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152400" cy="152400"/>
    <xdr:sp macro="" textlink="">
      <xdr:nvSpPr>
        <xdr:cNvPr id="48" name="AutoShape 5" descr="Story">
          <a:hlinkClick xmlns:r="http://schemas.openxmlformats.org/officeDocument/2006/relationships" r:id="rId6"/>
          <a:extLst>
            <a:ext uri="{FF2B5EF4-FFF2-40B4-BE49-F238E27FC236}">
              <a16:creationId xmlns:a16="http://schemas.microsoft.com/office/drawing/2014/main" id="{4910E3FC-8BBC-429B-8FE6-A791B7591538}"/>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152400" cy="152400"/>
    <xdr:sp macro="" textlink="">
      <xdr:nvSpPr>
        <xdr:cNvPr id="49" name="AutoShape 1" descr="Sub-task">
          <a:hlinkClick xmlns:r="http://schemas.openxmlformats.org/officeDocument/2006/relationships" r:id="rId14"/>
          <a:extLst>
            <a:ext uri="{FF2B5EF4-FFF2-40B4-BE49-F238E27FC236}">
              <a16:creationId xmlns:a16="http://schemas.microsoft.com/office/drawing/2014/main" id="{BD13687D-1309-4BCA-86A9-5AD60266480C}"/>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152400" cy="152400"/>
    <xdr:sp macro="" textlink="">
      <xdr:nvSpPr>
        <xdr:cNvPr id="50" name="AutoShape 2" descr="Sub-task">
          <a:hlinkClick xmlns:r="http://schemas.openxmlformats.org/officeDocument/2006/relationships" r:id="rId15"/>
          <a:extLst>
            <a:ext uri="{FF2B5EF4-FFF2-40B4-BE49-F238E27FC236}">
              <a16:creationId xmlns:a16="http://schemas.microsoft.com/office/drawing/2014/main" id="{55D8A506-538A-4336-B5EA-F30A2A4BCED5}"/>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51" name="AutoShape 7" descr="Story">
          <a:hlinkClick xmlns:r="http://schemas.openxmlformats.org/officeDocument/2006/relationships" r:id="rId3"/>
          <a:extLst>
            <a:ext uri="{FF2B5EF4-FFF2-40B4-BE49-F238E27FC236}">
              <a16:creationId xmlns:a16="http://schemas.microsoft.com/office/drawing/2014/main" id="{00C5CD8F-361A-4F57-BB60-D1FA7150C5E8}"/>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152400" cy="152400"/>
    <xdr:sp macro="" textlink="">
      <xdr:nvSpPr>
        <xdr:cNvPr id="52" name="AutoShape 3" descr="Story">
          <a:hlinkClick xmlns:r="http://schemas.openxmlformats.org/officeDocument/2006/relationships" r:id="rId9"/>
          <a:extLst>
            <a:ext uri="{FF2B5EF4-FFF2-40B4-BE49-F238E27FC236}">
              <a16:creationId xmlns:a16="http://schemas.microsoft.com/office/drawing/2014/main" id="{DD863EE4-22D7-4CCD-BA8A-F8E3FD575C8A}"/>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152400" cy="152400"/>
    <xdr:sp macro="" textlink="">
      <xdr:nvSpPr>
        <xdr:cNvPr id="53" name="AutoShape 12" descr="Story">
          <a:hlinkClick xmlns:r="http://schemas.openxmlformats.org/officeDocument/2006/relationships" r:id="rId8"/>
          <a:extLst>
            <a:ext uri="{FF2B5EF4-FFF2-40B4-BE49-F238E27FC236}">
              <a16:creationId xmlns:a16="http://schemas.microsoft.com/office/drawing/2014/main" id="{33D8D639-225A-4652-82AD-684FF382BCB7}"/>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152400" cy="152400"/>
    <xdr:sp macro="" textlink="">
      <xdr:nvSpPr>
        <xdr:cNvPr id="54" name="AutoShape 1" descr="Story">
          <a:hlinkClick xmlns:r="http://schemas.openxmlformats.org/officeDocument/2006/relationships" r:id="rId7"/>
          <a:extLst>
            <a:ext uri="{FF2B5EF4-FFF2-40B4-BE49-F238E27FC236}">
              <a16:creationId xmlns:a16="http://schemas.microsoft.com/office/drawing/2014/main" id="{DEC893E3-6C8E-4B4C-95D6-25A24F2447A0}"/>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152400" cy="152400"/>
    <xdr:sp macro="" textlink="">
      <xdr:nvSpPr>
        <xdr:cNvPr id="55" name="AutoShape 1" descr="Story">
          <a:hlinkClick xmlns:r="http://schemas.openxmlformats.org/officeDocument/2006/relationships" r:id="rId7"/>
          <a:extLst>
            <a:ext uri="{FF2B5EF4-FFF2-40B4-BE49-F238E27FC236}">
              <a16:creationId xmlns:a16="http://schemas.microsoft.com/office/drawing/2014/main" id="{3B04426A-51B1-4E0D-A1B3-213EB2DF477E}"/>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152400" cy="152400"/>
    <xdr:sp macro="" textlink="">
      <xdr:nvSpPr>
        <xdr:cNvPr id="56" name="AutoShape 3" descr="Story">
          <a:hlinkClick xmlns:r="http://schemas.openxmlformats.org/officeDocument/2006/relationships" r:id="rId4"/>
          <a:extLst>
            <a:ext uri="{FF2B5EF4-FFF2-40B4-BE49-F238E27FC236}">
              <a16:creationId xmlns:a16="http://schemas.microsoft.com/office/drawing/2014/main" id="{F94E2421-3621-456C-802D-991A01D0C659}"/>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152400" cy="152400"/>
    <xdr:sp macro="" textlink="">
      <xdr:nvSpPr>
        <xdr:cNvPr id="57" name="AutoShape 4" descr="Story">
          <a:hlinkClick xmlns:r="http://schemas.openxmlformats.org/officeDocument/2006/relationships" r:id="rId5"/>
          <a:extLst>
            <a:ext uri="{FF2B5EF4-FFF2-40B4-BE49-F238E27FC236}">
              <a16:creationId xmlns:a16="http://schemas.microsoft.com/office/drawing/2014/main" id="{1216D28F-DA19-4195-8795-44468E0DC8EF}"/>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152400" cy="152400"/>
    <xdr:sp macro="" textlink="">
      <xdr:nvSpPr>
        <xdr:cNvPr id="58" name="AutoShape 7" descr="Story">
          <a:hlinkClick xmlns:r="http://schemas.openxmlformats.org/officeDocument/2006/relationships" r:id="rId3"/>
          <a:extLst>
            <a:ext uri="{FF2B5EF4-FFF2-40B4-BE49-F238E27FC236}">
              <a16:creationId xmlns:a16="http://schemas.microsoft.com/office/drawing/2014/main" id="{2A21CF29-3B0F-49D8-83DF-5C4C6AC36AF8}"/>
            </a:ext>
          </a:extLst>
        </xdr:cNvPr>
        <xdr:cNvSpPr>
          <a:spLocks noChangeAspect="1" noChangeArrowheads="1"/>
        </xdr:cNvSpPr>
      </xdr:nvSpPr>
      <xdr:spPr bwMode="auto">
        <a:xfrm>
          <a:off x="0" y="73152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59" name="AutoShape 8" descr="Story">
          <a:hlinkClick xmlns:r="http://schemas.openxmlformats.org/officeDocument/2006/relationships" r:id="rId4"/>
          <a:extLst>
            <a:ext uri="{FF2B5EF4-FFF2-40B4-BE49-F238E27FC236}">
              <a16:creationId xmlns:a16="http://schemas.microsoft.com/office/drawing/2014/main" id="{E14F7618-F70D-44D0-ADF6-B72F756E03BD}"/>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152400" cy="152400"/>
    <xdr:sp macro="" textlink="">
      <xdr:nvSpPr>
        <xdr:cNvPr id="60" name="AutoShape 8" descr="Story">
          <a:hlinkClick xmlns:r="http://schemas.openxmlformats.org/officeDocument/2006/relationships" r:id="rId4"/>
          <a:extLst>
            <a:ext uri="{FF2B5EF4-FFF2-40B4-BE49-F238E27FC236}">
              <a16:creationId xmlns:a16="http://schemas.microsoft.com/office/drawing/2014/main" id="{68AEF067-40B8-4A82-89C2-59BAA9F20351}"/>
            </a:ext>
          </a:extLst>
        </xdr:cNvPr>
        <xdr:cNvSpPr>
          <a:spLocks noChangeAspect="1" noChangeArrowheads="1"/>
        </xdr:cNvSpPr>
      </xdr:nvSpPr>
      <xdr:spPr bwMode="auto">
        <a:xfrm>
          <a:off x="0" y="18288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52</xdr:row>
      <xdr:rowOff>0</xdr:rowOff>
    </xdr:from>
    <xdr:to>
      <xdr:col>0</xdr:col>
      <xdr:colOff>152400</xdr:colOff>
      <xdr:row>52</xdr:row>
      <xdr:rowOff>152400</xdr:rowOff>
    </xdr:to>
    <xdr:sp macro="" textlink="">
      <xdr:nvSpPr>
        <xdr:cNvPr id="61" name="AutoShape 10" descr="Story">
          <a:hlinkClick xmlns:r="http://schemas.openxmlformats.org/officeDocument/2006/relationships" r:id="rId6"/>
          <a:extLst>
            <a:ext uri="{FF2B5EF4-FFF2-40B4-BE49-F238E27FC236}">
              <a16:creationId xmlns:a16="http://schemas.microsoft.com/office/drawing/2014/main" id="{16E58986-EF7B-465E-89CA-45F7571C131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xdr:row>
      <xdr:rowOff>0</xdr:rowOff>
    </xdr:from>
    <xdr:to>
      <xdr:col>0</xdr:col>
      <xdr:colOff>152400</xdr:colOff>
      <xdr:row>52</xdr:row>
      <xdr:rowOff>152400</xdr:rowOff>
    </xdr:to>
    <xdr:sp macro="" textlink="">
      <xdr:nvSpPr>
        <xdr:cNvPr id="62" name="AutoShape 14" descr="Story">
          <a:hlinkClick xmlns:r="http://schemas.openxmlformats.org/officeDocument/2006/relationships" r:id="rId4"/>
          <a:extLst>
            <a:ext uri="{FF2B5EF4-FFF2-40B4-BE49-F238E27FC236}">
              <a16:creationId xmlns:a16="http://schemas.microsoft.com/office/drawing/2014/main" id="{11E16FE7-6F78-4148-9C32-0C8C55FE23D3}"/>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xdr:row>
      <xdr:rowOff>0</xdr:rowOff>
    </xdr:from>
    <xdr:to>
      <xdr:col>0</xdr:col>
      <xdr:colOff>152400</xdr:colOff>
      <xdr:row>52</xdr:row>
      <xdr:rowOff>152400</xdr:rowOff>
    </xdr:to>
    <xdr:sp macro="" textlink="">
      <xdr:nvSpPr>
        <xdr:cNvPr id="63" name="AutoShape 10" descr="Story">
          <a:hlinkClick xmlns:r="http://schemas.openxmlformats.org/officeDocument/2006/relationships" r:id="rId6"/>
          <a:extLst>
            <a:ext uri="{FF2B5EF4-FFF2-40B4-BE49-F238E27FC236}">
              <a16:creationId xmlns:a16="http://schemas.microsoft.com/office/drawing/2014/main" id="{1D1642C8-AA9A-41E8-B8BC-519852AFF13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xdr:row>
      <xdr:rowOff>0</xdr:rowOff>
    </xdr:from>
    <xdr:to>
      <xdr:col>0</xdr:col>
      <xdr:colOff>152400</xdr:colOff>
      <xdr:row>52</xdr:row>
      <xdr:rowOff>152400</xdr:rowOff>
    </xdr:to>
    <xdr:sp macro="" textlink="">
      <xdr:nvSpPr>
        <xdr:cNvPr id="64" name="AutoShape 14" descr="Story">
          <a:hlinkClick xmlns:r="http://schemas.openxmlformats.org/officeDocument/2006/relationships" r:id="rId4"/>
          <a:extLst>
            <a:ext uri="{FF2B5EF4-FFF2-40B4-BE49-F238E27FC236}">
              <a16:creationId xmlns:a16="http://schemas.microsoft.com/office/drawing/2014/main" id="{E9B220C5-3310-4E0A-97EB-508C36495847}"/>
            </a:ext>
          </a:extLst>
        </xdr:cNvPr>
        <xdr:cNvSpPr>
          <a:spLocks noChangeAspect="1" noChangeArrowheads="1"/>
        </xdr:cNvSpPr>
      </xdr:nvSpPr>
      <xdr:spPr bwMode="auto">
        <a:xfrm>
          <a:off x="0" y="3657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65" name="AutoShape 4" descr="Bug">
          <a:hlinkClick xmlns:r="http://schemas.openxmlformats.org/officeDocument/2006/relationships" r:id="rId1"/>
          <a:extLst>
            <a:ext uri="{FF2B5EF4-FFF2-40B4-BE49-F238E27FC236}">
              <a16:creationId xmlns:a16="http://schemas.microsoft.com/office/drawing/2014/main" id="{81D5903E-ED30-4BEE-88BD-07D7118EA9B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66" name="AutoShape 6" descr="Bug">
          <a:hlinkClick xmlns:r="http://schemas.openxmlformats.org/officeDocument/2006/relationships" r:id="rId2"/>
          <a:extLst>
            <a:ext uri="{FF2B5EF4-FFF2-40B4-BE49-F238E27FC236}">
              <a16:creationId xmlns:a16="http://schemas.microsoft.com/office/drawing/2014/main" id="{60767BC2-26BA-4966-8392-353ED0B2E23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67" name="AutoShape 7" descr="Story">
          <a:hlinkClick xmlns:r="http://schemas.openxmlformats.org/officeDocument/2006/relationships" r:id="rId3"/>
          <a:extLst>
            <a:ext uri="{FF2B5EF4-FFF2-40B4-BE49-F238E27FC236}">
              <a16:creationId xmlns:a16="http://schemas.microsoft.com/office/drawing/2014/main" id="{5BB18D83-3D5B-4B3F-8F53-AD1130FBD3E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68" name="AutoShape 8" descr="Story">
          <a:hlinkClick xmlns:r="http://schemas.openxmlformats.org/officeDocument/2006/relationships" r:id="rId4"/>
          <a:extLst>
            <a:ext uri="{FF2B5EF4-FFF2-40B4-BE49-F238E27FC236}">
              <a16:creationId xmlns:a16="http://schemas.microsoft.com/office/drawing/2014/main" id="{1AC02C89-CC48-4E59-B05E-8F345B50900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69" name="AutoShape 9" descr="Story">
          <a:hlinkClick xmlns:r="http://schemas.openxmlformats.org/officeDocument/2006/relationships" r:id="rId5"/>
          <a:extLst>
            <a:ext uri="{FF2B5EF4-FFF2-40B4-BE49-F238E27FC236}">
              <a16:creationId xmlns:a16="http://schemas.microsoft.com/office/drawing/2014/main" id="{E3B9CF48-AE63-4B2D-8642-94E21ADC293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70" name="AutoShape 13" descr="Story">
          <a:hlinkClick xmlns:r="http://schemas.openxmlformats.org/officeDocument/2006/relationships" r:id="rId4"/>
          <a:extLst>
            <a:ext uri="{FF2B5EF4-FFF2-40B4-BE49-F238E27FC236}">
              <a16:creationId xmlns:a16="http://schemas.microsoft.com/office/drawing/2014/main" id="{B75509E3-8E97-4429-A553-277BAD9BA17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57</xdr:row>
      <xdr:rowOff>0</xdr:rowOff>
    </xdr:from>
    <xdr:ext cx="152400" cy="152400"/>
    <xdr:sp macro="" textlink="">
      <xdr:nvSpPr>
        <xdr:cNvPr id="71" name="AutoShape 1" descr="Story">
          <a:hlinkClick xmlns:r="http://schemas.openxmlformats.org/officeDocument/2006/relationships" r:id="rId12"/>
          <a:extLst>
            <a:ext uri="{FF2B5EF4-FFF2-40B4-BE49-F238E27FC236}">
              <a16:creationId xmlns:a16="http://schemas.microsoft.com/office/drawing/2014/main" id="{BF610E91-E61C-44B4-A98C-EE7F8954D0F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72" name="AutoShape 2" descr="Story">
          <a:hlinkClick xmlns:r="http://schemas.openxmlformats.org/officeDocument/2006/relationships" r:id="rId13"/>
          <a:extLst>
            <a:ext uri="{FF2B5EF4-FFF2-40B4-BE49-F238E27FC236}">
              <a16:creationId xmlns:a16="http://schemas.microsoft.com/office/drawing/2014/main" id="{9D8262E6-A08E-4E70-99DF-5C3C75B5CE6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73" name="AutoShape 5" descr="Story">
          <a:hlinkClick xmlns:r="http://schemas.openxmlformats.org/officeDocument/2006/relationships" r:id="rId6"/>
          <a:extLst>
            <a:ext uri="{FF2B5EF4-FFF2-40B4-BE49-F238E27FC236}">
              <a16:creationId xmlns:a16="http://schemas.microsoft.com/office/drawing/2014/main" id="{2D2A55A3-077D-4262-9670-FEF39FABE82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74" name="AutoShape 1" descr="Sub-task">
          <a:hlinkClick xmlns:r="http://schemas.openxmlformats.org/officeDocument/2006/relationships" r:id="rId14"/>
          <a:extLst>
            <a:ext uri="{FF2B5EF4-FFF2-40B4-BE49-F238E27FC236}">
              <a16:creationId xmlns:a16="http://schemas.microsoft.com/office/drawing/2014/main" id="{0ACE43C2-0589-45CE-8449-13CDF0987CA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75" name="AutoShape 2" descr="Sub-task">
          <a:hlinkClick xmlns:r="http://schemas.openxmlformats.org/officeDocument/2006/relationships" r:id="rId15"/>
          <a:extLst>
            <a:ext uri="{FF2B5EF4-FFF2-40B4-BE49-F238E27FC236}">
              <a16:creationId xmlns:a16="http://schemas.microsoft.com/office/drawing/2014/main" id="{821F8457-007F-410E-AE60-DE8CC834B28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76" name="AutoShape 3" descr="Story">
          <a:hlinkClick xmlns:r="http://schemas.openxmlformats.org/officeDocument/2006/relationships" r:id="rId9"/>
          <a:extLst>
            <a:ext uri="{FF2B5EF4-FFF2-40B4-BE49-F238E27FC236}">
              <a16:creationId xmlns:a16="http://schemas.microsoft.com/office/drawing/2014/main" id="{A45C24D7-3175-43DC-8E66-941F1142B23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77" name="AutoShape 12" descr="Story">
          <a:hlinkClick xmlns:r="http://schemas.openxmlformats.org/officeDocument/2006/relationships" r:id="rId8"/>
          <a:extLst>
            <a:ext uri="{FF2B5EF4-FFF2-40B4-BE49-F238E27FC236}">
              <a16:creationId xmlns:a16="http://schemas.microsoft.com/office/drawing/2014/main" id="{E43D4BA7-272F-4367-9C13-7B03651B89E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78" name="AutoShape 1" descr="Story">
          <a:hlinkClick xmlns:r="http://schemas.openxmlformats.org/officeDocument/2006/relationships" r:id="rId7"/>
          <a:extLst>
            <a:ext uri="{FF2B5EF4-FFF2-40B4-BE49-F238E27FC236}">
              <a16:creationId xmlns:a16="http://schemas.microsoft.com/office/drawing/2014/main" id="{900378BE-7B05-4659-90CD-393BA491087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79" name="AutoShape 1" descr="Story">
          <a:hlinkClick xmlns:r="http://schemas.openxmlformats.org/officeDocument/2006/relationships" r:id="rId7"/>
          <a:extLst>
            <a:ext uri="{FF2B5EF4-FFF2-40B4-BE49-F238E27FC236}">
              <a16:creationId xmlns:a16="http://schemas.microsoft.com/office/drawing/2014/main" id="{5CACB35E-A2B7-48ED-94AA-402D68918C7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80" name="AutoShape 3" descr="Story">
          <a:hlinkClick xmlns:r="http://schemas.openxmlformats.org/officeDocument/2006/relationships" r:id="rId4"/>
          <a:extLst>
            <a:ext uri="{FF2B5EF4-FFF2-40B4-BE49-F238E27FC236}">
              <a16:creationId xmlns:a16="http://schemas.microsoft.com/office/drawing/2014/main" id="{374DEBF8-0D4F-45E5-9EFF-208BF9421AA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81" name="AutoShape 4" descr="Story">
          <a:hlinkClick xmlns:r="http://schemas.openxmlformats.org/officeDocument/2006/relationships" r:id="rId5"/>
          <a:extLst>
            <a:ext uri="{FF2B5EF4-FFF2-40B4-BE49-F238E27FC236}">
              <a16:creationId xmlns:a16="http://schemas.microsoft.com/office/drawing/2014/main" id="{3A587D73-947C-4122-B0C8-EA8EE7076B2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82" name="AutoShape 3" descr="Story">
          <a:hlinkClick xmlns:r="http://schemas.openxmlformats.org/officeDocument/2006/relationships" r:id="rId4"/>
          <a:extLst>
            <a:ext uri="{FF2B5EF4-FFF2-40B4-BE49-F238E27FC236}">
              <a16:creationId xmlns:a16="http://schemas.microsoft.com/office/drawing/2014/main" id="{5DF9625D-7030-44DC-A228-F0A75E054F4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83" name="AutoShape 4" descr="Story">
          <a:hlinkClick xmlns:r="http://schemas.openxmlformats.org/officeDocument/2006/relationships" r:id="rId5"/>
          <a:extLst>
            <a:ext uri="{FF2B5EF4-FFF2-40B4-BE49-F238E27FC236}">
              <a16:creationId xmlns:a16="http://schemas.microsoft.com/office/drawing/2014/main" id="{62DF332A-CA02-446B-ADE0-924D02DC042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84" name="AutoShape 7" descr="Story">
          <a:hlinkClick xmlns:r="http://schemas.openxmlformats.org/officeDocument/2006/relationships" r:id="rId3"/>
          <a:extLst>
            <a:ext uri="{FF2B5EF4-FFF2-40B4-BE49-F238E27FC236}">
              <a16:creationId xmlns:a16="http://schemas.microsoft.com/office/drawing/2014/main" id="{D45439BF-1843-41F6-AD63-E2699B4C584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85" name="AutoShape 8" descr="Story">
          <a:hlinkClick xmlns:r="http://schemas.openxmlformats.org/officeDocument/2006/relationships" r:id="rId4"/>
          <a:extLst>
            <a:ext uri="{FF2B5EF4-FFF2-40B4-BE49-F238E27FC236}">
              <a16:creationId xmlns:a16="http://schemas.microsoft.com/office/drawing/2014/main" id="{5ACD024F-9E4C-4A07-8B4F-A670CD87848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86" name="AutoShape 8" descr="Story">
          <a:hlinkClick xmlns:r="http://schemas.openxmlformats.org/officeDocument/2006/relationships" r:id="rId4"/>
          <a:extLst>
            <a:ext uri="{FF2B5EF4-FFF2-40B4-BE49-F238E27FC236}">
              <a16:creationId xmlns:a16="http://schemas.microsoft.com/office/drawing/2014/main" id="{D98D183E-5671-4C77-AEE6-15CC30FB8C7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57</xdr:row>
      <xdr:rowOff>0</xdr:rowOff>
    </xdr:from>
    <xdr:to>
      <xdr:col>0</xdr:col>
      <xdr:colOff>152400</xdr:colOff>
      <xdr:row>57</xdr:row>
      <xdr:rowOff>152400</xdr:rowOff>
    </xdr:to>
    <xdr:sp macro="" textlink="">
      <xdr:nvSpPr>
        <xdr:cNvPr id="87" name="AutoShape 4" descr="Bug">
          <a:hlinkClick xmlns:r="http://schemas.openxmlformats.org/officeDocument/2006/relationships" r:id="rId1"/>
          <a:extLst>
            <a:ext uri="{FF2B5EF4-FFF2-40B4-BE49-F238E27FC236}">
              <a16:creationId xmlns:a16="http://schemas.microsoft.com/office/drawing/2014/main" id="{58ECCF22-FA56-42CF-AFDA-458365971DA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88" name="AutoShape 6" descr="Bug">
          <a:hlinkClick xmlns:r="http://schemas.openxmlformats.org/officeDocument/2006/relationships" r:id="rId2"/>
          <a:extLst>
            <a:ext uri="{FF2B5EF4-FFF2-40B4-BE49-F238E27FC236}">
              <a16:creationId xmlns:a16="http://schemas.microsoft.com/office/drawing/2014/main" id="{A4635272-A972-4E2F-B07B-E5D999434F3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89" name="AutoShape 7" descr="Story">
          <a:hlinkClick xmlns:r="http://schemas.openxmlformats.org/officeDocument/2006/relationships" r:id="rId3"/>
          <a:extLst>
            <a:ext uri="{FF2B5EF4-FFF2-40B4-BE49-F238E27FC236}">
              <a16:creationId xmlns:a16="http://schemas.microsoft.com/office/drawing/2014/main" id="{FD5FBBFD-FF66-4DC4-A6F2-388FA12E8F8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90" name="AutoShape 8" descr="Story">
          <a:hlinkClick xmlns:r="http://schemas.openxmlformats.org/officeDocument/2006/relationships" r:id="rId4"/>
          <a:extLst>
            <a:ext uri="{FF2B5EF4-FFF2-40B4-BE49-F238E27FC236}">
              <a16:creationId xmlns:a16="http://schemas.microsoft.com/office/drawing/2014/main" id="{A6CFDD08-7429-4DDB-A314-BC64F2AB211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91" name="AutoShape 9" descr="Story">
          <a:hlinkClick xmlns:r="http://schemas.openxmlformats.org/officeDocument/2006/relationships" r:id="rId5"/>
          <a:extLst>
            <a:ext uri="{FF2B5EF4-FFF2-40B4-BE49-F238E27FC236}">
              <a16:creationId xmlns:a16="http://schemas.microsoft.com/office/drawing/2014/main" id="{0CC2D69F-27A9-47FC-B86A-079E427F713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92" name="AutoShape 13" descr="Story">
          <a:hlinkClick xmlns:r="http://schemas.openxmlformats.org/officeDocument/2006/relationships" r:id="rId4"/>
          <a:extLst>
            <a:ext uri="{FF2B5EF4-FFF2-40B4-BE49-F238E27FC236}">
              <a16:creationId xmlns:a16="http://schemas.microsoft.com/office/drawing/2014/main" id="{A0E85EDA-D742-4316-B961-ADEE0AE86D2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57</xdr:row>
      <xdr:rowOff>0</xdr:rowOff>
    </xdr:from>
    <xdr:ext cx="152400" cy="152400"/>
    <xdr:sp macro="" textlink="">
      <xdr:nvSpPr>
        <xdr:cNvPr id="93" name="AutoShape 1" descr="Story">
          <a:hlinkClick xmlns:r="http://schemas.openxmlformats.org/officeDocument/2006/relationships" r:id="rId12"/>
          <a:extLst>
            <a:ext uri="{FF2B5EF4-FFF2-40B4-BE49-F238E27FC236}">
              <a16:creationId xmlns:a16="http://schemas.microsoft.com/office/drawing/2014/main" id="{22F9FCD6-1A63-44D8-A794-3AD0F4F6354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94" name="AutoShape 2" descr="Story">
          <a:hlinkClick xmlns:r="http://schemas.openxmlformats.org/officeDocument/2006/relationships" r:id="rId13"/>
          <a:extLst>
            <a:ext uri="{FF2B5EF4-FFF2-40B4-BE49-F238E27FC236}">
              <a16:creationId xmlns:a16="http://schemas.microsoft.com/office/drawing/2014/main" id="{6DB4BE33-FCD6-4EF6-A635-AC0AA7E832F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95" name="AutoShape 5" descr="Story">
          <a:hlinkClick xmlns:r="http://schemas.openxmlformats.org/officeDocument/2006/relationships" r:id="rId6"/>
          <a:extLst>
            <a:ext uri="{FF2B5EF4-FFF2-40B4-BE49-F238E27FC236}">
              <a16:creationId xmlns:a16="http://schemas.microsoft.com/office/drawing/2014/main" id="{2B853533-D490-46F6-BF38-01976E9C29D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96" name="AutoShape 1" descr="Sub-task">
          <a:hlinkClick xmlns:r="http://schemas.openxmlformats.org/officeDocument/2006/relationships" r:id="rId14"/>
          <a:extLst>
            <a:ext uri="{FF2B5EF4-FFF2-40B4-BE49-F238E27FC236}">
              <a16:creationId xmlns:a16="http://schemas.microsoft.com/office/drawing/2014/main" id="{EC473A07-2A63-4EE8-8910-75B94E26102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97" name="AutoShape 2" descr="Sub-task">
          <a:hlinkClick xmlns:r="http://schemas.openxmlformats.org/officeDocument/2006/relationships" r:id="rId15"/>
          <a:extLst>
            <a:ext uri="{FF2B5EF4-FFF2-40B4-BE49-F238E27FC236}">
              <a16:creationId xmlns:a16="http://schemas.microsoft.com/office/drawing/2014/main" id="{98BFA3E7-EC72-427E-BF30-C6F97141F8D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98" name="AutoShape 3" descr="Story">
          <a:hlinkClick xmlns:r="http://schemas.openxmlformats.org/officeDocument/2006/relationships" r:id="rId9"/>
          <a:extLst>
            <a:ext uri="{FF2B5EF4-FFF2-40B4-BE49-F238E27FC236}">
              <a16:creationId xmlns:a16="http://schemas.microsoft.com/office/drawing/2014/main" id="{ED346D05-6905-4ABB-946A-398AD19B286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99" name="AutoShape 12" descr="Story">
          <a:hlinkClick xmlns:r="http://schemas.openxmlformats.org/officeDocument/2006/relationships" r:id="rId8"/>
          <a:extLst>
            <a:ext uri="{FF2B5EF4-FFF2-40B4-BE49-F238E27FC236}">
              <a16:creationId xmlns:a16="http://schemas.microsoft.com/office/drawing/2014/main" id="{D2A09BF6-FCB3-4B5D-9ED4-13FDE90F23D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00" name="AutoShape 1" descr="Story">
          <a:hlinkClick xmlns:r="http://schemas.openxmlformats.org/officeDocument/2006/relationships" r:id="rId7"/>
          <a:extLst>
            <a:ext uri="{FF2B5EF4-FFF2-40B4-BE49-F238E27FC236}">
              <a16:creationId xmlns:a16="http://schemas.microsoft.com/office/drawing/2014/main" id="{58B1D23D-B51B-4C79-93A6-7DF695943A7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01" name="AutoShape 1" descr="Story">
          <a:hlinkClick xmlns:r="http://schemas.openxmlformats.org/officeDocument/2006/relationships" r:id="rId7"/>
          <a:extLst>
            <a:ext uri="{FF2B5EF4-FFF2-40B4-BE49-F238E27FC236}">
              <a16:creationId xmlns:a16="http://schemas.microsoft.com/office/drawing/2014/main" id="{D4B5B75F-9B79-4174-AD55-601239FF266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02" name="AutoShape 3" descr="Story">
          <a:hlinkClick xmlns:r="http://schemas.openxmlformats.org/officeDocument/2006/relationships" r:id="rId4"/>
          <a:extLst>
            <a:ext uri="{FF2B5EF4-FFF2-40B4-BE49-F238E27FC236}">
              <a16:creationId xmlns:a16="http://schemas.microsoft.com/office/drawing/2014/main" id="{19198603-F066-4B4F-A93E-72FA4821EA4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03" name="AutoShape 4" descr="Story">
          <a:hlinkClick xmlns:r="http://schemas.openxmlformats.org/officeDocument/2006/relationships" r:id="rId5"/>
          <a:extLst>
            <a:ext uri="{FF2B5EF4-FFF2-40B4-BE49-F238E27FC236}">
              <a16:creationId xmlns:a16="http://schemas.microsoft.com/office/drawing/2014/main" id="{2767A8D3-EDA9-4645-8DC4-D066BDF1BDE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04" name="AutoShape 3" descr="Story">
          <a:hlinkClick xmlns:r="http://schemas.openxmlformats.org/officeDocument/2006/relationships" r:id="rId4"/>
          <a:extLst>
            <a:ext uri="{FF2B5EF4-FFF2-40B4-BE49-F238E27FC236}">
              <a16:creationId xmlns:a16="http://schemas.microsoft.com/office/drawing/2014/main" id="{5A7A482C-BF5F-49C6-B3D6-B56C9B2FD4B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05" name="AutoShape 4" descr="Story">
          <a:hlinkClick xmlns:r="http://schemas.openxmlformats.org/officeDocument/2006/relationships" r:id="rId5"/>
          <a:extLst>
            <a:ext uri="{FF2B5EF4-FFF2-40B4-BE49-F238E27FC236}">
              <a16:creationId xmlns:a16="http://schemas.microsoft.com/office/drawing/2014/main" id="{3EBD6E78-AAC0-4C37-9F87-649913F75A6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06" name="AutoShape 7" descr="Story">
          <a:hlinkClick xmlns:r="http://schemas.openxmlformats.org/officeDocument/2006/relationships" r:id="rId3"/>
          <a:extLst>
            <a:ext uri="{FF2B5EF4-FFF2-40B4-BE49-F238E27FC236}">
              <a16:creationId xmlns:a16="http://schemas.microsoft.com/office/drawing/2014/main" id="{7DE1B8EB-41D5-4461-869E-AD358960986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07" name="AutoShape 8" descr="Story">
          <a:hlinkClick xmlns:r="http://schemas.openxmlformats.org/officeDocument/2006/relationships" r:id="rId4"/>
          <a:extLst>
            <a:ext uri="{FF2B5EF4-FFF2-40B4-BE49-F238E27FC236}">
              <a16:creationId xmlns:a16="http://schemas.microsoft.com/office/drawing/2014/main" id="{AFECDFD7-A627-4E9B-8133-C94BAF9A1329}"/>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08" name="AutoShape 8" descr="Story">
          <a:hlinkClick xmlns:r="http://schemas.openxmlformats.org/officeDocument/2006/relationships" r:id="rId4"/>
          <a:extLst>
            <a:ext uri="{FF2B5EF4-FFF2-40B4-BE49-F238E27FC236}">
              <a16:creationId xmlns:a16="http://schemas.microsoft.com/office/drawing/2014/main" id="{931F419E-A2D6-471A-B626-AC6E36B1A7D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57</xdr:row>
      <xdr:rowOff>0</xdr:rowOff>
    </xdr:from>
    <xdr:to>
      <xdr:col>0</xdr:col>
      <xdr:colOff>152400</xdr:colOff>
      <xdr:row>57</xdr:row>
      <xdr:rowOff>152400</xdr:rowOff>
    </xdr:to>
    <xdr:sp macro="" textlink="">
      <xdr:nvSpPr>
        <xdr:cNvPr id="109" name="AutoShape 4" descr="Bug">
          <a:hlinkClick xmlns:r="http://schemas.openxmlformats.org/officeDocument/2006/relationships" r:id="rId1"/>
          <a:extLst>
            <a:ext uri="{FF2B5EF4-FFF2-40B4-BE49-F238E27FC236}">
              <a16:creationId xmlns:a16="http://schemas.microsoft.com/office/drawing/2014/main" id="{6F303D71-284B-487D-917D-3C8BB8C42532}"/>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110" name="AutoShape 6" descr="Bug">
          <a:hlinkClick xmlns:r="http://schemas.openxmlformats.org/officeDocument/2006/relationships" r:id="rId2"/>
          <a:extLst>
            <a:ext uri="{FF2B5EF4-FFF2-40B4-BE49-F238E27FC236}">
              <a16:creationId xmlns:a16="http://schemas.microsoft.com/office/drawing/2014/main" id="{878A2349-E5E5-4E65-B2E2-F45C6ABA31B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111" name="AutoShape 7" descr="Story">
          <a:hlinkClick xmlns:r="http://schemas.openxmlformats.org/officeDocument/2006/relationships" r:id="rId3"/>
          <a:extLst>
            <a:ext uri="{FF2B5EF4-FFF2-40B4-BE49-F238E27FC236}">
              <a16:creationId xmlns:a16="http://schemas.microsoft.com/office/drawing/2014/main" id="{47A4D718-1836-4709-A60F-8F7ACCAAF14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112" name="AutoShape 8" descr="Story">
          <a:hlinkClick xmlns:r="http://schemas.openxmlformats.org/officeDocument/2006/relationships" r:id="rId4"/>
          <a:extLst>
            <a:ext uri="{FF2B5EF4-FFF2-40B4-BE49-F238E27FC236}">
              <a16:creationId xmlns:a16="http://schemas.microsoft.com/office/drawing/2014/main" id="{E57F032C-E4F1-491B-A225-CBF720CE960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113" name="AutoShape 9" descr="Story">
          <a:hlinkClick xmlns:r="http://schemas.openxmlformats.org/officeDocument/2006/relationships" r:id="rId5"/>
          <a:extLst>
            <a:ext uri="{FF2B5EF4-FFF2-40B4-BE49-F238E27FC236}">
              <a16:creationId xmlns:a16="http://schemas.microsoft.com/office/drawing/2014/main" id="{4AC28BBD-FA18-47B7-BAC5-0C45FD6ED3D0}"/>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114" name="AutoShape 13" descr="Story">
          <a:hlinkClick xmlns:r="http://schemas.openxmlformats.org/officeDocument/2006/relationships" r:id="rId4"/>
          <a:extLst>
            <a:ext uri="{FF2B5EF4-FFF2-40B4-BE49-F238E27FC236}">
              <a16:creationId xmlns:a16="http://schemas.microsoft.com/office/drawing/2014/main" id="{F37F7733-AF3F-4B3B-A9CB-0F8FF9C3A25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57</xdr:row>
      <xdr:rowOff>0</xdr:rowOff>
    </xdr:from>
    <xdr:ext cx="152400" cy="152400"/>
    <xdr:sp macro="" textlink="">
      <xdr:nvSpPr>
        <xdr:cNvPr id="115" name="AutoShape 1" descr="Story">
          <a:hlinkClick xmlns:r="http://schemas.openxmlformats.org/officeDocument/2006/relationships" r:id="rId12"/>
          <a:extLst>
            <a:ext uri="{FF2B5EF4-FFF2-40B4-BE49-F238E27FC236}">
              <a16:creationId xmlns:a16="http://schemas.microsoft.com/office/drawing/2014/main" id="{6DD1E15F-DA77-4398-A4E9-B364340F463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16" name="AutoShape 2" descr="Story">
          <a:hlinkClick xmlns:r="http://schemas.openxmlformats.org/officeDocument/2006/relationships" r:id="rId13"/>
          <a:extLst>
            <a:ext uri="{FF2B5EF4-FFF2-40B4-BE49-F238E27FC236}">
              <a16:creationId xmlns:a16="http://schemas.microsoft.com/office/drawing/2014/main" id="{368E146A-01E5-4A2B-911A-4D513E1A60E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17" name="AutoShape 5" descr="Story">
          <a:hlinkClick xmlns:r="http://schemas.openxmlformats.org/officeDocument/2006/relationships" r:id="rId6"/>
          <a:extLst>
            <a:ext uri="{FF2B5EF4-FFF2-40B4-BE49-F238E27FC236}">
              <a16:creationId xmlns:a16="http://schemas.microsoft.com/office/drawing/2014/main" id="{484342E3-C1D2-492F-9BF9-B4826885B0A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18" name="AutoShape 1" descr="Sub-task">
          <a:hlinkClick xmlns:r="http://schemas.openxmlformats.org/officeDocument/2006/relationships" r:id="rId14"/>
          <a:extLst>
            <a:ext uri="{FF2B5EF4-FFF2-40B4-BE49-F238E27FC236}">
              <a16:creationId xmlns:a16="http://schemas.microsoft.com/office/drawing/2014/main" id="{792A796F-0FD1-4904-B6C3-2D3C5EB2363A}"/>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19" name="AutoShape 2" descr="Sub-task">
          <a:hlinkClick xmlns:r="http://schemas.openxmlformats.org/officeDocument/2006/relationships" r:id="rId15"/>
          <a:extLst>
            <a:ext uri="{FF2B5EF4-FFF2-40B4-BE49-F238E27FC236}">
              <a16:creationId xmlns:a16="http://schemas.microsoft.com/office/drawing/2014/main" id="{BA843BF4-4C69-428E-9756-4DC2820CF50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20" name="AutoShape 3" descr="Story">
          <a:hlinkClick xmlns:r="http://schemas.openxmlformats.org/officeDocument/2006/relationships" r:id="rId9"/>
          <a:extLst>
            <a:ext uri="{FF2B5EF4-FFF2-40B4-BE49-F238E27FC236}">
              <a16:creationId xmlns:a16="http://schemas.microsoft.com/office/drawing/2014/main" id="{674CFCE5-14F1-4453-A87E-0B853E37766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21" name="AutoShape 12" descr="Story">
          <a:hlinkClick xmlns:r="http://schemas.openxmlformats.org/officeDocument/2006/relationships" r:id="rId8"/>
          <a:extLst>
            <a:ext uri="{FF2B5EF4-FFF2-40B4-BE49-F238E27FC236}">
              <a16:creationId xmlns:a16="http://schemas.microsoft.com/office/drawing/2014/main" id="{F6F3740F-E86C-444A-A66E-545883C73D9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22" name="AutoShape 1" descr="Story">
          <a:hlinkClick xmlns:r="http://schemas.openxmlformats.org/officeDocument/2006/relationships" r:id="rId7"/>
          <a:extLst>
            <a:ext uri="{FF2B5EF4-FFF2-40B4-BE49-F238E27FC236}">
              <a16:creationId xmlns:a16="http://schemas.microsoft.com/office/drawing/2014/main" id="{3914BD78-0939-4E47-9039-C7319AF6FA7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23" name="AutoShape 1" descr="Story">
          <a:hlinkClick xmlns:r="http://schemas.openxmlformats.org/officeDocument/2006/relationships" r:id="rId7"/>
          <a:extLst>
            <a:ext uri="{FF2B5EF4-FFF2-40B4-BE49-F238E27FC236}">
              <a16:creationId xmlns:a16="http://schemas.microsoft.com/office/drawing/2014/main" id="{36AF792A-BB01-4639-99A0-78DE048835D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24" name="AutoShape 3" descr="Story">
          <a:hlinkClick xmlns:r="http://schemas.openxmlformats.org/officeDocument/2006/relationships" r:id="rId4"/>
          <a:extLst>
            <a:ext uri="{FF2B5EF4-FFF2-40B4-BE49-F238E27FC236}">
              <a16:creationId xmlns:a16="http://schemas.microsoft.com/office/drawing/2014/main" id="{EA3A0849-125A-4822-AACC-E29BDC02918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25" name="AutoShape 4" descr="Story">
          <a:hlinkClick xmlns:r="http://schemas.openxmlformats.org/officeDocument/2006/relationships" r:id="rId5"/>
          <a:extLst>
            <a:ext uri="{FF2B5EF4-FFF2-40B4-BE49-F238E27FC236}">
              <a16:creationId xmlns:a16="http://schemas.microsoft.com/office/drawing/2014/main" id="{CC070857-4407-4713-85CF-D54FE8C036E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26" name="AutoShape 3" descr="Story">
          <a:hlinkClick xmlns:r="http://schemas.openxmlformats.org/officeDocument/2006/relationships" r:id="rId4"/>
          <a:extLst>
            <a:ext uri="{FF2B5EF4-FFF2-40B4-BE49-F238E27FC236}">
              <a16:creationId xmlns:a16="http://schemas.microsoft.com/office/drawing/2014/main" id="{C86A301F-DDA4-4FFF-B3CE-AD8C6308C77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27" name="AutoShape 4" descr="Story">
          <a:hlinkClick xmlns:r="http://schemas.openxmlformats.org/officeDocument/2006/relationships" r:id="rId5"/>
          <a:extLst>
            <a:ext uri="{FF2B5EF4-FFF2-40B4-BE49-F238E27FC236}">
              <a16:creationId xmlns:a16="http://schemas.microsoft.com/office/drawing/2014/main" id="{1117A50A-F786-499E-97B0-CC4B95F105C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28" name="AutoShape 7" descr="Story">
          <a:hlinkClick xmlns:r="http://schemas.openxmlformats.org/officeDocument/2006/relationships" r:id="rId3"/>
          <a:extLst>
            <a:ext uri="{FF2B5EF4-FFF2-40B4-BE49-F238E27FC236}">
              <a16:creationId xmlns:a16="http://schemas.microsoft.com/office/drawing/2014/main" id="{87739D74-BD75-42AE-A61D-84A531093EF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29" name="AutoShape 8" descr="Story">
          <a:hlinkClick xmlns:r="http://schemas.openxmlformats.org/officeDocument/2006/relationships" r:id="rId4"/>
          <a:extLst>
            <a:ext uri="{FF2B5EF4-FFF2-40B4-BE49-F238E27FC236}">
              <a16:creationId xmlns:a16="http://schemas.microsoft.com/office/drawing/2014/main" id="{2C1EA0A8-9C58-4804-8626-477BD32C727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30" name="AutoShape 8" descr="Story">
          <a:hlinkClick xmlns:r="http://schemas.openxmlformats.org/officeDocument/2006/relationships" r:id="rId4"/>
          <a:extLst>
            <a:ext uri="{FF2B5EF4-FFF2-40B4-BE49-F238E27FC236}">
              <a16:creationId xmlns:a16="http://schemas.microsoft.com/office/drawing/2014/main" id="{FAC434A2-10EA-45EA-8065-A68E09511E6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57</xdr:row>
      <xdr:rowOff>0</xdr:rowOff>
    </xdr:from>
    <xdr:to>
      <xdr:col>0</xdr:col>
      <xdr:colOff>152400</xdr:colOff>
      <xdr:row>57</xdr:row>
      <xdr:rowOff>152400</xdr:rowOff>
    </xdr:to>
    <xdr:sp macro="" textlink="">
      <xdr:nvSpPr>
        <xdr:cNvPr id="131" name="AutoShape 4" descr="Bug">
          <a:hlinkClick xmlns:r="http://schemas.openxmlformats.org/officeDocument/2006/relationships" r:id="rId1"/>
          <a:extLst>
            <a:ext uri="{FF2B5EF4-FFF2-40B4-BE49-F238E27FC236}">
              <a16:creationId xmlns:a16="http://schemas.microsoft.com/office/drawing/2014/main" id="{6D622959-D230-4D4D-A0DB-27E4A20FE8AD}"/>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132" name="AutoShape 6" descr="Bug">
          <a:hlinkClick xmlns:r="http://schemas.openxmlformats.org/officeDocument/2006/relationships" r:id="rId2"/>
          <a:extLst>
            <a:ext uri="{FF2B5EF4-FFF2-40B4-BE49-F238E27FC236}">
              <a16:creationId xmlns:a16="http://schemas.microsoft.com/office/drawing/2014/main" id="{610F053B-54B1-4624-8DC7-34EC9B6CAD83}"/>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133" name="AutoShape 7" descr="Story">
          <a:hlinkClick xmlns:r="http://schemas.openxmlformats.org/officeDocument/2006/relationships" r:id="rId3"/>
          <a:extLst>
            <a:ext uri="{FF2B5EF4-FFF2-40B4-BE49-F238E27FC236}">
              <a16:creationId xmlns:a16="http://schemas.microsoft.com/office/drawing/2014/main" id="{3121A27F-25C0-4D34-A135-BE947C6C6B55}"/>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134" name="AutoShape 8" descr="Story">
          <a:hlinkClick xmlns:r="http://schemas.openxmlformats.org/officeDocument/2006/relationships" r:id="rId4"/>
          <a:extLst>
            <a:ext uri="{FF2B5EF4-FFF2-40B4-BE49-F238E27FC236}">
              <a16:creationId xmlns:a16="http://schemas.microsoft.com/office/drawing/2014/main" id="{46DFE106-F988-45BD-828E-29DA7D69F60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135" name="AutoShape 9" descr="Story">
          <a:hlinkClick xmlns:r="http://schemas.openxmlformats.org/officeDocument/2006/relationships" r:id="rId5"/>
          <a:extLst>
            <a:ext uri="{FF2B5EF4-FFF2-40B4-BE49-F238E27FC236}">
              <a16:creationId xmlns:a16="http://schemas.microsoft.com/office/drawing/2014/main" id="{5BB9190B-768D-44AE-945A-74464F02C15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152400</xdr:colOff>
      <xdr:row>57</xdr:row>
      <xdr:rowOff>152400</xdr:rowOff>
    </xdr:to>
    <xdr:sp macro="" textlink="">
      <xdr:nvSpPr>
        <xdr:cNvPr id="136" name="AutoShape 13" descr="Story">
          <a:hlinkClick xmlns:r="http://schemas.openxmlformats.org/officeDocument/2006/relationships" r:id="rId4"/>
          <a:extLst>
            <a:ext uri="{FF2B5EF4-FFF2-40B4-BE49-F238E27FC236}">
              <a16:creationId xmlns:a16="http://schemas.microsoft.com/office/drawing/2014/main" id="{A1A9E148-7DC6-414F-9DFD-54B72D8361D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57</xdr:row>
      <xdr:rowOff>0</xdr:rowOff>
    </xdr:from>
    <xdr:ext cx="152400" cy="152400"/>
    <xdr:sp macro="" textlink="">
      <xdr:nvSpPr>
        <xdr:cNvPr id="137" name="AutoShape 1" descr="Story">
          <a:hlinkClick xmlns:r="http://schemas.openxmlformats.org/officeDocument/2006/relationships" r:id="rId12"/>
          <a:extLst>
            <a:ext uri="{FF2B5EF4-FFF2-40B4-BE49-F238E27FC236}">
              <a16:creationId xmlns:a16="http://schemas.microsoft.com/office/drawing/2014/main" id="{D5E37ADD-B309-408E-8B7E-DE6A8D20C17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38" name="AutoShape 2" descr="Story">
          <a:hlinkClick xmlns:r="http://schemas.openxmlformats.org/officeDocument/2006/relationships" r:id="rId13"/>
          <a:extLst>
            <a:ext uri="{FF2B5EF4-FFF2-40B4-BE49-F238E27FC236}">
              <a16:creationId xmlns:a16="http://schemas.microsoft.com/office/drawing/2014/main" id="{E12E42D3-4D30-4962-BAE1-8BFE49A5CE8E}"/>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39" name="AutoShape 5" descr="Story">
          <a:hlinkClick xmlns:r="http://schemas.openxmlformats.org/officeDocument/2006/relationships" r:id="rId6"/>
          <a:extLst>
            <a:ext uri="{FF2B5EF4-FFF2-40B4-BE49-F238E27FC236}">
              <a16:creationId xmlns:a16="http://schemas.microsoft.com/office/drawing/2014/main" id="{71419AB7-6F4F-48EC-AAC9-92667879ECF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40" name="AutoShape 1" descr="Sub-task">
          <a:hlinkClick xmlns:r="http://schemas.openxmlformats.org/officeDocument/2006/relationships" r:id="rId14"/>
          <a:extLst>
            <a:ext uri="{FF2B5EF4-FFF2-40B4-BE49-F238E27FC236}">
              <a16:creationId xmlns:a16="http://schemas.microsoft.com/office/drawing/2014/main" id="{DFF763BC-DD86-4374-926F-C009B9A7629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41" name="AutoShape 2" descr="Sub-task">
          <a:hlinkClick xmlns:r="http://schemas.openxmlformats.org/officeDocument/2006/relationships" r:id="rId15"/>
          <a:extLst>
            <a:ext uri="{FF2B5EF4-FFF2-40B4-BE49-F238E27FC236}">
              <a16:creationId xmlns:a16="http://schemas.microsoft.com/office/drawing/2014/main" id="{3BF27571-31FF-4CC2-B2B8-EFEF814F32D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42" name="AutoShape 3" descr="Story">
          <a:hlinkClick xmlns:r="http://schemas.openxmlformats.org/officeDocument/2006/relationships" r:id="rId9"/>
          <a:extLst>
            <a:ext uri="{FF2B5EF4-FFF2-40B4-BE49-F238E27FC236}">
              <a16:creationId xmlns:a16="http://schemas.microsoft.com/office/drawing/2014/main" id="{EB68A5E1-A5E5-45AC-B9A9-FEE6D7EA60B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43" name="AutoShape 12" descr="Story">
          <a:hlinkClick xmlns:r="http://schemas.openxmlformats.org/officeDocument/2006/relationships" r:id="rId8"/>
          <a:extLst>
            <a:ext uri="{FF2B5EF4-FFF2-40B4-BE49-F238E27FC236}">
              <a16:creationId xmlns:a16="http://schemas.microsoft.com/office/drawing/2014/main" id="{CCF7F391-5453-48A6-AC7E-FEB804CAE8AF}"/>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44" name="AutoShape 1" descr="Story">
          <a:hlinkClick xmlns:r="http://schemas.openxmlformats.org/officeDocument/2006/relationships" r:id="rId7"/>
          <a:extLst>
            <a:ext uri="{FF2B5EF4-FFF2-40B4-BE49-F238E27FC236}">
              <a16:creationId xmlns:a16="http://schemas.microsoft.com/office/drawing/2014/main" id="{B3BF86C6-9316-40EA-B76C-A52D12BA872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45" name="AutoShape 1" descr="Story">
          <a:hlinkClick xmlns:r="http://schemas.openxmlformats.org/officeDocument/2006/relationships" r:id="rId7"/>
          <a:extLst>
            <a:ext uri="{FF2B5EF4-FFF2-40B4-BE49-F238E27FC236}">
              <a16:creationId xmlns:a16="http://schemas.microsoft.com/office/drawing/2014/main" id="{BF2ED20E-F903-4CDA-929A-3AB63DE2A32C}"/>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46" name="AutoShape 3" descr="Story">
          <a:hlinkClick xmlns:r="http://schemas.openxmlformats.org/officeDocument/2006/relationships" r:id="rId4"/>
          <a:extLst>
            <a:ext uri="{FF2B5EF4-FFF2-40B4-BE49-F238E27FC236}">
              <a16:creationId xmlns:a16="http://schemas.microsoft.com/office/drawing/2014/main" id="{5E039BF1-A11F-41AE-89A4-4A87E53282D6}"/>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47" name="AutoShape 4" descr="Story">
          <a:hlinkClick xmlns:r="http://schemas.openxmlformats.org/officeDocument/2006/relationships" r:id="rId5"/>
          <a:extLst>
            <a:ext uri="{FF2B5EF4-FFF2-40B4-BE49-F238E27FC236}">
              <a16:creationId xmlns:a16="http://schemas.microsoft.com/office/drawing/2014/main" id="{E696D382-FAD7-471F-B53E-BBE428FEC618}"/>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48" name="AutoShape 3" descr="Story">
          <a:hlinkClick xmlns:r="http://schemas.openxmlformats.org/officeDocument/2006/relationships" r:id="rId4"/>
          <a:extLst>
            <a:ext uri="{FF2B5EF4-FFF2-40B4-BE49-F238E27FC236}">
              <a16:creationId xmlns:a16="http://schemas.microsoft.com/office/drawing/2014/main" id="{3682DC47-5474-46BF-9FDD-BE0794BD6CA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49" name="AutoShape 4" descr="Story">
          <a:hlinkClick xmlns:r="http://schemas.openxmlformats.org/officeDocument/2006/relationships" r:id="rId5"/>
          <a:extLst>
            <a:ext uri="{FF2B5EF4-FFF2-40B4-BE49-F238E27FC236}">
              <a16:creationId xmlns:a16="http://schemas.microsoft.com/office/drawing/2014/main" id="{A7EE12EC-F814-44A7-9D40-ADB21631D1F7}"/>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50" name="AutoShape 7" descr="Story">
          <a:hlinkClick xmlns:r="http://schemas.openxmlformats.org/officeDocument/2006/relationships" r:id="rId3"/>
          <a:extLst>
            <a:ext uri="{FF2B5EF4-FFF2-40B4-BE49-F238E27FC236}">
              <a16:creationId xmlns:a16="http://schemas.microsoft.com/office/drawing/2014/main" id="{718EFAFC-C8A9-47B6-A45F-292301A7B601}"/>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51" name="AutoShape 8" descr="Story">
          <a:hlinkClick xmlns:r="http://schemas.openxmlformats.org/officeDocument/2006/relationships" r:id="rId4"/>
          <a:extLst>
            <a:ext uri="{FF2B5EF4-FFF2-40B4-BE49-F238E27FC236}">
              <a16:creationId xmlns:a16="http://schemas.microsoft.com/office/drawing/2014/main" id="{EC08D71C-FE62-4A62-96A4-D325ABEC635B}"/>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152400" cy="152400"/>
    <xdr:sp macro="" textlink="">
      <xdr:nvSpPr>
        <xdr:cNvPr id="152" name="AutoShape 8" descr="Story">
          <a:hlinkClick xmlns:r="http://schemas.openxmlformats.org/officeDocument/2006/relationships" r:id="rId4"/>
          <a:extLst>
            <a:ext uri="{FF2B5EF4-FFF2-40B4-BE49-F238E27FC236}">
              <a16:creationId xmlns:a16="http://schemas.microsoft.com/office/drawing/2014/main" id="{33C0BE79-E119-40D4-BE89-C80D5C7083B4}"/>
            </a:ext>
          </a:extLst>
        </xdr:cNvPr>
        <xdr:cNvSpPr>
          <a:spLocks noChangeAspect="1" noChangeArrowheads="1"/>
        </xdr:cNvSpPr>
      </xdr:nvSpPr>
      <xdr:spPr bwMode="auto">
        <a:xfrm>
          <a:off x="0" y="1280160"/>
          <a:ext cx="152400" cy="1524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persons/person.xml><?xml version="1.0" encoding="utf-8"?>
<personList xmlns="http://schemas.microsoft.com/office/spreadsheetml/2018/threadedcomments" xmlns:x="http://schemas.openxmlformats.org/spreadsheetml/2006/main">
  <person displayName="Zeynep Oran" id="{DFDD04CB-BF8F-4F24-AEBA-CDD017DE1E0E}" userId="S::zeynep.oran@turkkep.com.tr::89511463-0dc7-43c0-ad4d-58a73435739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ynep Oran" refreshedDate="46087.77471701389" createdVersion="8" refreshedVersion="8" minRefreshableVersion="3" recordCount="1303" xr:uid="{09DE3E8A-DAFB-4D04-917A-BB87454227E1}">
  <cacheSource type="worksheet">
    <worksheetSource ref="A1:J1048576" sheet="Ürün İş Listesi"/>
  </cacheSource>
  <cacheFields count="10">
    <cacheField name="Issue Type" numFmtId="0">
      <sharedItems containsBlank="1" count="8">
        <s v="Story"/>
        <s v="Bug"/>
        <s v="Sub-task"/>
        <s v="Task"/>
        <m/>
        <s v="Talep" u="1"/>
        <s v="Improvement" u="1"/>
        <s v="To Do" u="1"/>
      </sharedItems>
    </cacheField>
    <cacheField name="Issue key" numFmtId="0">
      <sharedItems containsBlank="1"/>
    </cacheField>
    <cacheField name="Status" numFmtId="0">
      <sharedItems containsBlank="1" count="10">
        <s v="To Do"/>
        <s v="Done"/>
        <s v="Blocked"/>
        <s v="In Progress"/>
        <s v="Publish"/>
        <s v="In Test"/>
        <s v="TO TEST"/>
        <m/>
        <s v="Development" u="1"/>
        <s v="TEST" u="1"/>
      </sharedItems>
    </cacheField>
    <cacheField name="Summary" numFmtId="0">
      <sharedItems containsBlank="1"/>
    </cacheField>
    <cacheField name="Project name" numFmtId="0">
      <sharedItems containsBlank="1" count="30">
        <s v="CRM"/>
        <s v="Destek Portal"/>
        <s v="Detsis"/>
        <s v="E-Defter"/>
        <s v="E-Fatura"/>
        <s v="Entegrasyon Suit"/>
        <s v="Kep Assist"/>
        <s v="KEP"/>
        <s v="Kep Web Servisi"/>
        <s v="Mobil Uygulama"/>
        <s v="MULTİKEP"/>
        <s v="MultiKEP"/>
        <s v="Muhaberat Yönetim Sistemi"/>
        <s v="TÜRKKEP İMZA"/>
        <s v="UETS"/>
        <s v="UZAKTAN KİMLİK DOĞRULAMA"/>
        <s v="KEP İK BULUT"/>
        <s v="Imza Entegrasyon Uygulaması"/>
        <s v="Dijital Arşiv ve Saklama"/>
        <s v="KEP Asistan"/>
        <s v="KEP İK YK"/>
        <s v="E-Saklama"/>
        <s v="Türkkep SMS GW"/>
        <s v="Yapay Zeka Destekli Çağrı Karşılama"/>
        <s v="UKDS"/>
        <s v="İmza Client JAR"/>
        <m/>
        <s v="Kamu Servisleri Entegrasyonu" u="1"/>
        <s v="KEP İK" u="1"/>
        <s v="Uzaktan Kimlik Doğrulama Sistemi" u="1"/>
      </sharedItems>
    </cacheField>
    <cacheField name="x" numFmtId="0">
      <sharedItems containsBlank="1"/>
    </cacheField>
    <cacheField name="DEVAM EDEN SPRİNT" numFmtId="0">
      <sharedItems containsBlank="1" count="3">
        <s v="-"/>
        <s v="Devam Eden Sprint"/>
        <m/>
      </sharedItems>
    </cacheField>
    <cacheField name="GELECEK SPRİNT" numFmtId="0">
      <sharedItems containsBlank="1"/>
    </cacheField>
    <cacheField name="Durum" numFmtId="0">
      <sharedItems containsBlank="1" count="5">
        <s v="Ürün İş Listesi"/>
        <s v="Devam Eden ve Gelecek Sprint"/>
        <s v="Devam Eden Sprint"/>
        <s v="Gelecek Sprint"/>
        <m/>
      </sharedItems>
    </cacheField>
    <cacheField name="Story Point2" numFmtId="0">
      <sharedItems containsString="0" containsBlank="1" containsNumber="1" containsInteger="1" minValue="1" maxValue="1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ynep Oran" refreshedDate="46087.774723148148" createdVersion="8" refreshedVersion="8" minRefreshableVersion="3" recordCount="1018" xr:uid="{4AA03979-F749-43C2-8E3A-4D68AF00DDB3}">
  <cacheSource type="worksheet">
    <worksheetSource ref="A1:J1019" sheet="Ürün İş Listesi"/>
  </cacheSource>
  <cacheFields count="10">
    <cacheField name="Issue Type" numFmtId="0">
      <sharedItems/>
    </cacheField>
    <cacheField name="Issue key" numFmtId="0">
      <sharedItems/>
    </cacheField>
    <cacheField name="Status" numFmtId="0">
      <sharedItems containsBlank="1" count="9">
        <s v="To Do"/>
        <s v="Done"/>
        <s v="Blocked"/>
        <s v="In Progress"/>
        <s v="Publish"/>
        <s v="In Test"/>
        <s v="TO TEST"/>
        <m u="1"/>
        <s v="Development" u="1"/>
      </sharedItems>
    </cacheField>
    <cacheField name="Summary" numFmtId="0">
      <sharedItems/>
    </cacheField>
    <cacheField name="Project name" numFmtId="0">
      <sharedItems containsBlank="1" count="29">
        <s v="CRM"/>
        <s v="Destek Portal"/>
        <s v="Detsis"/>
        <s v="E-Defter"/>
        <s v="E-Fatura"/>
        <s v="Entegrasyon Suit"/>
        <s v="Kep Assist"/>
        <s v="KEP"/>
        <s v="Kep Web Servisi"/>
        <s v="Mobil Uygulama"/>
        <s v="MULTİKEP"/>
        <s v="MultiKEP"/>
        <s v="Muhaberat Yönetim Sistemi"/>
        <s v="TÜRKKEP İMZA"/>
        <s v="UETS"/>
        <s v="UZAKTAN KİMLİK DOĞRULAMA"/>
        <s v="KEP İK BULUT"/>
        <s v="Imza Entegrasyon Uygulaması"/>
        <s v="Dijital Arşiv ve Saklama"/>
        <s v="KEP Asistan"/>
        <s v="KEP İK YK"/>
        <s v="E-Saklama"/>
        <s v="Türkkep SMS GW"/>
        <s v="Yapay Zeka Destekli Çağrı Karşılama"/>
        <m u="1"/>
        <s v="Kamu Servisleri Entegrasyonu" u="1"/>
        <s v="KEP İK" u="1"/>
        <s v="UKDS" u="1"/>
        <s v="Uzaktan Kimlik Doğrulama Sistemi" u="1"/>
      </sharedItems>
    </cacheField>
    <cacheField name="x" numFmtId="0">
      <sharedItems/>
    </cacheField>
    <cacheField name="DEVAM EDEN SPRİNT" numFmtId="0">
      <sharedItems count="2">
        <s v="-"/>
        <s v="Devam Eden Sprint"/>
      </sharedItems>
    </cacheField>
    <cacheField name="GELECEK SPRİNT" numFmtId="0">
      <sharedItems/>
    </cacheField>
    <cacheField name="Durum" numFmtId="0">
      <sharedItems/>
    </cacheField>
    <cacheField name="Story Point2" numFmtId="0">
      <sharedItems containsString="0" containsBlank="1" containsNumber="1" containsInteger="1" minValue="1" maxValue="1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3">
  <r>
    <x v="0"/>
    <s v="CRM-281"/>
    <x v="0"/>
    <s v="Türkkep -E-Güven CRM entegrasyonu Faz 2 "/>
    <x v="0"/>
    <e v="#N/A"/>
    <x v="0"/>
    <s v="-"/>
    <x v="0"/>
    <m/>
  </r>
  <r>
    <x v="0"/>
    <s v="CRM-497"/>
    <x v="1"/>
    <s v="Saklama Kota Yükleme İşlemleri "/>
    <x v="0"/>
    <e v="#N/A"/>
    <x v="0"/>
    <s v="-"/>
    <x v="0"/>
    <m/>
  </r>
  <r>
    <x v="0"/>
    <s v="CRM-533"/>
    <x v="1"/>
    <s v="KEP IK Mahremiyet &amp; CRM Entegrasyonu"/>
    <x v="0"/>
    <e v="#N/A"/>
    <x v="0"/>
    <s v="-"/>
    <x v="0"/>
    <m/>
  </r>
  <r>
    <x v="0"/>
    <s v="CRM-535"/>
    <x v="1"/>
    <s v="KEP IK Blulut NVİ Tamamlanan Çalışanların QR Kodlu Islak İmza Taahhütnamelerinin Üretilmesi"/>
    <x v="0"/>
    <e v="#N/A"/>
    <x v="0"/>
    <s v="-"/>
    <x v="0"/>
    <m/>
  </r>
  <r>
    <x v="0"/>
    <s v="CRM-541_x0009_"/>
    <x v="1"/>
    <s v="Üretim Modülü için Tablo Modellenmesi"/>
    <x v="0"/>
    <e v="#N/A"/>
    <x v="0"/>
    <s v="-"/>
    <x v="0"/>
    <m/>
  </r>
  <r>
    <x v="0"/>
    <s v="CRM-542"/>
    <x v="1"/>
    <s v="Üretim Modülü için Anasayfa Filtre Ekranı"/>
    <x v="0"/>
    <e v="#N/A"/>
    <x v="0"/>
    <s v="-"/>
    <x v="0"/>
    <n v="3"/>
  </r>
  <r>
    <x v="0"/>
    <s v="CRM-543"/>
    <x v="1"/>
    <s v="Üretim Modülü Liste Sayfasının Geliştirmesi"/>
    <x v="0"/>
    <e v="#N/A"/>
    <x v="0"/>
    <s v="-"/>
    <x v="0"/>
    <n v="5"/>
  </r>
  <r>
    <x v="0"/>
    <s v="CRM-544"/>
    <x v="1"/>
    <s v="Üretim Modülü Mütabakat Sürecinin Geliştirmesi"/>
    <x v="0"/>
    <e v="#N/A"/>
    <x v="0"/>
    <s v="-"/>
    <x v="0"/>
    <m/>
  </r>
  <r>
    <x v="0"/>
    <s v="CRM-545"/>
    <x v="1"/>
    <s v="KEP IK Bulut NVİ Tamamlanmayan Çalışanların QR Kodlu Islak İmza Taahhütnamelerinin Üretilmesi için Servis Geliştirmesi"/>
    <x v="0"/>
    <e v="#N/A"/>
    <x v="0"/>
    <s v="-"/>
    <x v="0"/>
    <m/>
  </r>
  <r>
    <x v="0"/>
    <s v="CRM-546"/>
    <x v="1"/>
    <s v="KEP IK Bulut Çalışanların QR Kodlu Islak İmza Taahhütnamelerinin Uygulama İçerisinden Toplu İndirilmesi"/>
    <x v="0"/>
    <e v="#N/A"/>
    <x v="0"/>
    <s v="-"/>
    <x v="0"/>
    <m/>
  </r>
  <r>
    <x v="0"/>
    <s v="CRM-550"/>
    <x v="1"/>
    <s v="Multikep Müşteri Bilgilerinin CRM Sözleşmeden Aktarılması"/>
    <x v="0"/>
    <e v="#N/A"/>
    <x v="0"/>
    <s v="-"/>
    <x v="0"/>
    <m/>
  </r>
  <r>
    <x v="0"/>
    <s v="CRM-551"/>
    <x v="1"/>
    <s v="Multikep Modüllerinin CRM İşlem Kaydından Aktif Edilmesi"/>
    <x v="0"/>
    <e v="#N/A"/>
    <x v="0"/>
    <s v="-"/>
    <x v="0"/>
    <m/>
  </r>
  <r>
    <x v="0"/>
    <s v="CRM-553"/>
    <x v="1"/>
    <s v="Multikep Aktarılan Kullanıcılarının Update Edilmesi"/>
    <x v="0"/>
    <e v="#N/A"/>
    <x v="0"/>
    <s v="-"/>
    <x v="0"/>
    <m/>
  </r>
  <r>
    <x v="0"/>
    <s v="CRM-554"/>
    <x v="1"/>
    <s v="CRM Kurumsal Müşteri Oluşturma MERSİS Entegrasyonu"/>
    <x v="0"/>
    <e v="#N/A"/>
    <x v="0"/>
    <s v="-"/>
    <x v="0"/>
    <n v="5"/>
  </r>
  <r>
    <x v="0"/>
    <s v="CRM-555"/>
    <x v="1"/>
    <s v="KEP IK Toplu Açılış için CRM den Çalışan Listesini Insert Etme"/>
    <x v="0"/>
    <e v="#N/A"/>
    <x v="0"/>
    <s v="-"/>
    <x v="0"/>
    <m/>
  </r>
  <r>
    <x v="0"/>
    <s v="CRM-558"/>
    <x v="1"/>
    <s v="KEP IK Kullanıcı için İşlem Yetkilisi Değişiklikleri"/>
    <x v="0"/>
    <e v="#N/A"/>
    <x v="0"/>
    <s v="-"/>
    <x v="0"/>
    <m/>
  </r>
  <r>
    <x v="0"/>
    <s v="CRM-559"/>
    <x v="1"/>
    <s v="e-İmza UKDS Bilgilendirme Hk."/>
    <x v="0"/>
    <e v="#N/A"/>
    <x v="0"/>
    <s v="-"/>
    <x v="0"/>
    <m/>
  </r>
  <r>
    <x v="0"/>
    <s v="CRM-560"/>
    <x v="1"/>
    <s v="MultiKEP Ek Kullanıcı Aktarılması"/>
    <x v="0"/>
    <e v="#N/A"/>
    <x v="0"/>
    <s v="-"/>
    <x v="0"/>
    <m/>
  </r>
  <r>
    <x v="0"/>
    <s v="CRM-562"/>
    <x v="1"/>
    <s v="Yenileme Hatırlatma Maili Akışına Pasif Kullanıcı Kuralının Eklenmesi"/>
    <x v="0"/>
    <e v="#N/A"/>
    <x v="0"/>
    <s v="-"/>
    <x v="0"/>
    <n v="3"/>
  </r>
  <r>
    <x v="0"/>
    <s v="CRM-565"/>
    <x v="1"/>
    <s v="Toplu Teklif Oluşturma İşlemi"/>
    <x v="0"/>
    <e v="#N/A"/>
    <x v="0"/>
    <s v="-"/>
    <x v="0"/>
    <m/>
  </r>
  <r>
    <x v="0"/>
    <s v="CRM-568"/>
    <x v="1"/>
    <s v="MERSİS Ek Geliştirme"/>
    <x v="0"/>
    <e v="#N/A"/>
    <x v="0"/>
    <s v="-"/>
    <x v="0"/>
    <n v="3"/>
  </r>
  <r>
    <x v="0"/>
    <s v="CRM-569"/>
    <x v="1"/>
    <s v="Satış Rapor Yeni Müşteri Statüsü"/>
    <x v="0"/>
    <e v="#N/A"/>
    <x v="0"/>
    <s v="-"/>
    <x v="0"/>
    <n v="2"/>
  </r>
  <r>
    <x v="1"/>
    <s v="CRM-570"/>
    <x v="1"/>
    <s v="Duplicate Teklif Numarası Hatası"/>
    <x v="0"/>
    <e v="#N/A"/>
    <x v="0"/>
    <s v="-"/>
    <x v="0"/>
    <n v="3"/>
  </r>
  <r>
    <x v="1"/>
    <s v="CRM-571"/>
    <x v="1"/>
    <s v="İş Bankası Sanal POS Api User Değişikliği"/>
    <x v="0"/>
    <e v="#N/A"/>
    <x v="0"/>
    <s v="-"/>
    <x v="0"/>
    <n v="1"/>
  </r>
  <r>
    <x v="1"/>
    <s v="CRM-572"/>
    <x v="1"/>
    <s v="Pazarama Bundle Hatası"/>
    <x v="0"/>
    <e v="#N/A"/>
    <x v="0"/>
    <s v="-"/>
    <x v="0"/>
    <n v="3"/>
  </r>
  <r>
    <x v="0"/>
    <s v="CRM-573"/>
    <x v="1"/>
    <s v="Müşteri Modülünde Mail Adresi İle Müşteri Listeleme"/>
    <x v="0"/>
    <e v="#N/A"/>
    <x v="0"/>
    <s v="-"/>
    <x v="0"/>
    <n v="3"/>
  </r>
  <r>
    <x v="0"/>
    <s v="CRM-574"/>
    <x v="1"/>
    <s v="Güvenlik Grubu Değişiklik Tarihçesi Hk."/>
    <x v="0"/>
    <e v="#N/A"/>
    <x v="0"/>
    <s v="-"/>
    <x v="0"/>
    <n v="3"/>
  </r>
  <r>
    <x v="0"/>
    <s v="CRM-577"/>
    <x v="1"/>
    <s v="Dijikolay Potansiyel Müşteri Entegrasyonu Hk."/>
    <x v="0"/>
    <e v="#N/A"/>
    <x v="0"/>
    <s v="-"/>
    <x v="0"/>
    <n v="1"/>
  </r>
  <r>
    <x v="0"/>
    <s v="CRM-580"/>
    <x v="1"/>
    <s v="KEP IK Toplu Açılış için CRM den Çalışan Listesini Insert Etme Ek Geliştirme"/>
    <x v="0"/>
    <e v="#N/A"/>
    <x v="0"/>
    <s v="-"/>
    <x v="0"/>
    <n v="8"/>
  </r>
  <r>
    <x v="0"/>
    <s v="CRM-581"/>
    <x v="1"/>
    <s v="Toplu IK Excel Yüklemede Hatalı Excelin Export Edilmesi"/>
    <x v="0"/>
    <e v="#N/A"/>
    <x v="0"/>
    <s v="-"/>
    <x v="0"/>
    <n v="3"/>
  </r>
  <r>
    <x v="1"/>
    <s v="CRM-582"/>
    <x v="1"/>
    <s v="Toplu KEP IK Açılış Excelinde Güvenlik Kelimesi"/>
    <x v="0"/>
    <e v="#N/A"/>
    <x v="0"/>
    <s v="-"/>
    <x v="0"/>
    <n v="2"/>
  </r>
  <r>
    <x v="0"/>
    <s v="CRM-583"/>
    <x v="1"/>
    <s v="Toplu KEP IK Açılışlarında Bildirim Gönderilmesi"/>
    <x v="0"/>
    <e v="#N/A"/>
    <x v="0"/>
    <s v="-"/>
    <x v="0"/>
    <n v="3"/>
  </r>
  <r>
    <x v="0"/>
    <s v="CRM-584"/>
    <x v="1"/>
    <s v="KEP Adresi ile Arama"/>
    <x v="0"/>
    <e v="#N/A"/>
    <x v="0"/>
    <s v="-"/>
    <x v="0"/>
    <n v="3"/>
  </r>
  <r>
    <x v="0"/>
    <s v="CRM-587"/>
    <x v="0"/>
    <s v="e-İmza Başvuruları için Dış Servis Yazılması "/>
    <x v="0"/>
    <e v="#N/A"/>
    <x v="0"/>
    <s v="-"/>
    <x v="0"/>
    <m/>
  </r>
  <r>
    <x v="0"/>
    <s v="CRM-588"/>
    <x v="1"/>
    <s v="Üretim Modülü Fatura Tahsilatların İşlenmesi"/>
    <x v="0"/>
    <e v="#N/A"/>
    <x v="0"/>
    <s v="-"/>
    <x v="0"/>
    <n v="3"/>
  </r>
  <r>
    <x v="0"/>
    <s v="CRM-589"/>
    <x v="1"/>
    <s v="Duplicate Teklif Numarası için Alarm Maili Oluşturulması"/>
    <x v="0"/>
    <e v="#N/A"/>
    <x v="0"/>
    <s v="-"/>
    <x v="0"/>
    <n v="1"/>
  </r>
  <r>
    <x v="0"/>
    <s v="CRM-590"/>
    <x v="1"/>
    <s v="Aynı TCKN ye Ait Birden Fazla KEP Adresinin KEP IK Aktarım Süreci "/>
    <x v="0"/>
    <e v="#N/A"/>
    <x v="0"/>
    <s v="-"/>
    <x v="0"/>
    <m/>
  </r>
  <r>
    <x v="0"/>
    <s v="CRM-591"/>
    <x v="1"/>
    <s v="Pasif Olan KEP Adresin Tekrar Aktif Edilmesi (UKDS)"/>
    <x v="0"/>
    <e v="#N/A"/>
    <x v="0"/>
    <s v="-"/>
    <x v="0"/>
    <m/>
  </r>
  <r>
    <x v="0"/>
    <s v="CRM-592"/>
    <x v="1"/>
    <s v="Pasif Olan KEP Hesabın Tekrar Aktif Edilmesi (CRM)"/>
    <x v="0"/>
    <e v="#N/A"/>
    <x v="0"/>
    <s v="-"/>
    <x v="0"/>
    <m/>
  </r>
  <r>
    <x v="0"/>
    <s v="CRM-593"/>
    <x v="1"/>
    <s v="Mersis sorgu sonucunda dönen NACE kodu bilgisinin alınması"/>
    <x v="0"/>
    <e v="#N/A"/>
    <x v="0"/>
    <s v="-"/>
    <x v="0"/>
    <n v="1"/>
  </r>
  <r>
    <x v="0"/>
    <s v="CRM-594"/>
    <x v="0"/>
    <s v="KEP Assist ürün kullanım raporu"/>
    <x v="0"/>
    <e v="#N/A"/>
    <x v="0"/>
    <s v="-"/>
    <x v="0"/>
    <n v="5"/>
  </r>
  <r>
    <x v="0"/>
    <s v="CRM-597"/>
    <x v="1"/>
    <s v="Sipariş detayında MERSİS sorgu sonucu başarılı dönmemesi"/>
    <x v="0"/>
    <e v="#N/A"/>
    <x v="0"/>
    <s v="-"/>
    <x v="0"/>
    <n v="1"/>
  </r>
  <r>
    <x v="0"/>
    <s v="CRM-598"/>
    <x v="1"/>
    <s v="Kamu/Oda/Vakıf/Dernek müşteri tipi için KEP hesap oluşturulabilmesi"/>
    <x v="0"/>
    <e v="#N/A"/>
    <x v="0"/>
    <s v="-"/>
    <x v="0"/>
    <n v="1"/>
  </r>
  <r>
    <x v="0"/>
    <s v="CRM-599"/>
    <x v="1"/>
    <s v="Manuel müşteri kaydı oluşturma"/>
    <x v="0"/>
    <e v="#N/A"/>
    <x v="0"/>
    <s v="-"/>
    <x v="0"/>
    <n v="1"/>
  </r>
  <r>
    <x v="0"/>
    <s v="CRM-600"/>
    <x v="1"/>
    <s v="MERSİS sonucunda eşleşme sağlanamaması"/>
    <x v="0"/>
    <e v="#N/A"/>
    <x v="0"/>
    <s v="-"/>
    <x v="0"/>
    <n v="1"/>
  </r>
  <r>
    <x v="0"/>
    <s v="CRM-601"/>
    <x v="1"/>
    <s v="KEP Assist rapor servisine entegrasyon sağlanması"/>
    <x v="0"/>
    <e v="#N/A"/>
    <x v="0"/>
    <s v="-"/>
    <x v="0"/>
    <n v="1"/>
  </r>
  <r>
    <x v="0"/>
    <s v="CRM-602"/>
    <x v="1"/>
    <s v="KEP Assist organizasyon ID bilgisinin kaydedilmesi"/>
    <x v="0"/>
    <e v="#N/A"/>
    <x v="0"/>
    <s v="-"/>
    <x v="0"/>
    <n v="1"/>
  </r>
  <r>
    <x v="0"/>
    <s v="CRM-603"/>
    <x v="1"/>
    <s v="Sözleşmeler sayfasına kullanım bilgilerinin kaydedilmesi"/>
    <x v="0"/>
    <e v="#N/A"/>
    <x v="0"/>
    <s v="-"/>
    <x v="0"/>
    <n v="5"/>
  </r>
  <r>
    <x v="0"/>
    <s v="CRM-604"/>
    <x v="1"/>
    <s v="Kullanım bilgilerinin güncellenmesi için job yazılması"/>
    <x v="0"/>
    <e v="#N/A"/>
    <x v="0"/>
    <s v="-"/>
    <x v="0"/>
    <n v="2"/>
  </r>
  <r>
    <x v="0"/>
    <s v="CRM-605"/>
    <x v="1"/>
    <s v="Belirli tarih aralığındaki kullanım bilgilerinin gösterilmesi"/>
    <x v="0"/>
    <e v="#N/A"/>
    <x v="0"/>
    <s v="-"/>
    <x v="0"/>
    <n v="3"/>
  </r>
  <r>
    <x v="0"/>
    <s v="CRM-608"/>
    <x v="1"/>
    <s v="Duplicate Fatura Numaraları için Düzenleme"/>
    <x v="0"/>
    <e v="#N/A"/>
    <x v="0"/>
    <s v="-"/>
    <x v="0"/>
    <n v="2"/>
  </r>
  <r>
    <x v="0"/>
    <s v="CRM-609"/>
    <x v="1"/>
    <s v="Müşterinin Oluşturulma Tarihi Düzenlemesi"/>
    <x v="0"/>
    <e v="#N/A"/>
    <x v="0"/>
    <s v="-"/>
    <x v="0"/>
    <n v="1"/>
  </r>
  <r>
    <x v="0"/>
    <s v="CRM-610"/>
    <x v="1"/>
    <s v="Test ortamı MERSİS entegrasyonu kontrol adımları"/>
    <x v="0"/>
    <e v="#N/A"/>
    <x v="0"/>
    <s v="-"/>
    <x v="0"/>
    <n v="2"/>
  </r>
  <r>
    <x v="0"/>
    <s v="CRM-613"/>
    <x v="1"/>
    <s v="Test ortamında NACE kodu bilgisi alanının getirilmesi"/>
    <x v="0"/>
    <e v="#N/A"/>
    <x v="0"/>
    <s v="-"/>
    <x v="0"/>
    <n v="1"/>
  </r>
  <r>
    <x v="0"/>
    <s v="CRM-614"/>
    <x v="1"/>
    <s v="Tobb Mersis servisi bakiye kontrolü için bildirim maili gönderilmesi"/>
    <x v="0"/>
    <e v="#N/A"/>
    <x v="0"/>
    <s v="-"/>
    <x v="0"/>
    <n v="2"/>
  </r>
  <r>
    <x v="0"/>
    <s v="CRM-616"/>
    <x v="1"/>
    <s v="Turmob servis tüketim bilgilerinin kaydedilmesi"/>
    <x v="0"/>
    <e v="#N/A"/>
    <x v="0"/>
    <s v="-"/>
    <x v="0"/>
    <n v="3"/>
  </r>
  <r>
    <x v="0"/>
    <s v="CRM-617"/>
    <x v="1"/>
    <s v="Turmob servis tüketim verilerinin Fatura bakiyesinden düşülmesi"/>
    <x v="0"/>
    <e v="#N/A"/>
    <x v="0"/>
    <s v="-"/>
    <x v="0"/>
    <n v="1"/>
  </r>
  <r>
    <x v="0"/>
    <s v="CRM-618"/>
    <x v="1"/>
    <s v="Fatura tüketim verileri içeren raporların güncellenmesi"/>
    <x v="0"/>
    <e v="#N/A"/>
    <x v="0"/>
    <s v="-"/>
    <x v="0"/>
    <n v="1"/>
  </r>
  <r>
    <x v="0"/>
    <s v="DP-266"/>
    <x v="1"/>
    <s v="İptal Firmaların Veri Teslimi İçin Sorgu Ekranı Eklenmesi"/>
    <x v="1"/>
    <e v="#N/A"/>
    <x v="0"/>
    <s v="-"/>
    <x v="0"/>
    <n v="2"/>
  </r>
  <r>
    <x v="1"/>
    <s v="DP-267"/>
    <x v="1"/>
    <s v="E-Defter Firma Raporu Excelinin Güncellenmesi"/>
    <x v="1"/>
    <e v="#N/A"/>
    <x v="0"/>
    <s v="-"/>
    <x v="0"/>
    <n v="2"/>
  </r>
  <r>
    <x v="0"/>
    <s v="DP-268"/>
    <x v="1"/>
    <s v="KEP Utility Servisi Evidence-controller metotlarının eklenmesi"/>
    <x v="1"/>
    <e v="#N/A"/>
    <x v="0"/>
    <s v="-"/>
    <x v="0"/>
    <n v="2"/>
  </r>
  <r>
    <x v="0"/>
    <s v="DP-269"/>
    <x v="1"/>
    <s v="KEP Utility Servisi Mailbox-controller metotlarının eklenmesi"/>
    <x v="1"/>
    <e v="#N/A"/>
    <x v="0"/>
    <s v="-"/>
    <x v="0"/>
    <n v="2"/>
  </r>
  <r>
    <x v="0"/>
    <s v="DP-270"/>
    <x v="1"/>
    <s v="KEP Utility Servisi Original-controller metotlarının eklenmesi"/>
    <x v="1"/>
    <e v="#N/A"/>
    <x v="0"/>
    <s v="-"/>
    <x v="0"/>
    <n v="5"/>
  </r>
  <r>
    <x v="0"/>
    <s v="DP-271"/>
    <x v="1"/>
    <s v="KEP Utility Servisi quota-controller metotlarının eklenmesi"/>
    <x v="1"/>
    <e v="#N/A"/>
    <x v="0"/>
    <s v="-"/>
    <x v="0"/>
    <n v="2"/>
  </r>
  <r>
    <x v="0"/>
    <s v="DP-272"/>
    <x v="1"/>
    <s v=" KEP Utility Servisi Rem-q-controller metotlarının eklenmesi"/>
    <x v="1"/>
    <e v="#N/A"/>
    <x v="0"/>
    <s v="-"/>
    <x v="0"/>
    <n v="2"/>
  </r>
  <r>
    <x v="0"/>
    <s v="DP-273"/>
    <x v="1"/>
    <s v=" KEP Utility Servisi Web-hr-controller metotlarının eklenmesi"/>
    <x v="1"/>
    <e v="#N/A"/>
    <x v="0"/>
    <s v="-"/>
    <x v="0"/>
    <n v="2"/>
  </r>
  <r>
    <x v="0"/>
    <s v="DS-10"/>
    <x v="1"/>
    <s v="Hata loglarının LogSign üzerinden bildirim olarak gönderilmesi"/>
    <x v="2"/>
    <e v="#N/A"/>
    <x v="0"/>
    <s v="-"/>
    <x v="0"/>
    <n v="3"/>
  </r>
  <r>
    <x v="0"/>
    <s v="EDF-748"/>
    <x v="1"/>
    <s v="e-Defter Kebir Dosyalarının Ocak 2025 Dönemi İtibarı ile GİB Sistemlerine Yüklenmemesi İçin Değişiklik"/>
    <x v="3"/>
    <e v="#N/A"/>
    <x v="0"/>
    <s v="-"/>
    <x v="0"/>
    <m/>
  </r>
  <r>
    <x v="0"/>
    <s v="EDF-750"/>
    <x v="1"/>
    <s v="E-Defter Client Defter İmzalama İçin .jar Dosyasının Güncellenmesi"/>
    <x v="3"/>
    <e v="#N/A"/>
    <x v="0"/>
    <s v="-"/>
    <x v="0"/>
    <m/>
  </r>
  <r>
    <x v="0"/>
    <s v="EDF-751"/>
    <x v="1"/>
    <s v="Büyük Parçalı Firma (LOFT) Portalde İşlem Yapabilmesi İçin Exe Yazılması"/>
    <x v="3"/>
    <e v="#N/A"/>
    <x v="0"/>
    <s v="-"/>
    <x v="0"/>
    <n v="3"/>
  </r>
  <r>
    <x v="0"/>
    <s v="EDF-752"/>
    <x v="1"/>
    <s v="CST_Contract Tablosunda Yer Almayan Müşterinin Portale Girişinin Engellediği Geliştirmenin Geri Alınması"/>
    <x v="3"/>
    <e v="#N/A"/>
    <x v="0"/>
    <s v="-"/>
    <x v="0"/>
    <n v="2"/>
  </r>
  <r>
    <x v="0"/>
    <s v="EDF-755"/>
    <x v="1"/>
    <s v="Sözleşmesi Dolacak Müşteriler İçin Portalde Uyarı Metni Gösterimi"/>
    <x v="3"/>
    <e v="#N/A"/>
    <x v="0"/>
    <s v="-"/>
    <x v="0"/>
    <n v="13"/>
  </r>
  <r>
    <x v="0"/>
    <s v="EFT-1669"/>
    <x v="2"/>
    <s v="Şifreli Tutulan Verilerin SHA-2 Algoritması İle Hashlenmesi"/>
    <x v="4"/>
    <e v="#N/A"/>
    <x v="0"/>
    <s v="-"/>
    <x v="0"/>
    <m/>
  </r>
  <r>
    <x v="0"/>
    <s v="EFT-1934"/>
    <x v="1"/>
    <s v="Sözleşme ve aktivasyon süreçlerinin istemci ile gerçekleştirilmesi"/>
    <x v="4"/>
    <e v="#N/A"/>
    <x v="0"/>
    <s v="-"/>
    <x v="0"/>
    <n v="3"/>
  </r>
  <r>
    <x v="0"/>
    <s v="EFT-2043"/>
    <x v="1"/>
    <s v="Kamu Faturaları Düzenlemeleri"/>
    <x v="4"/>
    <e v="#N/A"/>
    <x v="0"/>
    <s v="-"/>
    <x v="0"/>
    <n v="2"/>
  </r>
  <r>
    <x v="0"/>
    <s v="EFT-2068"/>
    <x v="1"/>
    <s v="Portalde Excel İle Fatura Yükleme "/>
    <x v="4"/>
    <e v="#N/A"/>
    <x v="0"/>
    <s v="-"/>
    <x v="0"/>
    <m/>
  </r>
  <r>
    <x v="0"/>
    <s v="EFT-2085"/>
    <x v="1"/>
    <s v="İlaç ve Tıbbi Cihaz Fatura Tipinde Fatura Oluşturulup Gönderilmesi"/>
    <x v="4"/>
    <e v="#N/A"/>
    <x v="0"/>
    <s v="-"/>
    <x v="0"/>
    <n v="13"/>
  </r>
  <r>
    <x v="0"/>
    <s v="EFT-2087"/>
    <x v="1"/>
    <s v="DeliveryCustomerParty Alanında TCKN Giriliyorsa Ad Soyad Girme Zorunluluğu Ekleme"/>
    <x v="4"/>
    <e v="#N/A"/>
    <x v="0"/>
    <s v="-"/>
    <x v="0"/>
    <n v="3"/>
  </r>
  <r>
    <x v="0"/>
    <s v="EFT-2094"/>
    <x v="1"/>
    <s v="Portal İlaç ve Tıbbi Cihaz Fatura Tipinde Fatura Oluşturulup Gönderilmesi"/>
    <x v="4"/>
    <e v="#N/A"/>
    <x v="0"/>
    <s v="-"/>
    <x v="0"/>
    <n v="5"/>
  </r>
  <r>
    <x v="1"/>
    <s v="EFT-2095"/>
    <x v="1"/>
    <s v="Ef-Admin Portalde Şifremi Unuttum Alanının Çalışmaması"/>
    <x v="4"/>
    <e v="#N/A"/>
    <x v="0"/>
    <s v="-"/>
    <x v="0"/>
    <n v="3"/>
  </r>
  <r>
    <x v="0"/>
    <s v="EFT-2100"/>
    <x v="1"/>
    <s v="IHRACKAYITLI fatura tipi için GTİP ve Satır Kodu Zorunluluğu"/>
    <x v="4"/>
    <e v="#N/A"/>
    <x v="0"/>
    <s v="-"/>
    <x v="0"/>
    <n v="5"/>
  </r>
  <r>
    <x v="0"/>
    <s v="EFT-2101"/>
    <x v="1"/>
    <s v="İade ve Tevkifatiade Fatura Tiplerinde İadeye Konu Olan Fatura Numarası ve Tarihi Boş Olmaması"/>
    <x v="4"/>
    <e v="#N/A"/>
    <x v="0"/>
    <s v="-"/>
    <x v="0"/>
    <n v="5"/>
  </r>
  <r>
    <x v="0"/>
    <s v="EFT-2102"/>
    <x v="1"/>
    <s v="TaxExemptionReasonCodeType Güncellenmesi"/>
    <x v="4"/>
    <e v="#N/A"/>
    <x v="0"/>
    <s v="-"/>
    <x v="0"/>
    <n v="1"/>
  </r>
  <r>
    <x v="0"/>
    <s v="EFT-2108"/>
    <x v="1"/>
    <s v="ERP Binding Müşterilerine GİB Zorunlulukları İçin Geliştirme"/>
    <x v="4"/>
    <e v="#N/A"/>
    <x v="0"/>
    <s v="-"/>
    <x v="0"/>
    <n v="3"/>
  </r>
  <r>
    <x v="0"/>
    <s v="EFT-2109"/>
    <x v="1"/>
    <s v="MLP İade Faturası Geliştirmesi"/>
    <x v="4"/>
    <e v="#N/A"/>
    <x v="0"/>
    <s v="-"/>
    <x v="0"/>
    <n v="2"/>
  </r>
  <r>
    <x v="0"/>
    <s v="EFT-2114"/>
    <x v="1"/>
    <s v="HSM Lisans Süresini Uzatılması"/>
    <x v="4"/>
    <e v="#N/A"/>
    <x v="0"/>
    <s v="-"/>
    <x v="0"/>
    <n v="1"/>
  </r>
  <r>
    <x v="0"/>
    <s v="EFT-2116"/>
    <x v="1"/>
    <s v="Yapılan Türmob sorgularının veri tablosuna kaydedilmesi"/>
    <x v="4"/>
    <e v="#N/A"/>
    <x v="0"/>
    <s v="-"/>
    <x v="0"/>
    <n v="3"/>
  </r>
  <r>
    <x v="0"/>
    <s v="EFT-2117"/>
    <x v="1"/>
    <s v="Konnektör VKN/TCKN Alanı Minimum 10 Hane ve Ücretlendirme Uyarısı"/>
    <x v="4"/>
    <e v="#N/A"/>
    <x v="0"/>
    <s v="-"/>
    <x v="0"/>
    <n v="1"/>
  </r>
  <r>
    <x v="0"/>
    <s v="EFT-2118"/>
    <x v="1"/>
    <s v="Proxy Servis Metot Geliştirmeleri"/>
    <x v="4"/>
    <e v="#N/A"/>
    <x v="0"/>
    <s v="-"/>
    <x v="0"/>
    <n v="2"/>
  </r>
  <r>
    <x v="0"/>
    <s v="EFT-2119"/>
    <x v="1"/>
    <s v="CRM-Fatura Entegrasyonu Sağlanması"/>
    <x v="4"/>
    <e v="#N/A"/>
    <x v="0"/>
    <s v="-"/>
    <x v="0"/>
    <n v="2"/>
  </r>
  <r>
    <x v="0"/>
    <s v="EFT-2120"/>
    <x v="1"/>
    <s v="Portal VKN/TCKN Alanına Minimum 10 haneli Giriş Zorunluluğu ve Ücretlendirme Uyarısı"/>
    <x v="4"/>
    <e v="#N/A"/>
    <x v="0"/>
    <s v="-"/>
    <x v="0"/>
    <n v="1"/>
  </r>
  <r>
    <x v="0"/>
    <s v="EFT-2121"/>
    <x v="1"/>
    <s v="Portalda Dashboard da TÜRMOB Sorgu Sayısı"/>
    <x v="4"/>
    <e v="#N/A"/>
    <x v="0"/>
    <s v="-"/>
    <x v="0"/>
    <n v="3"/>
  </r>
  <r>
    <x v="1"/>
    <s v="EFT-2122"/>
    <x v="1"/>
    <s v="İrsaliye Web Metotlarında Mersis No ve Ticaret No Zorunluluğu Kaldırma "/>
    <x v="4"/>
    <e v="#N/A"/>
    <x v="0"/>
    <s v="-"/>
    <x v="0"/>
    <n v="1"/>
  </r>
  <r>
    <x v="1"/>
    <s v="EFT-2127"/>
    <x v="1"/>
    <s v="GİB Zorunlulukları Sonrası Konnektörde Harici Excel İle Yüklemede Hata"/>
    <x v="4"/>
    <e v="#N/A"/>
    <x v="0"/>
    <s v="-"/>
    <x v="0"/>
    <n v="2"/>
  </r>
  <r>
    <x v="0"/>
    <s v="EFT-2129"/>
    <x v="1"/>
    <s v="Türmob Geliştirmelerinde Connector Uygulamasının Proxy Servisine Entegre Edilmesi"/>
    <x v="4"/>
    <e v="#N/A"/>
    <x v="0"/>
    <s v="-"/>
    <x v="0"/>
    <n v="1"/>
  </r>
  <r>
    <x v="1"/>
    <s v="EFT-2136"/>
    <x v="1"/>
    <s v="MLP İade Fatura İadeye Konu Fatura Düzeltmesi"/>
    <x v="4"/>
    <e v="#N/A"/>
    <x v="0"/>
    <s v="-"/>
    <x v="0"/>
    <n v="1"/>
  </r>
  <r>
    <x v="0"/>
    <s v="EFT-2137"/>
    <x v="1"/>
    <s v="Ücretlendirme Uyarısının Gösterimi "/>
    <x v="4"/>
    <e v="#N/A"/>
    <x v="0"/>
    <s v="-"/>
    <x v="0"/>
    <n v="1"/>
  </r>
  <r>
    <x v="1"/>
    <s v="EFT-2138"/>
    <x v="1"/>
    <s v="Portalda İade ve Tevkifat İade Faturalarında İadeye Konu Olan Fatura Numarasının Seri Numarası Tarihi Hatası"/>
    <x v="4"/>
    <e v="#N/A"/>
    <x v="0"/>
    <s v="-"/>
    <x v="0"/>
    <n v="1"/>
  </r>
  <r>
    <x v="0"/>
    <s v="EFT-2140"/>
    <x v="1"/>
    <s v="Portal uygulumasına &quot;TEKNOLOJIDESTEK” fatura tipinin eklenmesi._x0009_"/>
    <x v="4"/>
    <e v="#N/A"/>
    <x v="0"/>
    <s v="-"/>
    <x v="0"/>
    <n v="3"/>
  </r>
  <r>
    <x v="0"/>
    <s v="EFT-2141"/>
    <x v="1"/>
    <s v="Konnektör uygulumasına &quot;TEKNOLOJIDESTEK” fatura tipinin eklenmesi."/>
    <x v="4"/>
    <e v="#N/A"/>
    <x v="0"/>
    <s v="-"/>
    <x v="0"/>
    <n v="2"/>
  </r>
  <r>
    <x v="0"/>
    <s v="EFT-2142"/>
    <x v="1"/>
    <s v="Webservis uygulumasına &quot;TEKNOLOJIDESTEK” fatura tipinin eklenmesi."/>
    <x v="4"/>
    <e v="#N/A"/>
    <x v="0"/>
    <s v="-"/>
    <x v="0"/>
    <n v="3"/>
  </r>
  <r>
    <x v="0"/>
    <s v="EFT-2143"/>
    <x v="1"/>
    <s v="Modellerin, servislerin ve SPlerin oluşması "/>
    <x v="4"/>
    <e v="#N/A"/>
    <x v="0"/>
    <s v="-"/>
    <x v="0"/>
    <n v="3"/>
  </r>
  <r>
    <x v="0"/>
    <s v="IEU-114"/>
    <x v="1"/>
    <s v="Pdf hash imza - client"/>
    <x v="5"/>
    <e v="#N/A"/>
    <x v="0"/>
    <s v="-"/>
    <x v="0"/>
    <m/>
  </r>
  <r>
    <x v="0"/>
    <s v="IEU-115"/>
    <x v="1"/>
    <s v="PDF Dosyasının Hash Değerini Alma"/>
    <x v="5"/>
    <e v="#N/A"/>
    <x v="0"/>
    <s v="-"/>
    <x v="0"/>
    <n v="5"/>
  </r>
  <r>
    <x v="0"/>
    <s v="IEU-122"/>
    <x v="1"/>
    <s v="Veritabanının farklı sunucuya taşınması (Hubtest)"/>
    <x v="5"/>
    <e v="#N/A"/>
    <x v="0"/>
    <s v="-"/>
    <x v="0"/>
    <n v="3"/>
  </r>
  <r>
    <x v="1"/>
    <s v="IEU-127"/>
    <x v="0"/>
    <s v="XAdES çoklu imza doğrulama hatası"/>
    <x v="5"/>
    <e v="#N/A"/>
    <x v="0"/>
    <s v="-"/>
    <x v="0"/>
    <m/>
  </r>
  <r>
    <x v="1"/>
    <s v="IEU-128"/>
    <x v="1"/>
    <s v="XAdES çoklu imzalama hatası hakkında"/>
    <x v="5"/>
    <e v="#N/A"/>
    <x v="0"/>
    <s v="-"/>
    <x v="0"/>
    <m/>
  </r>
  <r>
    <x v="0"/>
    <s v="IEU-13"/>
    <x v="1"/>
    <s v="Mobil İmza modülüne XAdES imzalama özelliği eklenmesi"/>
    <x v="5"/>
    <e v="#N/A"/>
    <x v="0"/>
    <s v="-"/>
    <x v="0"/>
    <n v="5"/>
  </r>
  <r>
    <x v="0"/>
    <s v="IEU-149"/>
    <x v="1"/>
    <s v="UETS servisinin Hubtest'e alınması"/>
    <x v="5"/>
    <e v="#N/A"/>
    <x v="0"/>
    <s v="-"/>
    <x v="0"/>
    <m/>
  </r>
  <r>
    <x v="0"/>
    <s v="IEU-151"/>
    <x v="1"/>
    <s v="Webmail ile Mobil İmza Entegrasyonu"/>
    <x v="5"/>
    <e v="#N/A"/>
    <x v="0"/>
    <s v="-"/>
    <x v="0"/>
    <m/>
  </r>
  <r>
    <x v="0"/>
    <s v="IEU-153"/>
    <x v="1"/>
    <s v="/api/v1/crg/search/account-info Metodunun Yeniden Yapılandırılması"/>
    <x v="5"/>
    <e v="#N/A"/>
    <x v="0"/>
    <s v="-"/>
    <x v="0"/>
    <m/>
  </r>
  <r>
    <x v="0"/>
    <s v="IEU-154"/>
    <x v="1"/>
    <s v="Son Ui Getiren Metotların Hubtest'e Alınması"/>
    <x v="5"/>
    <e v="#N/A"/>
    <x v="0"/>
    <s v="-"/>
    <x v="0"/>
    <n v="3"/>
  </r>
  <r>
    <x v="0"/>
    <s v="IEU-155"/>
    <x v="0"/>
    <s v="İmzalama servislerinde toplu imzalama imkanı"/>
    <x v="5"/>
    <e v="#N/A"/>
    <x v="0"/>
    <s v="-"/>
    <x v="0"/>
    <m/>
  </r>
  <r>
    <x v="0"/>
    <s v="IEU-158"/>
    <x v="1"/>
    <s v="KEP Rehber - Genel Adres Doğrulama Metodunun Eklenmesi"/>
    <x v="5"/>
    <e v="#N/A"/>
    <x v="0"/>
    <s v="-"/>
    <x v="0"/>
    <n v="3"/>
  </r>
  <r>
    <x v="0"/>
    <s v="IEU-159"/>
    <x v="1"/>
    <s v="Merkezi KEP Rehberi Metodunda Hatalı Dönüşün Açıklamasının Eklenmesi"/>
    <x v="5"/>
    <e v="#N/A"/>
    <x v="0"/>
    <s v="-"/>
    <x v="0"/>
    <n v="3"/>
  </r>
  <r>
    <x v="0"/>
    <s v="IEU-160"/>
    <x v="1"/>
    <s v="İmzaClient Güncellemesi"/>
    <x v="5"/>
    <e v="#N/A"/>
    <x v="0"/>
    <s v="-"/>
    <x v="0"/>
    <n v="3"/>
  </r>
  <r>
    <x v="1"/>
    <s v="IEU-162"/>
    <x v="1"/>
    <s v="Mobil imza cades tipinde imzalanan belgenin imzalı datasını çağırma hk."/>
    <x v="5"/>
    <e v="#N/A"/>
    <x v="0"/>
    <s v="-"/>
    <x v="0"/>
    <n v="3"/>
  </r>
  <r>
    <x v="0"/>
    <s v="IEU-164"/>
    <x v="1"/>
    <s v="TCKN ve VKN ile Kep Adresi Sorgulama"/>
    <x v="5"/>
    <e v="#N/A"/>
    <x v="0"/>
    <s v="-"/>
    <x v="0"/>
    <m/>
  </r>
  <r>
    <x v="0"/>
    <s v="IEU-165"/>
    <x v="1"/>
    <s v="/api/v1/sign/multi metoduna api-access-token parametresi eklenmesi"/>
    <x v="5"/>
    <e v="#N/A"/>
    <x v="0"/>
    <s v="-"/>
    <x v="0"/>
    <m/>
  </r>
  <r>
    <x v="1"/>
    <s v="IEU-166"/>
    <x v="1"/>
    <s v="list-by-folder-name metodu hk."/>
    <x v="5"/>
    <e v="#N/A"/>
    <x v="0"/>
    <s v="-"/>
    <x v="0"/>
    <n v="3"/>
  </r>
  <r>
    <x v="0"/>
    <s v="IEU-171"/>
    <x v="1"/>
    <s v="İmzalı Hash Değeri ile Orijinal PDF'yi Birleştirme Metodu Geliştirilmesi"/>
    <x v="5"/>
    <e v="#N/A"/>
    <x v="0"/>
    <s v="-"/>
    <x v="0"/>
    <n v="5"/>
  </r>
  <r>
    <x v="1"/>
    <s v="IEU-172"/>
    <x v="1"/>
    <s v="Hubtest metotlardaki hatalar hk."/>
    <x v="5"/>
    <e v="#N/A"/>
    <x v="0"/>
    <s v="-"/>
    <x v="0"/>
    <n v="3"/>
  </r>
  <r>
    <x v="1"/>
    <s v="IEU-174"/>
    <x v="1"/>
    <s v="İmza Client - E-Fatura"/>
    <x v="5"/>
    <e v="#N/A"/>
    <x v="0"/>
    <s v="-"/>
    <x v="0"/>
    <n v="3"/>
  </r>
  <r>
    <x v="1"/>
    <s v="IEU-176"/>
    <x v="3"/>
    <s v="Pades Es-A İmzalarda Çift Zaman Damgası Basılması"/>
    <x v="5"/>
    <e v="#N/A"/>
    <x v="0"/>
    <s v="-"/>
    <x v="0"/>
    <n v="3"/>
  </r>
  <r>
    <x v="1"/>
    <s v="IEU-177"/>
    <x v="1"/>
    <s v="Hubtest /api/v1/eyp/composer/v13/paket/imza/ekle metodu hk."/>
    <x v="5"/>
    <e v="#N/A"/>
    <x v="0"/>
    <s v="-"/>
    <x v="0"/>
    <n v="2"/>
  </r>
  <r>
    <x v="0"/>
    <s v="IEU-181"/>
    <x v="1"/>
    <s v="Metotlardan Dönen Hata Yanıtlarının Kontrol Edilmesi ve Listelenmesi"/>
    <x v="5"/>
    <e v="#N/A"/>
    <x v="0"/>
    <s v="-"/>
    <x v="0"/>
    <n v="3"/>
  </r>
  <r>
    <x v="0"/>
    <s v="IEU-182"/>
    <x v="1"/>
    <s v="Entegrasyon Suit Servis (Rest Api) Dokümanı Güncelleme"/>
    <x v="5"/>
    <e v="#N/A"/>
    <x v="0"/>
    <s v="-"/>
    <x v="0"/>
    <n v="5"/>
  </r>
  <r>
    <x v="1"/>
    <s v="IEU-183"/>
    <x v="1"/>
    <s v="rems-by-folder-name metodu hk."/>
    <x v="5"/>
    <e v="#N/A"/>
    <x v="0"/>
    <s v="-"/>
    <x v="0"/>
    <n v="3"/>
  </r>
  <r>
    <x v="0"/>
    <s v="KA-1359"/>
    <x v="0"/>
    <s v="Mobil İmza Servis Entegrasyonu"/>
    <x v="6"/>
    <e v="#N/A"/>
    <x v="0"/>
    <s v="-"/>
    <x v="0"/>
    <m/>
  </r>
  <r>
    <x v="0"/>
    <s v="KA-1445"/>
    <x v="1"/>
    <s v="Organizasyon kullanıcılarının customerAdmin tarafından tanımlanması"/>
    <x v="6"/>
    <e v="#N/A"/>
    <x v="0"/>
    <s v="-"/>
    <x v="0"/>
    <m/>
  </r>
  <r>
    <x v="0"/>
    <s v="KA-1447"/>
    <x v="1"/>
    <s v="Otomatik yanıtlanan iletilerin eklerine ek dosya eklenmesi"/>
    <x v="6"/>
    <e v="#N/A"/>
    <x v="0"/>
    <s v="-"/>
    <x v="0"/>
    <m/>
  </r>
  <r>
    <x v="0"/>
    <s v="KA-1448"/>
    <x v="1"/>
    <s v="Kep iletisi oluşturan kişinin gönderimin sınırlandırılması"/>
    <x v="6"/>
    <e v="#N/A"/>
    <x v="0"/>
    <s v="-"/>
    <x v="0"/>
    <m/>
  </r>
  <r>
    <x v="0"/>
    <s v="KA-1452"/>
    <x v="1"/>
    <s v="Pasife alınan kullanıcı yerine kullanıcı eklenebilmesi"/>
    <x v="6"/>
    <e v="#N/A"/>
    <x v="0"/>
    <s v="-"/>
    <x v="0"/>
    <m/>
  </r>
  <r>
    <x v="0"/>
    <s v="KA-1453"/>
    <x v="1"/>
    <s v="Update sorgusu hazırlanması EYP_SECURITYCODE tablosu"/>
    <x v="6"/>
    <e v="#N/A"/>
    <x v="0"/>
    <s v="-"/>
    <x v="0"/>
    <m/>
  </r>
  <r>
    <x v="0"/>
    <s v="KA-1454"/>
    <x v="1"/>
    <s v="Kullanım Raporu (Faz-1)"/>
    <x v="6"/>
    <e v="#N/A"/>
    <x v="0"/>
    <s v="-"/>
    <x v="0"/>
    <m/>
  </r>
  <r>
    <x v="1"/>
    <s v="KA-1455"/>
    <x v="1"/>
    <s v="Eyp Şablon Yetkili Sorunu Hk."/>
    <x v="6"/>
    <e v="#N/A"/>
    <x v="0"/>
    <s v="-"/>
    <x v="0"/>
    <m/>
  </r>
  <r>
    <x v="0"/>
    <s v="KA-1456"/>
    <x v="1"/>
    <s v="Kullanım Raporu (Faz-2)"/>
    <x v="6"/>
    <e v="#N/A"/>
    <x v="0"/>
    <s v="-"/>
    <x v="0"/>
    <m/>
  </r>
  <r>
    <x v="0"/>
    <s v="KA-1465x"/>
    <x v="1"/>
    <s v="CRM Entegrasyonu İçin Organizasyonları Listeleyen Servis Geliştirilmesi"/>
    <x v="6"/>
    <e v="#N/A"/>
    <x v="0"/>
    <s v="-"/>
    <x v="0"/>
    <m/>
  </r>
  <r>
    <x v="0"/>
    <s v="KA-1469"/>
    <x v="1"/>
    <s v="CRM Entegrasyonu İçin Kullanım Raporu Metodu Geliştirilmesi - Faz 1"/>
    <x v="6"/>
    <e v="#N/A"/>
    <x v="0"/>
    <s v="-"/>
    <x v="0"/>
    <m/>
  </r>
  <r>
    <x v="0"/>
    <s v="KA-1470"/>
    <x v="1"/>
    <s v="CRM Entegrasyonu İçin Kullanım Raporu Metodu Geliştirilmesi - Faz 2"/>
    <x v="6"/>
    <e v="#N/A"/>
    <x v="0"/>
    <s v="-"/>
    <x v="0"/>
    <m/>
  </r>
  <r>
    <x v="0"/>
    <s v="KA-1471"/>
    <x v="1"/>
    <s v="Gelen KEP İletileri Excel Raporunda EYP Belge Numaralarının Eklenmesi"/>
    <x v="6"/>
    <e v="#N/A"/>
    <x v="0"/>
    <s v="-"/>
    <x v="0"/>
    <m/>
  </r>
  <r>
    <x v="0"/>
    <s v="KA-1472"/>
    <x v="1"/>
    <s v="Güncelleme Paketi Hazırlanması"/>
    <x v="6"/>
    <e v="#N/A"/>
    <x v="0"/>
    <s v="-"/>
    <x v="0"/>
    <n v="3"/>
  </r>
  <r>
    <x v="0"/>
    <s v="KA-1476"/>
    <x v="1"/>
    <s v="UETS Gelen Kutusu İşlem Statüsü ve Süreçteki Adım Sütunları Hk."/>
    <x v="6"/>
    <e v="#N/A"/>
    <x v="0"/>
    <s v="-"/>
    <x v="0"/>
    <n v="1"/>
  </r>
  <r>
    <x v="1"/>
    <s v="KA-1482"/>
    <x v="1"/>
    <s v="Etys Süreçlerinde Veritabanı Deadlock Hatası hk."/>
    <x v="6"/>
    <e v="#N/A"/>
    <x v="0"/>
    <s v="-"/>
    <x v="0"/>
    <n v="5"/>
  </r>
  <r>
    <x v="0"/>
    <s v="KA-1485"/>
    <x v="1"/>
    <s v="Hatalı delillerin tekrar tetiklenmesi için sorgu hazırlanması"/>
    <x v="6"/>
    <e v="#N/A"/>
    <x v="0"/>
    <s v="-"/>
    <x v="0"/>
    <n v="1"/>
  </r>
  <r>
    <x v="0"/>
    <s v="KA-1488"/>
    <x v="1"/>
    <s v="Hatalı Delillerin Tekrar Tetiklenmesi İçin Worker Çalışması"/>
    <x v="6"/>
    <e v="#N/A"/>
    <x v="0"/>
    <s v="-"/>
    <x v="0"/>
    <n v="3"/>
  </r>
  <r>
    <x v="0"/>
    <s v="KA-1491"/>
    <x v="1"/>
    <s v="Kep Assist - Crm Kullanım Raporu Servisi Kullanım Alanları Birim Değişikliği"/>
    <x v="6"/>
    <e v="#N/A"/>
    <x v="0"/>
    <s v="-"/>
    <x v="0"/>
    <n v="1"/>
  </r>
  <r>
    <x v="0"/>
    <s v="KEP-101"/>
    <x v="1"/>
    <s v="Dovecot DB geçişi"/>
    <x v="7"/>
    <e v="#N/A"/>
    <x v="0"/>
    <s v="-"/>
    <x v="0"/>
    <m/>
  </r>
  <r>
    <x v="0"/>
    <s v="KEP-113"/>
    <x v="1"/>
    <s v="Webmail E-Tebligat Kutusu Belge İndirme ve Okundu Sayılma"/>
    <x v="7"/>
    <e v="#N/A"/>
    <x v="0"/>
    <s v="-"/>
    <x v="0"/>
    <n v="3"/>
  </r>
  <r>
    <x v="0"/>
    <s v="KEP-132"/>
    <x v="1"/>
    <s v="Teslim Edilemedi Delili Mail Bildirimi"/>
    <x v="7"/>
    <e v="#N/A"/>
    <x v="0"/>
    <s v="-"/>
    <x v="0"/>
    <n v="5"/>
  </r>
  <r>
    <x v="0"/>
    <s v="KEP-251"/>
    <x v="1"/>
    <s v="Log kayıtlarının kolay erişilebilir yapıda tutulması"/>
    <x v="7"/>
    <e v="#N/A"/>
    <x v="0"/>
    <s v="-"/>
    <x v="0"/>
    <m/>
  </r>
  <r>
    <x v="0"/>
    <s v="KEP-258"/>
    <x v="1"/>
    <s v="Merkezi KEP Rehberi Servis Geliştirmesi"/>
    <x v="7"/>
    <e v="#N/A"/>
    <x v="0"/>
    <s v="-"/>
    <x v="0"/>
    <m/>
  </r>
  <r>
    <x v="0"/>
    <s v="KEP-259"/>
    <x v="1"/>
    <s v="CRM Servisi Geliştirmesi"/>
    <x v="7"/>
    <e v="#N/A"/>
    <x v="0"/>
    <s v="-"/>
    <x v="0"/>
    <n v="13"/>
  </r>
  <r>
    <x v="0"/>
    <s v="KEP-260"/>
    <x v="1"/>
    <s v="Lisans Güncellemesi Hk."/>
    <x v="7"/>
    <e v="#N/A"/>
    <x v="0"/>
    <s v="-"/>
    <x v="0"/>
    <m/>
  </r>
  <r>
    <x v="0"/>
    <s v="KEP-261"/>
    <x v="1"/>
    <s v="Webmail PDF Görüntüleme İşlemi "/>
    <x v="7"/>
    <e v="#N/A"/>
    <x v="0"/>
    <s v="-"/>
    <x v="0"/>
    <n v="3"/>
  </r>
  <r>
    <x v="1"/>
    <s v="KEP-262"/>
    <x v="1"/>
    <s v="Webmail Giden Kutusu Listeleme "/>
    <x v="7"/>
    <e v="#N/A"/>
    <x v="0"/>
    <s v="-"/>
    <x v="0"/>
    <n v="3"/>
  </r>
  <r>
    <x v="0"/>
    <s v="KEP-263"/>
    <x v="1"/>
    <s v="Webmail CTRL Tuşu İle Birden Fazla İleti Seçme"/>
    <x v="7"/>
    <e v="#N/A"/>
    <x v="0"/>
    <s v="-"/>
    <x v="0"/>
    <m/>
  </r>
  <r>
    <x v="0"/>
    <s v="KEP-264"/>
    <x v="1"/>
    <s v="UETS Mail bildirim kayıtlarının Utility servis üzerinden sorgulanması"/>
    <x v="7"/>
    <e v="#N/A"/>
    <x v="0"/>
    <s v="-"/>
    <x v="0"/>
    <m/>
  </r>
  <r>
    <x v="0"/>
    <s v="KEP-265"/>
    <x v="1"/>
    <s v="UETS SMS bildirim kayıtlarının Utility servis üzerinden sorgulanması"/>
    <x v="7"/>
    <e v="#N/A"/>
    <x v="0"/>
    <s v="-"/>
    <x v="0"/>
    <m/>
  </r>
  <r>
    <x v="1"/>
    <s v="KEP-266"/>
    <x v="1"/>
    <s v="Web mail dosya boyut sınırı"/>
    <x v="7"/>
    <e v="#N/A"/>
    <x v="0"/>
    <s v="-"/>
    <x v="0"/>
    <m/>
  </r>
  <r>
    <x v="0"/>
    <s v="KEP-267"/>
    <x v="1"/>
    <s v="Vodafone mobil imza seçeneğinin eklenmesi"/>
    <x v="7"/>
    <e v="#N/A"/>
    <x v="0"/>
    <s v="-"/>
    <x v="0"/>
    <n v="5"/>
  </r>
  <r>
    <x v="0"/>
    <s v="KEP-268"/>
    <x v="1"/>
    <s v="Mobil İmza Entegrasyonlarının Değiştirmesi Hk"/>
    <x v="7"/>
    <e v="#N/A"/>
    <x v="0"/>
    <s v="-"/>
    <x v="0"/>
    <n v="8"/>
  </r>
  <r>
    <x v="0"/>
    <s v="KEP-269"/>
    <x v="1"/>
    <s v="Yeni Açılan KEP Adreslerinin Yeni Altyapı Tarafında Açılması Hk (CRM Geliştirmesi)"/>
    <x v="7"/>
    <e v="#N/A"/>
    <x v="0"/>
    <s v="-"/>
    <x v="0"/>
    <n v="3"/>
  </r>
  <r>
    <x v="0"/>
    <s v="KEP-270"/>
    <x v="1"/>
    <s v="e-Saklama Modulü Tarih Filtresi Alanında Sorguya Ait Değerin Getirilmesi"/>
    <x v="7"/>
    <e v="#N/A"/>
    <x v="0"/>
    <s v="-"/>
    <x v="0"/>
    <n v="2"/>
  </r>
  <r>
    <x v="0"/>
    <s v="KEP-271"/>
    <x v="1"/>
    <s v="Delil Arşiv Sunucusu Taşınması "/>
    <x v="7"/>
    <e v="#N/A"/>
    <x v="0"/>
    <s v="-"/>
    <x v="0"/>
    <n v="5"/>
  </r>
  <r>
    <x v="0"/>
    <s v="KEP-272"/>
    <x v="1"/>
    <s v="İşlem Yetkilisi Bilgi Güncelle Ekranında Yapılan Yetki Kısıtlamaları Çalışmıyor"/>
    <x v="7"/>
    <e v="#N/A"/>
    <x v="0"/>
    <s v="-"/>
    <x v="0"/>
    <n v="5"/>
  </r>
  <r>
    <x v="0"/>
    <s v="KEP-273"/>
    <x v="1"/>
    <s v="BTK Sorgulamalarında Bir Yerine Birden Fazla Kuyruk Oluşturma"/>
    <x v="7"/>
    <e v="#N/A"/>
    <x v="0"/>
    <s v="-"/>
    <x v="0"/>
    <m/>
  </r>
  <r>
    <x v="0"/>
    <s v="KEP-274"/>
    <x v="1"/>
    <s v="BTK Rehber Servisine Rehber Bildirimlerinin Aylık Yerine Anlık Yapılması"/>
    <x v="7"/>
    <e v="#N/A"/>
    <x v="0"/>
    <s v="-"/>
    <x v="0"/>
    <n v="13"/>
  </r>
  <r>
    <x v="0"/>
    <s v="KEP-275"/>
    <x v="1"/>
    <s v="Eliptik Eğri Güncel Sürümün Test Edilmesi"/>
    <x v="7"/>
    <e v="#N/A"/>
    <x v="0"/>
    <s v="-"/>
    <x v="0"/>
    <n v="5"/>
  </r>
  <r>
    <x v="0"/>
    <s v="KEP-277"/>
    <x v="1"/>
    <s v="KEP Webmail Yetkilerinin Düzenlenmesi"/>
    <x v="7"/>
    <e v="#N/A"/>
    <x v="0"/>
    <s v="-"/>
    <x v="0"/>
    <m/>
  </r>
  <r>
    <x v="0"/>
    <s v="KEP-278"/>
    <x v="1"/>
    <s v="Adalet Bakanlığı'na Gönderilen KEP'lerde Detsis Numarası Eksik Olanlar için Verilen Uyarı Mesajında Detsis Güncellemesi"/>
    <x v="7"/>
    <e v="#N/A"/>
    <x v="0"/>
    <s v="-"/>
    <x v="0"/>
    <n v="1"/>
  </r>
  <r>
    <x v="0"/>
    <s v="KW-1"/>
    <x v="1"/>
    <s v="SSL/TLS SERTİFİKA DEĞİŞİKLİĞİ"/>
    <x v="8"/>
    <e v="#N/A"/>
    <x v="0"/>
    <s v="-"/>
    <x v="0"/>
    <n v="1"/>
  </r>
  <r>
    <x v="0"/>
    <s v="KW-2"/>
    <x v="1"/>
    <s v="Utility - Delil İndirme Servisi Hk."/>
    <x v="8"/>
    <e v="#N/A"/>
    <x v="0"/>
    <s v="-"/>
    <x v="0"/>
    <n v="3"/>
  </r>
  <r>
    <x v="0"/>
    <s v="KW-3"/>
    <x v="3"/>
    <s v="Akbank KEP hesap mutabakatlarının gerçekleştirilmesi"/>
    <x v="8"/>
    <e v="#N/A"/>
    <x v="0"/>
    <s v="-"/>
    <x v="0"/>
    <n v="3"/>
  </r>
  <r>
    <x v="0"/>
    <s v="KW-4"/>
    <x v="1"/>
    <s v="evidence ve original controller altındaki metotlarda güncelleme talebi"/>
    <x v="8"/>
    <e v="#N/A"/>
    <x v="0"/>
    <s v="-"/>
    <x v="0"/>
    <n v="3"/>
  </r>
  <r>
    <x v="0"/>
    <s v="MU-44"/>
    <x v="1"/>
    <s v="Bildirim servisi geliştirmesi"/>
    <x v="9"/>
    <e v="#N/A"/>
    <x v="0"/>
    <s v="-"/>
    <x v="0"/>
    <m/>
  </r>
  <r>
    <x v="0"/>
    <s v="MU-50"/>
    <x v="1"/>
    <s v="UKDS yeni KİDOS entegrasyon tipinin başvuru ekranlarının düzenlenmesi"/>
    <x v="9"/>
    <e v="#N/A"/>
    <x v="0"/>
    <s v="-"/>
    <x v="0"/>
    <m/>
  </r>
  <r>
    <x v="0"/>
    <s v="MU-51"/>
    <x v="1"/>
    <s v="Bildirim servisi entegrasyonu"/>
    <x v="9"/>
    <e v="#N/A"/>
    <x v="0"/>
    <s v="-"/>
    <x v="0"/>
    <m/>
  </r>
  <r>
    <x v="0"/>
    <s v="MU-52"/>
    <x v="1"/>
    <s v="Bildirim onay ekranı geliştirilmesi"/>
    <x v="9"/>
    <e v="#N/A"/>
    <x v="0"/>
    <s v="-"/>
    <x v="0"/>
    <m/>
  </r>
  <r>
    <x v="0"/>
    <s v="MU-53"/>
    <x v="1"/>
    <s v="Geçmiş bildirimler sayfası geliştirilmesi"/>
    <x v="9"/>
    <e v="#N/A"/>
    <x v="0"/>
    <s v="-"/>
    <x v="0"/>
    <m/>
  </r>
  <r>
    <x v="0"/>
    <s v="MU-54"/>
    <x v="1"/>
    <s v="Pazarama senaryosu için ekran düzenlemeleri"/>
    <x v="9"/>
    <e v="#N/A"/>
    <x v="0"/>
    <s v="-"/>
    <x v="0"/>
    <m/>
  </r>
  <r>
    <x v="0"/>
    <s v="MU-55"/>
    <x v="1"/>
    <s v="UKDS ekranlarında parametre kontrolü eklenmesi"/>
    <x v="9"/>
    <e v="#N/A"/>
    <x v="0"/>
    <s v="-"/>
    <x v="0"/>
    <m/>
  </r>
  <r>
    <x v="0"/>
    <s v="MU-56"/>
    <x v="0"/>
    <s v="Senaryo değişikliklerinde son kullanıcı yönlendirmesi"/>
    <x v="9"/>
    <e v="#N/A"/>
    <x v="0"/>
    <s v="-"/>
    <x v="0"/>
    <m/>
  </r>
  <r>
    <x v="0"/>
    <s v="MU-57"/>
    <x v="1"/>
    <s v="Uygulama Başlangıç Ekranı ve Ayarlar Ekranında Dil Seçeneği Eklenmesi (Türkçe/İngilizce)"/>
    <x v="9"/>
    <e v="#N/A"/>
    <x v="0"/>
    <s v="-"/>
    <x v="0"/>
    <n v="8"/>
  </r>
  <r>
    <x v="0"/>
    <s v="MU-58"/>
    <x v="1"/>
    <s v="Uygulama Bildirim Ekranında Gönderim Tarihini Gösterme"/>
    <x v="9"/>
    <e v="#N/A"/>
    <x v="0"/>
    <s v="-"/>
    <x v="0"/>
    <m/>
  </r>
  <r>
    <x v="0"/>
    <s v="MU-59"/>
    <x v="4"/>
    <s v="Bildirimi kapalı olan kullanıcılara gönderilen mesajların failed-messages tablosunda tutulması"/>
    <x v="9"/>
    <e v="#N/A"/>
    <x v="0"/>
    <s v="-"/>
    <x v="0"/>
    <n v="8"/>
  </r>
  <r>
    <x v="0"/>
    <s v="MU-60"/>
    <x v="1"/>
    <s v="Mobil bildirim açma/kapama hk."/>
    <x v="9"/>
    <e v="#N/A"/>
    <x v="0"/>
    <s v="-"/>
    <x v="0"/>
    <m/>
  </r>
  <r>
    <x v="1"/>
    <s v="MU-61"/>
    <x v="1"/>
    <s v="Siyah Ekran Hatası Hk."/>
    <x v="9"/>
    <e v="#N/A"/>
    <x v="0"/>
    <s v="-"/>
    <x v="0"/>
    <n v="3"/>
  </r>
  <r>
    <x v="1"/>
    <s v="MUL-146"/>
    <x v="1"/>
    <s v="Grup oluşturmada arama düzenlemesi"/>
    <x v="10"/>
    <e v="#N/A"/>
    <x v="0"/>
    <s v="-"/>
    <x v="0"/>
    <m/>
  </r>
  <r>
    <x v="0"/>
    <s v="MUL-176"/>
    <x v="1"/>
    <s v="MKR modülüne firma bazlı kota geliştirmesi"/>
    <x v="10"/>
    <e v="#N/A"/>
    <x v="0"/>
    <s v="-"/>
    <x v="0"/>
    <m/>
  </r>
  <r>
    <x v="0"/>
    <s v="MUL-184"/>
    <x v="1"/>
    <s v="Yeni KEP iletisi oluştur ekranı alıcı arama geliştirmesi"/>
    <x v="10"/>
    <e v="#N/A"/>
    <x v="0"/>
    <s v="-"/>
    <x v="0"/>
    <m/>
  </r>
  <r>
    <x v="0"/>
    <s v="MUL-197"/>
    <x v="1"/>
    <s v="Windows Delil Servis geliştirmesi"/>
    <x v="10"/>
    <e v="#N/A"/>
    <x v="0"/>
    <s v="-"/>
    <x v="0"/>
    <m/>
  </r>
  <r>
    <x v="0"/>
    <s v="MUL-198"/>
    <x v="1"/>
    <s v="MKR Kullanım Kısıtlama Hk."/>
    <x v="10"/>
    <e v="#N/A"/>
    <x v="0"/>
    <s v="-"/>
    <x v="0"/>
    <n v="5"/>
  </r>
  <r>
    <x v="0"/>
    <s v="MUL-199"/>
    <x v="1"/>
    <s v="Müşteri Sözleşme Tanımı Hk"/>
    <x v="10"/>
    <e v="#N/A"/>
    <x v="0"/>
    <s v="-"/>
    <x v="0"/>
    <n v="8"/>
  </r>
  <r>
    <x v="0"/>
    <s v="MUL-200"/>
    <x v="1"/>
    <s v="Yüksek Boyutlu PDF Parçalama İşlemi Hk"/>
    <x v="10"/>
    <e v="#N/A"/>
    <x v="0"/>
    <s v="-"/>
    <x v="0"/>
    <n v="8"/>
  </r>
  <r>
    <x v="0"/>
    <s v="MUL-201"/>
    <x v="1"/>
    <s v="Merkezi KEP Sorgulama Kayıtlarının Silinmesi"/>
    <x v="10"/>
    <e v="#N/A"/>
    <x v="0"/>
    <s v="-"/>
    <x v="0"/>
    <n v="5"/>
  </r>
  <r>
    <x v="0"/>
    <s v="MUL-202"/>
    <x v="1"/>
    <s v="Yeni KEP İletisi Oluştur Ekranı Gönder Düğmesi Simgesinin Değiştirilmesi "/>
    <x v="10"/>
    <e v="#N/A"/>
    <x v="0"/>
    <s v="-"/>
    <x v="0"/>
    <n v="1"/>
  </r>
  <r>
    <x v="0"/>
    <s v="MUL-203"/>
    <x v="1"/>
    <s v="Excel ile KEP Gönderim Ekranında Ek Dosya Eklendikten Sonra Dosyanın Silinebilmesi "/>
    <x v="10"/>
    <e v="#N/A"/>
    <x v="0"/>
    <s v="-"/>
    <x v="0"/>
    <n v="3"/>
  </r>
  <r>
    <x v="0"/>
    <s v="MUL-204"/>
    <x v="1"/>
    <s v="Refactor Çalışması Hk"/>
    <x v="10"/>
    <e v="#N/A"/>
    <x v="0"/>
    <s v="-"/>
    <x v="0"/>
    <n v="5"/>
  </r>
  <r>
    <x v="0"/>
    <s v="MUL-205"/>
    <x v="1"/>
    <s v="Taslaklar üzerinde Simge (icon) Değişikliği"/>
    <x v="10"/>
    <e v="#N/A"/>
    <x v="0"/>
    <s v="-"/>
    <x v="0"/>
    <n v="2"/>
  </r>
  <r>
    <x v="0"/>
    <s v="MUL-206"/>
    <x v="1"/>
    <s v="Jar Güncellemesi Hk."/>
    <x v="10"/>
    <e v="#N/A"/>
    <x v="0"/>
    <s v="-"/>
    <x v="0"/>
    <n v="2"/>
  </r>
  <r>
    <x v="0"/>
    <s v="MUL-207"/>
    <x v="1"/>
    <s v="MultiKEP Dashboard Çalışması"/>
    <x v="11"/>
    <e v="#N/A"/>
    <x v="0"/>
    <s v="-"/>
    <x v="0"/>
    <n v="8"/>
  </r>
  <r>
    <x v="0"/>
    <s v="MUL-208"/>
    <x v="1"/>
    <s v="MKR modülünde Süreç İyileştirme"/>
    <x v="11"/>
    <e v="#N/A"/>
    <x v="0"/>
    <s v="-"/>
    <x v="0"/>
    <m/>
  </r>
  <r>
    <x v="0"/>
    <s v="MUL-209"/>
    <x v="1"/>
    <s v="Alıcıları Listeleyen Süreçte Performans Geliştirmesi"/>
    <x v="11"/>
    <e v="#N/A"/>
    <x v="0"/>
    <s v="-"/>
    <x v="0"/>
    <m/>
  </r>
  <r>
    <x v="1"/>
    <s v="MYS-401"/>
    <x v="1"/>
    <s v="Güncel Olmayan JavaScript Kütüphanesi Kullanımı"/>
    <x v="12"/>
    <e v="#N/A"/>
    <x v="0"/>
    <s v="-"/>
    <x v="0"/>
    <m/>
  </r>
  <r>
    <x v="0"/>
    <s v="MYS-739"/>
    <x v="1"/>
    <s v="Sep Gelen Kutusuna Süreç No Bilgisinin Getirilmesi"/>
    <x v="12"/>
    <e v="#N/A"/>
    <x v="0"/>
    <s v="-"/>
    <x v="0"/>
    <n v="1"/>
  </r>
  <r>
    <x v="0"/>
    <s v="MYS-740"/>
    <x v="1"/>
    <s v="Sep Giden Kutusuna Süreç No Bilgisinin Getirilmesi"/>
    <x v="12"/>
    <e v="#N/A"/>
    <x v="0"/>
    <s v="-"/>
    <x v="0"/>
    <n v="1"/>
  </r>
  <r>
    <x v="1"/>
    <s v="MYS-741"/>
    <x v="1"/>
    <s v="Hatalı Süreçler Ekranı Kayıt Listeleme Sorunu"/>
    <x v="12"/>
    <e v="#N/A"/>
    <x v="0"/>
    <s v="-"/>
    <x v="0"/>
    <n v="1"/>
  </r>
  <r>
    <x v="0"/>
    <s v="MYS-744"/>
    <x v="1"/>
    <s v="İşlem yetkilisi ayarları sayfası"/>
    <x v="12"/>
    <e v="#N/A"/>
    <x v="0"/>
    <s v="-"/>
    <x v="0"/>
    <n v="3"/>
  </r>
  <r>
    <x v="0"/>
    <s v="MYS-745"/>
    <x v="1"/>
    <s v="UETS Gelen Kutusuna Süreçteki Adım kolonu eklenmesi"/>
    <x v="12"/>
    <e v="#N/A"/>
    <x v="0"/>
    <s v="-"/>
    <x v="0"/>
    <n v="1"/>
  </r>
  <r>
    <x v="0"/>
    <s v="MYS-746"/>
    <x v="1"/>
    <s v="Profil Ekranına Cep Numarası Girilmesi"/>
    <x v="12"/>
    <e v="#N/A"/>
    <x v="0"/>
    <s v="-"/>
    <x v="0"/>
    <n v="1"/>
  </r>
  <r>
    <x v="0"/>
    <s v="MYS-747"/>
    <x v="1"/>
    <s v="Profil Ekranına Kimlik Numarası Girilmesi"/>
    <x v="12"/>
    <e v="#N/A"/>
    <x v="0"/>
    <s v="-"/>
    <x v="0"/>
    <n v="1"/>
  </r>
  <r>
    <x v="0"/>
    <s v="MYS-748"/>
    <x v="1"/>
    <s v="Profil Ekranına E-Posta Girilmesi"/>
    <x v="12"/>
    <e v="#N/A"/>
    <x v="0"/>
    <s v="-"/>
    <x v="0"/>
    <n v="1"/>
  </r>
  <r>
    <x v="1"/>
    <s v="MYS-749"/>
    <x v="1"/>
    <s v="Şifre Güncellenmesi Hk."/>
    <x v="12"/>
    <e v="#N/A"/>
    <x v="0"/>
    <s v="-"/>
    <x v="0"/>
    <n v="1"/>
  </r>
  <r>
    <x v="1"/>
    <s v="MYS-752"/>
    <x v="1"/>
    <s v="Basılı İleti Güncelleme Sorunu Hk."/>
    <x v="12"/>
    <e v="#N/A"/>
    <x v="0"/>
    <s v="-"/>
    <x v="0"/>
    <n v="1"/>
  </r>
  <r>
    <x v="0"/>
    <s v="MYS-753"/>
    <x v="1"/>
    <s v="Sep İletilerinin Statüsünün Güncellenmesi İçin Worker Çalışması Hk."/>
    <x v="12"/>
    <e v="#N/A"/>
    <x v="0"/>
    <s v="-"/>
    <x v="0"/>
    <n v="3"/>
  </r>
  <r>
    <x v="1"/>
    <s v="MYS-756"/>
    <x v="1"/>
    <s v="Sütunlardaki Filtreleme Sorunu"/>
    <x v="12"/>
    <e v="#N/A"/>
    <x v="0"/>
    <s v="-"/>
    <x v="0"/>
    <n v="1"/>
  </r>
  <r>
    <x v="1"/>
    <s v="MYS-757"/>
    <x v="1"/>
    <s v="SEP İleti -&gt; Taslaklar ekranındaki sütunların kaldırılması"/>
    <x v="12"/>
    <e v="#N/A"/>
    <x v="0"/>
    <s v="-"/>
    <x v="0"/>
    <n v="1"/>
  </r>
  <r>
    <x v="0"/>
    <s v="MYS-759"/>
    <x v="1"/>
    <s v="Hatalı Delillerin Tekrar Tetiklenmesi İçin Worker Çalışması"/>
    <x v="12"/>
    <e v="#N/A"/>
    <x v="0"/>
    <s v="-"/>
    <x v="0"/>
    <n v="3"/>
  </r>
  <r>
    <x v="0"/>
    <s v="MYS-761"/>
    <x v="1"/>
    <s v="Güncelleme Paketi Hazırlanması - 03122024-08042025"/>
    <x v="12"/>
    <e v="#N/A"/>
    <x v="0"/>
    <s v="-"/>
    <x v="0"/>
    <n v="2"/>
  </r>
  <r>
    <x v="1"/>
    <s v="TIM-189"/>
    <x v="2"/>
    <s v="Güncel Olmayan JavaScript Kütüphanesi Kullanımı"/>
    <x v="13"/>
    <e v="#N/A"/>
    <x v="0"/>
    <s v="-"/>
    <x v="0"/>
    <m/>
  </r>
  <r>
    <x v="0"/>
    <s v="TIM-304"/>
    <x v="1"/>
    <s v="Servis dönen hataların ön yüzde kullanıcı dostu şekilde gösterilmesi"/>
    <x v="13"/>
    <e v="#N/A"/>
    <x v="0"/>
    <s v="-"/>
    <x v="0"/>
    <m/>
  </r>
  <r>
    <x v="0"/>
    <s v="TIM-308"/>
    <x v="1"/>
    <s v="Varsayılan imzalama formatı geliştirmesi"/>
    <x v="13"/>
    <e v="#N/A"/>
    <x v="0"/>
    <s v="-"/>
    <x v="0"/>
    <m/>
  </r>
  <r>
    <x v="0"/>
    <s v="TIM-373"/>
    <x v="1"/>
    <s v="Toplu işlemlerde çoklu onay verilmesi"/>
    <x v="13"/>
    <e v="#N/A"/>
    <x v="0"/>
    <s v="-"/>
    <x v="0"/>
    <n v="5"/>
  </r>
  <r>
    <x v="0"/>
    <s v="TIM-381"/>
    <x v="1"/>
    <s v="Mobil İmzada Tarihçe düzenlemesi"/>
    <x v="13"/>
    <e v="#N/A"/>
    <x v="0"/>
    <s v="-"/>
    <x v="0"/>
    <m/>
  </r>
  <r>
    <x v="0"/>
    <s v="TIM-411"/>
    <x v="1"/>
    <s v="İmza Logo Seçiminde Belge Sayfalarının Yatay ya da Hem Yatay Hem Dikey Yönlendirilmesi Seçeneklerinin de Sağlanması"/>
    <x v="13"/>
    <e v="#N/A"/>
    <x v="0"/>
    <s v="-"/>
    <x v="0"/>
    <n v="8"/>
  </r>
  <r>
    <x v="0"/>
    <s v="TIM-416"/>
    <x v="2"/>
    <s v="Dış imzacı mail bildiriminin SMS olarak da iletilmesi"/>
    <x v="13"/>
    <e v="#N/A"/>
    <x v="0"/>
    <s v="-"/>
    <x v="0"/>
    <m/>
  </r>
  <r>
    <x v="0"/>
    <s v="TIM-417"/>
    <x v="0"/>
    <s v="Paket ve Admin Yönetimi"/>
    <x v="13"/>
    <e v="#N/A"/>
    <x v="0"/>
    <s v="-"/>
    <x v="0"/>
    <m/>
  </r>
  <r>
    <x v="0"/>
    <s v="TIM-420"/>
    <x v="1"/>
    <s v="Yeni arayüz talebi"/>
    <x v="13"/>
    <e v="#N/A"/>
    <x v="0"/>
    <s v="-"/>
    <x v="0"/>
    <m/>
  </r>
  <r>
    <x v="0"/>
    <s v="TIM-422"/>
    <x v="1"/>
    <s v="Admin panelden firmaların farklı bir kullanıcısına admin yetkisi verilmesi geliştirmesi"/>
    <x v="13"/>
    <e v="#N/A"/>
    <x v="0"/>
    <s v="-"/>
    <x v="0"/>
    <m/>
  </r>
  <r>
    <x v="0"/>
    <s v="TIM-423"/>
    <x v="1"/>
    <s v="İmza client iyileştirmeleri"/>
    <x v="13"/>
    <e v="#N/A"/>
    <x v="0"/>
    <s v="-"/>
    <x v="0"/>
    <m/>
  </r>
  <r>
    <x v="1"/>
    <s v="TIM-428"/>
    <x v="1"/>
    <s v="Dış imzacı ret maili düzenleme"/>
    <x v="13"/>
    <e v="#N/A"/>
    <x v="0"/>
    <s v="-"/>
    <x v="0"/>
    <m/>
  </r>
  <r>
    <x v="1"/>
    <s v="TIM-429"/>
    <x v="1"/>
    <s v="Belge Silme Adımı Yazım Hatası"/>
    <x v="13"/>
    <e v="#N/A"/>
    <x v="0"/>
    <s v="-"/>
    <x v="0"/>
    <m/>
  </r>
  <r>
    <x v="0"/>
    <s v="TIM-431"/>
    <x v="0"/>
    <s v="Türkkep İmza Dış İmzacı Karekod/Doğrulama Kodu Eklenmesi "/>
    <x v="13"/>
    <e v="#N/A"/>
    <x v="0"/>
    <s v="-"/>
    <x v="0"/>
    <m/>
  </r>
  <r>
    <x v="0"/>
    <s v="TIM-432"/>
    <x v="2"/>
    <s v="İmzalamada vekil atama özelliği"/>
    <x v="13"/>
    <e v="#N/A"/>
    <x v="0"/>
    <s v="-"/>
    <x v="0"/>
    <m/>
  </r>
  <r>
    <x v="0"/>
    <s v="TIM-433"/>
    <x v="1"/>
    <s v="Sftp ile gönderilen evrakların statü takibi"/>
    <x v="13"/>
    <e v="#N/A"/>
    <x v="0"/>
    <s v="-"/>
    <x v="0"/>
    <m/>
  </r>
  <r>
    <x v="0"/>
    <s v="TIM-434"/>
    <x v="2"/>
    <s v="Aynı Hedef Sunucuya Tek Seferde Seçimle Toplu SFTP Gönderimi"/>
    <x v="13"/>
    <e v="#N/A"/>
    <x v="0"/>
    <s v="-"/>
    <x v="0"/>
    <m/>
  </r>
  <r>
    <x v="0"/>
    <s v="TIM-435"/>
    <x v="2"/>
    <s v="İşlem Bekleyen Belgeler Ekranındaki İmza İstekleri İçin Hatırlatma Yapılması "/>
    <x v="13"/>
    <e v="#N/A"/>
    <x v="0"/>
    <s v="-"/>
    <x v="0"/>
    <m/>
  </r>
  <r>
    <x v="0"/>
    <s v="TIM-436"/>
    <x v="2"/>
    <s v="Paralel imzalamada sıra gözetmeksizin imzalama özelliği"/>
    <x v="13"/>
    <e v="#N/A"/>
    <x v="0"/>
    <s v="-"/>
    <x v="0"/>
    <m/>
  </r>
  <r>
    <x v="1"/>
    <s v="TIM-437"/>
    <x v="2"/>
    <s v="İmzalanmış belgede birden fazla sayfa varsa ilk sayfa dışındakilere karekod/logo gelmesi"/>
    <x v="13"/>
    <e v="#N/A"/>
    <x v="0"/>
    <s v="-"/>
    <x v="0"/>
    <m/>
  </r>
  <r>
    <x v="0"/>
    <s v="TIM-439"/>
    <x v="1"/>
    <s v="DB Tablolarının Oluşturulması."/>
    <x v="13"/>
    <e v="#N/A"/>
    <x v="0"/>
    <s v="-"/>
    <x v="0"/>
    <n v="5"/>
  </r>
  <r>
    <x v="0"/>
    <s v="TIM-440"/>
    <x v="1"/>
    <s v="Dış İmzacı Seçiminde Dosya Ataması"/>
    <x v="13"/>
    <e v="#N/A"/>
    <x v="0"/>
    <s v="-"/>
    <x v="0"/>
    <n v="8"/>
  </r>
  <r>
    <x v="0"/>
    <s v="TIM-441"/>
    <x v="1"/>
    <s v="Dış İmzacı Yeni Servislerinin Oluşturulması"/>
    <x v="13"/>
    <e v="#N/A"/>
    <x v="0"/>
    <s v="-"/>
    <x v="0"/>
    <n v="8"/>
  </r>
  <r>
    <x v="0"/>
    <s v="TIM-442"/>
    <x v="1"/>
    <s v="Dış Doğrulama İçin Yeni Süreç ID'lerinin Kullanılması"/>
    <x v="13"/>
    <e v="#N/A"/>
    <x v="0"/>
    <s v="-"/>
    <x v="0"/>
    <n v="8"/>
  </r>
  <r>
    <x v="0"/>
    <s v="TIM-443"/>
    <x v="1"/>
    <s v="&quot;Gönderilmeyi Bekleyen Belgeler” Ekranında Gönderilmiş Olan Belgelerin Filtre İle Gizlenebilmesi"/>
    <x v="13"/>
    <e v="#N/A"/>
    <x v="0"/>
    <s v="-"/>
    <x v="0"/>
    <n v="3"/>
  </r>
  <r>
    <x v="0"/>
    <s v="UEP-12"/>
    <x v="0"/>
    <s v="VKN’ye ait birden fazla başvuru kontrolü"/>
    <x v="14"/>
    <e v="#N/A"/>
    <x v="0"/>
    <s v="-"/>
    <x v="0"/>
    <m/>
  </r>
  <r>
    <x v="0"/>
    <s v="UEP-6"/>
    <x v="1"/>
    <s v="CRM&amp;UETS Entegrasyonu"/>
    <x v="14"/>
    <e v="#N/A"/>
    <x v="0"/>
    <s v="-"/>
    <x v="0"/>
    <n v="13"/>
  </r>
  <r>
    <x v="0"/>
    <s v="UKDS-109"/>
    <x v="1"/>
    <s v="Islak imza senaryosu için yeni statü ve düzenlemeler"/>
    <x v="15"/>
    <e v="#N/A"/>
    <x v="0"/>
    <s v="-"/>
    <x v="0"/>
    <n v="8"/>
  </r>
  <r>
    <x v="0"/>
    <s v="UKDS-112"/>
    <x v="1"/>
    <s v="SMS metin içeriğine video linki ve e-devlet login seçeneklerinin eklenmesi"/>
    <x v="15"/>
    <e v="#N/A"/>
    <x v="0"/>
    <s v="-"/>
    <x v="0"/>
    <m/>
  </r>
  <r>
    <x v="0"/>
    <s v="UKDS-127"/>
    <x v="1"/>
    <s v="Merkezi KEP Rehberi entegrasyonu"/>
    <x v="15"/>
    <e v="#N/A"/>
    <x v="0"/>
    <s v="-"/>
    <x v="0"/>
    <m/>
  </r>
  <r>
    <x v="0"/>
    <s v="UKDS-131"/>
    <x v="1"/>
    <s v="KİDOS ve KİDOS Entegrasyon sözleşme bitiş tarihlerinin aktarım metoduna eklenmesi"/>
    <x v="15"/>
    <e v="#N/A"/>
    <x v="0"/>
    <s v="-"/>
    <x v="0"/>
    <n v="5"/>
  </r>
  <r>
    <x v="0"/>
    <s v="UKDS-138"/>
    <x v="1"/>
    <s v="WEBİKENTEGRASYON KİDOS ürününe aktif/pasif liste geliştirmesi"/>
    <x v="15"/>
    <e v="#N/A"/>
    <x v="0"/>
    <s v="-"/>
    <x v="0"/>
    <m/>
  </r>
  <r>
    <x v="0"/>
    <s v="UKDS-139"/>
    <x v="0"/>
    <s v="KİDOS'ta UKDS ile e-İmza Başvuru Seçeneğinin Geliştirmesi"/>
    <x v="15"/>
    <e v="#N/A"/>
    <x v="0"/>
    <s v="-"/>
    <x v="0"/>
    <m/>
  </r>
  <r>
    <x v="0"/>
    <s v="UKDS-140"/>
    <x v="1"/>
    <s v="WEBİKENTEGRASYON KİDOS ürününe &quot;Kep Kapatma&quot; geliştirmesi"/>
    <x v="15"/>
    <e v="#N/A"/>
    <x v="0"/>
    <s v="-"/>
    <x v="0"/>
    <m/>
  </r>
  <r>
    <x v="0"/>
    <s v="UKDS-143"/>
    <x v="1"/>
    <s v="Basvuruonay sayfasında loginden önce Pazarlamadan alınacak bilgilendirme görselinin eklenmesi"/>
    <x v="15"/>
    <e v="#N/A"/>
    <x v="0"/>
    <s v="-"/>
    <x v="0"/>
    <m/>
  </r>
  <r>
    <x v="0"/>
    <s v="UKDS-148"/>
    <x v="1"/>
    <s v="UKDS Ön Başvuru Dokümanı e-Posta ve SMS İçeriğinin Yeni Bağlantı Adresleriyle Güncellenmesi"/>
    <x v="15"/>
    <e v="#N/A"/>
    <x v="0"/>
    <s v="-"/>
    <x v="0"/>
    <m/>
  </r>
  <r>
    <x v="0"/>
    <s v="WIK-573"/>
    <x v="0"/>
    <s v="Firma çalışanlarına ait KEP delillerinin indirilmesi geliştirmesi"/>
    <x v="16"/>
    <e v="#N/A"/>
    <x v="0"/>
    <s v="-"/>
    <x v="0"/>
    <m/>
  </r>
  <r>
    <x v="0"/>
    <s v="WIK-598"/>
    <x v="1"/>
    <s v="Belge Raporu ekranının migration sonrası belgeler için de kullanılabilir hale getirilmesi"/>
    <x v="16"/>
    <e v="#N/A"/>
    <x v="0"/>
    <s v="-"/>
    <x v="0"/>
    <n v="5"/>
  </r>
  <r>
    <x v="0"/>
    <s v="WIK-614"/>
    <x v="0"/>
    <s v="KEP İK Sözleşme sürelerinin ve statülerinin tutularak iptal edilen veya süresi dolan organizasyonların girişinin engellenmesi"/>
    <x v="16"/>
    <e v="#N/A"/>
    <x v="0"/>
    <s v="-"/>
    <x v="0"/>
    <m/>
  </r>
  <r>
    <x v="0"/>
    <s v="WIK-619"/>
    <x v="0"/>
    <s v="Çalışan gruplarının İK gönderilerinde kullanılmasi"/>
    <x v="16"/>
    <e v="#N/A"/>
    <x v="0"/>
    <s v="-"/>
    <x v="0"/>
    <m/>
  </r>
  <r>
    <x v="0"/>
    <s v="WIK-625"/>
    <x v="0"/>
    <s v="TÜRKÇE İNGİLİZCE DİL DESTEĞİ"/>
    <x v="16"/>
    <e v="#N/A"/>
    <x v="0"/>
    <s v="-"/>
    <x v="0"/>
    <m/>
  </r>
  <r>
    <x v="0"/>
    <s v="WIK-626"/>
    <x v="1"/>
    <s v="Eşleşmeyenler Alanında Çalışanlar Otomatik Eşleştirilmesi Hk."/>
    <x v="16"/>
    <e v="#N/A"/>
    <x v="0"/>
    <s v="-"/>
    <x v="0"/>
    <n v="5"/>
  </r>
  <r>
    <x v="0"/>
    <s v="WIK-628"/>
    <x v="1"/>
    <s v="Kep İk Özlük İşlemleri Şablon Oluşturma "/>
    <x v="16"/>
    <e v="#N/A"/>
    <x v="0"/>
    <s v="-"/>
    <x v="0"/>
    <n v="5"/>
  </r>
  <r>
    <x v="0"/>
    <s v="WIK-629"/>
    <x v="1"/>
    <s v="Özlük İşlemleri Alıcı Ekleme/Şablon Eşleştirme"/>
    <x v="16"/>
    <e v="#N/A"/>
    <x v="0"/>
    <s v="-"/>
    <x v="0"/>
    <n v="5"/>
  </r>
  <r>
    <x v="0"/>
    <s v="WIK-630"/>
    <x v="1"/>
    <s v="Özlük İşlemleri Gönderim Adımı"/>
    <x v="16"/>
    <e v="#N/A"/>
    <x v="0"/>
    <s v="-"/>
    <x v="0"/>
    <n v="5"/>
  </r>
  <r>
    <x v="0"/>
    <s v="WIK-631"/>
    <x v="1"/>
    <s v="Özlük İşlemleri Robot Yönlendirme ve Listelenmesi"/>
    <x v="16"/>
    <e v="#N/A"/>
    <x v="0"/>
    <s v="-"/>
    <x v="0"/>
    <n v="5"/>
  </r>
  <r>
    <x v="0"/>
    <s v="WIK-633"/>
    <x v="0"/>
    <s v="Çalışan Ekle Ekranında &quot;İptal&quot; Durumundaki Kayıtların Yeniden Kullanıcı Ekleme Sürecine Dahil Edilmesi"/>
    <x v="16"/>
    <e v="#N/A"/>
    <x v="0"/>
    <s v="-"/>
    <x v="0"/>
    <m/>
  </r>
  <r>
    <x v="0"/>
    <s v="WIK-634"/>
    <x v="1"/>
    <s v="Çalışan Ekle Ekranında &quot;İptal&quot; Durumundaki Kayıtların Filtre İle Gizlenmesi "/>
    <x v="16"/>
    <e v="#N/A"/>
    <x v="0"/>
    <s v="-"/>
    <x v="0"/>
    <n v="8"/>
  </r>
  <r>
    <x v="0"/>
    <s v="WIK-635"/>
    <x v="1"/>
    <s v="Duyuru Modülü Gönderimleri İçin Raporlama Seçeneği"/>
    <x v="16"/>
    <e v="#N/A"/>
    <x v="0"/>
    <s v="-"/>
    <x v="0"/>
    <n v="8"/>
  </r>
  <r>
    <x v="0"/>
    <s v="WIK-637"/>
    <x v="1"/>
    <s v="Özlük Belgeler Alıcı TCKN Ekleme İşlemi "/>
    <x v="16"/>
    <e v="#N/A"/>
    <x v="0"/>
    <s v="-"/>
    <x v="0"/>
    <n v="5"/>
  </r>
  <r>
    <x v="0"/>
    <s v="WIK-638"/>
    <x v="1"/>
    <s v="Özlük Belgeleri Reddedilen Belgelerin Tekrar Gönderilmesi"/>
    <x v="16"/>
    <e v="#N/A"/>
    <x v="0"/>
    <s v="-"/>
    <x v="0"/>
    <n v="5"/>
  </r>
  <r>
    <x v="0"/>
    <s v="WIK-639"/>
    <x v="1"/>
    <s v="Özlük Belgeleri Alıcı Yükleme Ekranı Açık Rıza ve KVKK Onaylarının Eklenmesi"/>
    <x v="16"/>
    <e v="#N/A"/>
    <x v="0"/>
    <s v="-"/>
    <x v="0"/>
    <n v="3"/>
  </r>
  <r>
    <x v="0"/>
    <s v="WIK-640"/>
    <x v="1"/>
    <s v="Delil Servislerine Erişilmesi"/>
    <x v="16"/>
    <e v="#N/A"/>
    <x v="0"/>
    <s v="-"/>
    <x v="0"/>
    <n v="5"/>
  </r>
  <r>
    <x v="0"/>
    <s v="WIK-641"/>
    <x v="1"/>
    <s v="Belge Raporu Ekranında İndirme"/>
    <x v="16"/>
    <e v="#N/A"/>
    <x v="0"/>
    <s v="-"/>
    <x v="0"/>
    <n v="5"/>
  </r>
  <r>
    <x v="0"/>
    <s v="WIK-642"/>
    <x v="1"/>
    <s v="Rapor Dosyasının Oluşturulması."/>
    <x v="16"/>
    <e v="#N/A"/>
    <x v="0"/>
    <s v="-"/>
    <x v="0"/>
    <n v="13"/>
  </r>
  <r>
    <x v="0"/>
    <s v="WIK-643"/>
    <x v="1"/>
    <s v="Rapor Dosyasının Teslim edilmesi"/>
    <x v="16"/>
    <e v="#N/A"/>
    <x v="0"/>
    <s v="-"/>
    <x v="0"/>
    <n v="8"/>
  </r>
  <r>
    <x v="0"/>
    <s v="WIK-644"/>
    <x v="1"/>
    <s v="Rapor Talebinin Oluşturulması "/>
    <x v="16"/>
    <e v="#N/A"/>
    <x v="0"/>
    <s v="-"/>
    <x v="0"/>
    <n v="8"/>
  </r>
  <r>
    <x v="0"/>
    <s v="WIK-646"/>
    <x v="1"/>
    <s v="Uygulama Kullanıcı Simgesinin Erkek Yerine Cinsiyetsiz Bir Simge İle Değiştirilmesi"/>
    <x v="16"/>
    <e v="#N/A"/>
    <x v="0"/>
    <s v="-"/>
    <x v="0"/>
    <n v="1"/>
  </r>
  <r>
    <x v="1"/>
    <s v="WIK-649"/>
    <x v="1"/>
    <s v="Çalışan Grupları İçin Yetkilendirme Çalışmıyor"/>
    <x v="16"/>
    <e v="#N/A"/>
    <x v="0"/>
    <s v="-"/>
    <x v="0"/>
    <m/>
  </r>
  <r>
    <x v="0"/>
    <s v="WIK-651"/>
    <x v="1"/>
    <s v="Özlük Belgeleri Yükleme Ekranı Kullanıcı Deneyimi İyileştirmesi"/>
    <x v="16"/>
    <e v="#N/A"/>
    <x v="0"/>
    <s v="-"/>
    <x v="0"/>
    <n v="3"/>
  </r>
  <r>
    <x v="0"/>
    <s v="WIK-653"/>
    <x v="1"/>
    <s v="Silme İşlem Loglarının Tutulması ve Log Listelerinde Sağlanması"/>
    <x v="16"/>
    <e v="#N/A"/>
    <x v="0"/>
    <s v="-"/>
    <x v="0"/>
    <n v="3"/>
  </r>
  <r>
    <x v="0"/>
    <s v="WIK-654"/>
    <x v="1"/>
    <s v="İK Modüllerinde Reddeden Çalışanın Ret Sebebi Açıklama Alanını Doldurmasının Zorunlu Hale Getirilmesi"/>
    <x v="16"/>
    <e v="#N/A"/>
    <x v="0"/>
    <s v="-"/>
    <x v="0"/>
    <n v="2"/>
  </r>
  <r>
    <x v="0"/>
    <s v="EFT-2148"/>
    <x v="1"/>
    <s v="e-fatura Schematron Güncellemesi "/>
    <x v="4"/>
    <e v="#N/A"/>
    <x v="0"/>
    <s v="-"/>
    <x v="0"/>
    <n v="1"/>
  </r>
  <r>
    <x v="0"/>
    <s v="WIK-655"/>
    <x v="1"/>
    <s v="Ara yüzdeki Türkçe Metinlerin Tespit Edilmesi"/>
    <x v="16"/>
    <e v="#N/A"/>
    <x v="0"/>
    <s v="-"/>
    <x v="0"/>
    <n v="5"/>
  </r>
  <r>
    <x v="0"/>
    <s v="KEP-279"/>
    <x v="1"/>
    <s v="Java KEP Api Güncellenmesi ile Procenne HSM Desteği Eklenmesi"/>
    <x v="7"/>
    <e v="#N/A"/>
    <x v="0"/>
    <s v="-"/>
    <x v="0"/>
    <n v="3"/>
  </r>
  <r>
    <x v="0"/>
    <s v="WIK-657"/>
    <x v="1"/>
    <s v="Yapılan çevirilerin yerleştirilmesi"/>
    <x v="16"/>
    <e v="#N/A"/>
    <x v="0"/>
    <s v="-"/>
    <x v="0"/>
    <n v="3"/>
  </r>
  <r>
    <x v="0"/>
    <s v="IEU-189"/>
    <x v="1"/>
    <s v="Turkcell Mobil İmza Servisinde SSL Sertifikası Değişimi - 15 Mayıs 2025"/>
    <x v="5"/>
    <e v="#N/A"/>
    <x v="0"/>
    <s v="-"/>
    <x v="0"/>
    <n v="2"/>
  </r>
  <r>
    <x v="0"/>
    <s v="IEU-187"/>
    <x v="1"/>
    <s v="Zaman Damgalı İmzaların Sayılması"/>
    <x v="5"/>
    <e v="#N/A"/>
    <x v="0"/>
    <s v="-"/>
    <x v="0"/>
    <n v="5"/>
  </r>
  <r>
    <x v="0"/>
    <s v="WIK-659"/>
    <x v="0"/>
    <s v="Alınan Özlük Belgelerinin Türkkep Sistemlerinde Saklanması ve e-Saklama Entegrasyonu"/>
    <x v="16"/>
    <e v="#N/A"/>
    <x v="0"/>
    <s v="-"/>
    <x v="0"/>
    <m/>
  </r>
  <r>
    <x v="0"/>
    <s v="WIK-656"/>
    <x v="1"/>
    <s v="Translate pipe ve önyüz servisinin oluşturulması"/>
    <x v="16"/>
    <e v="#N/A"/>
    <x v="0"/>
    <s v="-"/>
    <x v="0"/>
    <m/>
  </r>
  <r>
    <x v="0"/>
    <s v="TIM-438"/>
    <x v="2"/>
    <s v="İmza süreci tamamlanmış belgelerin silinmemesi"/>
    <x v="13"/>
    <e v="#N/A"/>
    <x v="0"/>
    <s v="-"/>
    <x v="0"/>
    <m/>
  </r>
  <r>
    <x v="0"/>
    <s v="KEP-283"/>
    <x v="1"/>
    <s v="Kapalı Hesaba Giriş Yapıldığında Bilgilendirme Sağlanması"/>
    <x v="7"/>
    <e v="#N/A"/>
    <x v="0"/>
    <s v="-"/>
    <x v="0"/>
    <n v="2"/>
  </r>
  <r>
    <x v="0"/>
    <s v="IEU-188"/>
    <x v="0"/>
    <s v="Basit İmzaların Sayılması"/>
    <x v="5"/>
    <e v="#N/A"/>
    <x v="0"/>
    <s v="-"/>
    <x v="0"/>
    <m/>
  </r>
  <r>
    <x v="0"/>
    <s v="KEP-284"/>
    <x v="1"/>
    <s v="Test Ortamındaki KEP Adreslerinin Yeni Altyapıya Taşınması"/>
    <x v="7"/>
    <e v="#N/A"/>
    <x v="0"/>
    <s v="-"/>
    <x v="0"/>
    <n v="3"/>
  </r>
  <r>
    <x v="0"/>
    <s v="WIK-663"/>
    <x v="1"/>
    <s v="Özlük Belgeleri Alıcı Yükleme Ekranı Açık Rıza ve KVKK Onayı Müşteri Metinlerinin Eklenmesi"/>
    <x v="16"/>
    <e v="#N/A"/>
    <x v="0"/>
    <s v="-"/>
    <x v="0"/>
    <n v="3"/>
  </r>
  <r>
    <x v="0"/>
    <s v="WIK-662"/>
    <x v="1"/>
    <s v="Özlük Belgelerinin KEP İK Sunucusunda Geçici Saklanması"/>
    <x v="16"/>
    <e v="#N/A"/>
    <x v="0"/>
    <s v="-"/>
    <x v="0"/>
    <n v="2"/>
  </r>
  <r>
    <x v="0"/>
    <s v="WIK-661"/>
    <x v="1"/>
    <s v="Ay İçinde Aktif ve Pasif Edilen Çalışanların Durumuna Göre Çalışan Listesinin Güncellenebilmesi"/>
    <x v="16"/>
    <e v="#N/A"/>
    <x v="0"/>
    <s v="-"/>
    <x v="0"/>
    <n v="2"/>
  </r>
  <r>
    <x v="0"/>
    <s v="WIK-660"/>
    <x v="1"/>
    <s v="Ücret Pusulası ve Puantaj Modülleri Yetkilendirme Yapısında Düzenleme"/>
    <x v="16"/>
    <e v="#N/A"/>
    <x v="0"/>
    <s v="-"/>
    <x v="0"/>
    <n v="3"/>
  </r>
  <r>
    <x v="0"/>
    <s v="WIK-652"/>
    <x v="1"/>
    <s v="Özlük Bilgileri Sayfa Karşılaştırma için Gerekli Özlük Servisi-Robot İletişim"/>
    <x v="16"/>
    <e v="#N/A"/>
    <x v="0"/>
    <s v="-"/>
    <x v="0"/>
    <n v="2"/>
  </r>
  <r>
    <x v="0"/>
    <s v="WIK-648"/>
    <x v="1"/>
    <s v="Çalışan Grupları İçin Yetkilendirme Çalışmıyor"/>
    <x v="16"/>
    <e v="#N/A"/>
    <x v="0"/>
    <s v="-"/>
    <x v="0"/>
    <m/>
  </r>
  <r>
    <x v="0"/>
    <s v="WIK-647"/>
    <x v="1"/>
    <s v="Çalışan Ekle ve Çalışanlar Modülleri İçin Kullanıcı Bazlı Yetkilendirme"/>
    <x v="16"/>
    <e v="#N/A"/>
    <x v="0"/>
    <s v="-"/>
    <x v="0"/>
    <m/>
  </r>
  <r>
    <x v="0"/>
    <s v="WIK-632"/>
    <x v="1"/>
    <s v="Bordro gönderim sürecinde aynı ay içinde tekrar çarşaf bordro eklemeye gerek kalmadan yeni eklenen çalışanlar için eşleşmeyenleri ayrıştırarak yeniden göndermeye imkan sağlaması"/>
    <x v="16"/>
    <e v="#N/A"/>
    <x v="0"/>
    <s v="-"/>
    <x v="0"/>
    <m/>
  </r>
  <r>
    <x v="0"/>
    <s v="MYS-765"/>
    <x v="1"/>
    <s v="Original Message Id Değerinin Düzenlenmesi"/>
    <x v="12"/>
    <e v="#N/A"/>
    <x v="0"/>
    <s v="-"/>
    <x v="0"/>
    <n v="2"/>
  </r>
  <r>
    <x v="0"/>
    <s v="KEP-285"/>
    <x v="1"/>
    <s v="CRM KEP Hesapları Yönetimi Servis Geliştirmesi"/>
    <x v="7"/>
    <e v="#N/A"/>
    <x v="0"/>
    <s v="-"/>
    <x v="0"/>
    <n v="3"/>
  </r>
  <r>
    <x v="0"/>
    <s v="KA-1495"/>
    <x v="1"/>
    <s v="KEPAssist CRM Entegrasyonu Kullanım Raporu Servisinin Canlı Ortam İçin Hazırlanması"/>
    <x v="6"/>
    <e v="#N/A"/>
    <x v="0"/>
    <s v="-"/>
    <x v="0"/>
    <n v="2"/>
  </r>
  <r>
    <x v="0"/>
    <s v="KA-1494"/>
    <x v="1"/>
    <s v="Original Message Id Değerinin Düzenlenmesi"/>
    <x v="6"/>
    <e v="#N/A"/>
    <x v="0"/>
    <s v="-"/>
    <x v="0"/>
    <n v="2"/>
  </r>
  <r>
    <x v="1"/>
    <s v="KA-1479"/>
    <x v="1"/>
    <s v="Gelen EYP 1.3 iletilerinin statüsünün güncellenmemesi"/>
    <x v="6"/>
    <e v="#N/A"/>
    <x v="0"/>
    <s v="-"/>
    <x v="0"/>
    <m/>
  </r>
  <r>
    <x v="0"/>
    <s v="KA-1465"/>
    <x v="1"/>
    <s v="CRM Entegrasyonu İçin Organizasyonları Listeleyen Servis Geliştirilmesi"/>
    <x v="6"/>
    <e v="#N/A"/>
    <x v="0"/>
    <s v="-"/>
    <x v="0"/>
    <m/>
  </r>
  <r>
    <x v="0"/>
    <s v="KA-1464"/>
    <x v="1"/>
    <s v="Kullanım Raporu Sp'lerinin Hızlandırılması Hk."/>
    <x v="6"/>
    <e v="#N/A"/>
    <x v="0"/>
    <s v="-"/>
    <x v="0"/>
    <m/>
  </r>
  <r>
    <x v="0"/>
    <s v="KA-1459"/>
    <x v="1"/>
    <s v="Güncelleme Paketi Hazırlanması"/>
    <x v="6"/>
    <e v="#N/A"/>
    <x v="0"/>
    <s v="-"/>
    <x v="0"/>
    <m/>
  </r>
  <r>
    <x v="0"/>
    <s v="IEU-202"/>
    <x v="1"/>
    <s v="CI/CD Kurulumu"/>
    <x v="5"/>
    <e v="#N/A"/>
    <x v="0"/>
    <s v="-"/>
    <x v="0"/>
    <n v="2"/>
  </r>
  <r>
    <x v="0"/>
    <s v="IEU-201"/>
    <x v="1"/>
    <s v="Yeni Geliştirmelerin QA/TEST Ortamına Atılması"/>
    <x v="5"/>
    <e v="#N/A"/>
    <x v="0"/>
    <s v="-"/>
    <x v="0"/>
    <n v="5"/>
  </r>
  <r>
    <x v="0"/>
    <s v="IEU-200"/>
    <x v="1"/>
    <s v="Tek Metot ile Tüm İmza Tipleri İçin Doğrulama Sağlanması - verify-controller "/>
    <x v="5"/>
    <e v="#N/A"/>
    <x v="0"/>
    <s v="-"/>
    <x v="0"/>
    <n v="3"/>
  </r>
  <r>
    <x v="0"/>
    <s v="IEU-199"/>
    <x v="1"/>
    <s v="Zaman Damgalı İmza Sayımı - Admin Panel Düzenlemesi ve Raporlama"/>
    <x v="5"/>
    <e v="#N/A"/>
    <x v="0"/>
    <s v="-"/>
    <x v="0"/>
    <n v="3"/>
  </r>
  <r>
    <x v="0"/>
    <s v="IEU-198"/>
    <x v="1"/>
    <s v="Zaman Damgalı İmza Sayımı - VT - İşlem Kayıtlarının Tutulması"/>
    <x v="5"/>
    <e v="#N/A"/>
    <x v="0"/>
    <s v="-"/>
    <x v="0"/>
    <n v="3"/>
  </r>
  <r>
    <x v="0"/>
    <s v="IEU-197"/>
    <x v="1"/>
    <s v="Zaman Damgalı İmza Sayımı - Auth Service İşlem Kayıtları için Metot Hazırlanması"/>
    <x v="5"/>
    <e v="#N/A"/>
    <x v="0"/>
    <s v="-"/>
    <x v="0"/>
    <n v="3"/>
  </r>
  <r>
    <x v="0"/>
    <s v="IEU-196"/>
    <x v="0"/>
    <s v="Zaman Damgalı İmza Sayımı - Imza-Client-v2 - Exe ve Jar Güncellemesi "/>
    <x v="5"/>
    <e v="#N/A"/>
    <x v="0"/>
    <s v="-"/>
    <x v="0"/>
    <m/>
  </r>
  <r>
    <x v="0"/>
    <s v="IEU-195"/>
    <x v="1"/>
    <s v="Zaman Damgalı İmza Sayımı - Signature-Service İmza Upgrade İşleminin Sayılması"/>
    <x v="5"/>
    <e v="#N/A"/>
    <x v="0"/>
    <s v="-"/>
    <x v="0"/>
    <n v="3"/>
  </r>
  <r>
    <x v="0"/>
    <s v="IEU-194"/>
    <x v="1"/>
    <s v="Java KEP Api Güncellenmesi ile Procenne HSM Desteği Eklenmesi"/>
    <x v="5"/>
    <e v="#N/A"/>
    <x v="0"/>
    <s v="-"/>
    <x v="0"/>
    <m/>
  </r>
  <r>
    <x v="0"/>
    <s v="IEU-167"/>
    <x v="1"/>
    <s v="MKR Sorgulama Frekansı Değişikliği"/>
    <x v="5"/>
    <e v="#N/A"/>
    <x v="0"/>
    <s v="-"/>
    <x v="0"/>
    <m/>
  </r>
  <r>
    <x v="0"/>
    <s v="IEU-161"/>
    <x v="1"/>
    <s v="İmzaClient Jar Güncellemesi"/>
    <x v="5"/>
    <e v="#N/A"/>
    <x v="0"/>
    <s v="-"/>
    <x v="0"/>
    <m/>
  </r>
  <r>
    <x v="0"/>
    <s v="IEU-156"/>
    <x v="1"/>
    <s v="UETS servislerinin bulut olarak da sağlanabilmesi ve servise eklenmesi"/>
    <x v="5"/>
    <e v="#N/A"/>
    <x v="0"/>
    <s v="-"/>
    <x v="0"/>
    <m/>
  </r>
  <r>
    <x v="0"/>
    <s v="IEU-150"/>
    <x v="1"/>
    <s v="MKR Modülü İçin /api/v1/usage Metoduna Tarih Aralığı Filtreleme Özelliği Eklenmesi (CRM Entegrasyonu)"/>
    <x v="5"/>
    <e v="#N/A"/>
    <x v="0"/>
    <s v="-"/>
    <x v="0"/>
    <m/>
  </r>
  <r>
    <x v="0"/>
    <s v="EFT-2159"/>
    <x v="1"/>
    <s v="İmza Süresi Bitiş Kullanıcılara Uyarı Gösterilmesi"/>
    <x v="4"/>
    <e v="#N/A"/>
    <x v="0"/>
    <s v="-"/>
    <x v="0"/>
    <m/>
  </r>
  <r>
    <x v="0"/>
    <s v="EFT-2158"/>
    <x v="1"/>
    <s v="Menü Ağacının Sıralamasının Değiştirilmesi"/>
    <x v="4"/>
    <e v="#N/A"/>
    <x v="0"/>
    <s v="-"/>
    <x v="0"/>
    <n v="1"/>
  </r>
  <r>
    <x v="1"/>
    <s v="EFT-2157"/>
    <x v="1"/>
    <s v="Fatura Ön Eki Hata Uyarısın Düzeltilmesi."/>
    <x v="4"/>
    <e v="#N/A"/>
    <x v="0"/>
    <s v="-"/>
    <x v="0"/>
    <n v="1"/>
  </r>
  <r>
    <x v="0"/>
    <s v="EFT-2156"/>
    <x v="1"/>
    <s v="Hata Alan Faturaların için Çoklu İşlem Fonksiyonu Eklenmesi"/>
    <x v="4"/>
    <e v="#N/A"/>
    <x v="0"/>
    <s v="-"/>
    <x v="0"/>
    <n v="2"/>
  </r>
  <r>
    <x v="0"/>
    <s v="EFT-2155"/>
    <x v="1"/>
    <s v="Türmob Sorgu Bilgisinin Dashboard Ekranında Düzenlemesi."/>
    <x v="4"/>
    <e v="#N/A"/>
    <x v="0"/>
    <s v="-"/>
    <x v="0"/>
    <n v="1"/>
  </r>
  <r>
    <x v="0"/>
    <s v="EFT-2154"/>
    <x v="1"/>
    <s v="Test Ortamında Türmob Sorgu Servisinin Kapatılması."/>
    <x v="4"/>
    <e v="#N/A"/>
    <x v="0"/>
    <s v="-"/>
    <x v="0"/>
    <n v="1"/>
  </r>
  <r>
    <x v="0"/>
    <s v="EFT-2153"/>
    <x v="1"/>
    <s v="Smartcard Bilgilerinin Yeni İmza Client Uygulamasında Saklanması"/>
    <x v="4"/>
    <e v="#N/A"/>
    <x v="0"/>
    <s v="-"/>
    <x v="0"/>
    <n v="2"/>
  </r>
  <r>
    <x v="0"/>
    <s v="EFT-2092"/>
    <x v="1"/>
    <s v="Sözleşme Ve Aktivasyon Kullanılan Setupta .jar Dosyasının Güncellenmesi"/>
    <x v="4"/>
    <e v="#N/A"/>
    <x v="0"/>
    <s v="-"/>
    <x v="0"/>
    <m/>
  </r>
  <r>
    <x v="0"/>
    <s v="EFT-2080"/>
    <x v="1"/>
    <s v="Gelen Faturalar Modülünde Reddedilen Faturalara Arşive Gönder Özelliği Eklenmesi"/>
    <x v="4"/>
    <e v="#N/A"/>
    <x v="0"/>
    <s v="-"/>
    <x v="0"/>
    <m/>
  </r>
  <r>
    <x v="0"/>
    <s v="EDF-757"/>
    <x v="1"/>
    <s v="Kapital Firması/ e-Defter Kebir Dosyalarının GİB Sistemlerine Yüklenmemesi için Değişiklik"/>
    <x v="3"/>
    <e v="#N/A"/>
    <x v="0"/>
    <s v="-"/>
    <x v="0"/>
    <n v="3"/>
  </r>
  <r>
    <x v="1"/>
    <s v="EDF-745"/>
    <x v="1"/>
    <s v="Sızma Testi Bulguları"/>
    <x v="3"/>
    <e v="#N/A"/>
    <x v="0"/>
    <s v="-"/>
    <x v="0"/>
    <m/>
  </r>
  <r>
    <x v="0"/>
    <s v="EDF-744"/>
    <x v="1"/>
    <s v="Portalde Yükleme Araçlar&gt;LUCA Excel Yükleme Modülünde Madde No Kontrolü Ekleme"/>
    <x v="3"/>
    <e v="#N/A"/>
    <x v="0"/>
    <s v="-"/>
    <x v="0"/>
    <m/>
  </r>
  <r>
    <x v="0"/>
    <s v="EDF-743"/>
    <x v="1"/>
    <s v="Kontratı CST_Contract Tablosunda Bulunmayan Müşterilere Uyarı Metni"/>
    <x v="3"/>
    <e v="#N/A"/>
    <x v="0"/>
    <s v="-"/>
    <x v="0"/>
    <m/>
  </r>
  <r>
    <x v="0"/>
    <s v="EDF-731"/>
    <x v="1"/>
    <s v="Hizmet Sözleşmesi Bitecek Müşteri İçin E-Defter Ürünlerinin Ekranında Geri Sayım İçeren Uyarı Metninin Eklenmesi"/>
    <x v="3"/>
    <e v="#N/A"/>
    <x v="0"/>
    <s v="-"/>
    <x v="0"/>
    <m/>
  </r>
  <r>
    <x v="0"/>
    <s v="CRM-629"/>
    <x v="1"/>
    <s v="RezerveKEP metoduna dış servis kullanım senaryosu eklenmesi"/>
    <x v="0"/>
    <e v="#N/A"/>
    <x v="0"/>
    <s v="-"/>
    <x v="0"/>
    <n v="8"/>
  </r>
  <r>
    <x v="1"/>
    <s v="CRM-628"/>
    <x v="1"/>
    <s v="Yüksek boyutlu dosya yükleme hatası"/>
    <x v="0"/>
    <e v="#N/A"/>
    <x v="0"/>
    <s v="-"/>
    <x v="0"/>
    <n v="1"/>
  </r>
  <r>
    <x v="0"/>
    <s v="CRM-627"/>
    <x v="1"/>
    <s v="MERSİS sorgu sonucunda birden fazla münferit yetkili gelmesi"/>
    <x v="0"/>
    <e v="#N/A"/>
    <x v="0"/>
    <s v="-"/>
    <x v="0"/>
    <m/>
  </r>
  <r>
    <x v="0"/>
    <s v="CRM-626"/>
    <x v="1"/>
    <s v="Servisin test ortamında aktif edilmesi"/>
    <x v="0"/>
    <e v="#N/A"/>
    <x v="0"/>
    <s v="-"/>
    <x v="0"/>
    <n v="3"/>
  </r>
  <r>
    <x v="0"/>
    <s v="CRM-623"/>
    <x v="1"/>
    <s v="MERSİS sorgu sonucunda NACE kodu bilgisinin boş gelmesi"/>
    <x v="0"/>
    <e v="#N/A"/>
    <x v="0"/>
    <s v="-"/>
    <x v="0"/>
    <n v="1"/>
  </r>
  <r>
    <x v="0"/>
    <s v="CRM-622"/>
    <x v="0"/>
    <s v="Teklif onay süreci geliştirilmesi"/>
    <x v="0"/>
    <e v="#N/A"/>
    <x v="0"/>
    <s v="-"/>
    <x v="0"/>
    <m/>
  </r>
  <r>
    <x v="0"/>
    <s v="CRM-621"/>
    <x v="0"/>
    <s v="KEP Assist modül yenileme akışının kontrol edilmesi"/>
    <x v="0"/>
    <e v="#N/A"/>
    <x v="0"/>
    <s v="-"/>
    <x v="0"/>
    <m/>
  </r>
  <r>
    <x v="0"/>
    <s v="CRM-561"/>
    <x v="1"/>
    <s v="Multikep Kota Yükleme İşlemleri"/>
    <x v="0"/>
    <e v="#N/A"/>
    <x v="0"/>
    <s v="-"/>
    <x v="0"/>
    <m/>
  </r>
  <r>
    <x v="0"/>
    <s v="CRM-552"/>
    <x v="1"/>
    <s v="Multikep Müşteri Bilgileri Gönderilirken İşlem Yetkililerinden Kullanıcıların Aktarılması"/>
    <x v="0"/>
    <e v="#N/A"/>
    <x v="0"/>
    <s v="-"/>
    <x v="0"/>
    <m/>
  </r>
  <r>
    <x v="0"/>
    <s v="CRM-495"/>
    <x v="1"/>
    <s v="Oluşan QR Kodlu Toplu Evrakların Satışçıya/Bayiye İletilmesi"/>
    <x v="0"/>
    <e v="#N/A"/>
    <x v="0"/>
    <s v="-"/>
    <x v="0"/>
    <m/>
  </r>
  <r>
    <x v="1"/>
    <s v="EDF-759"/>
    <x v="1"/>
    <s v="Defter Portalda İmzalama Sürecinde Client Linkinin Eski Olması"/>
    <x v="3"/>
    <e v="#N/A"/>
    <x v="0"/>
    <s v="-"/>
    <x v="0"/>
    <n v="1"/>
  </r>
  <r>
    <x v="0"/>
    <s v="MYS-768"/>
    <x v="1"/>
    <s v="Güncelleme Paketi Hazırlanması"/>
    <x v="12"/>
    <e v="#N/A"/>
    <x v="0"/>
    <s v="-"/>
    <x v="0"/>
    <n v="2"/>
  </r>
  <r>
    <x v="0"/>
    <s v="KW-7"/>
    <x v="1"/>
    <s v="Üst Yönetim Raporu - KEP İleti Sayılarının Detaylı Kırılımı"/>
    <x v="8"/>
    <e v="#N/A"/>
    <x v="0"/>
    <s v="-"/>
    <x v="0"/>
    <n v="5"/>
  </r>
  <r>
    <x v="1"/>
    <s v="KA-1504"/>
    <x v="1"/>
    <s v="Detsis No Arama Hatası"/>
    <x v="6"/>
    <e v="#N/A"/>
    <x v="0"/>
    <s v="-"/>
    <x v="0"/>
    <n v="2"/>
  </r>
  <r>
    <x v="1"/>
    <s v="KA-1503"/>
    <x v="1"/>
    <s v="Kullanıcı Yönetimi - Kullanıcı Oluşturma Hatası"/>
    <x v="6"/>
    <e v="#N/A"/>
    <x v="0"/>
    <s v="-"/>
    <x v="0"/>
    <n v="3"/>
  </r>
  <r>
    <x v="0"/>
    <s v="IEU-207"/>
    <x v="1"/>
    <s v="SonarQube Kod Taraması Yapılması"/>
    <x v="5"/>
    <e v="#N/A"/>
    <x v="0"/>
    <s v="-"/>
    <x v="0"/>
    <n v="2"/>
  </r>
  <r>
    <x v="0"/>
    <s v="IEU-206"/>
    <x v="1"/>
    <s v="Kod Gözden Geçirme ve Güvenlik İyileştirmesi (SonarQube Analizi Sonuçlarına Göre)"/>
    <x v="5"/>
    <e v="#N/A"/>
    <x v="0"/>
    <s v="-"/>
    <x v="0"/>
    <n v="5"/>
  </r>
  <r>
    <x v="1"/>
    <s v="EFT-2165"/>
    <x v="1"/>
    <s v="Portalda İrsaliye oluştur Ekranında 'Sevk Saati' Alanı Değişikliği"/>
    <x v="4"/>
    <e v="#N/A"/>
    <x v="0"/>
    <s v="-"/>
    <x v="0"/>
    <n v="1"/>
  </r>
  <r>
    <x v="0"/>
    <s v="EFT-2167"/>
    <x v="1"/>
    <s v="Araştırma/ Şematron Hatalarının Kaynaklarının Tespiti"/>
    <x v="4"/>
    <e v="#N/A"/>
    <x v="0"/>
    <s v="-"/>
    <x v="0"/>
    <n v="13"/>
  </r>
  <r>
    <x v="0"/>
    <s v="DP-281"/>
    <x v="1"/>
    <s v="e-Belge Kullanıcı Listelerinin Dışa Aktarılabilir Hale Getirilmesi"/>
    <x v="1"/>
    <e v="#N/A"/>
    <x v="0"/>
    <s v="-"/>
    <x v="0"/>
    <n v="3"/>
  </r>
  <r>
    <x v="0"/>
    <s v="DP-280"/>
    <x v="0"/>
    <s v="Hizmet İptali Olan Firmalar İçin Veri Teslim Talebi"/>
    <x v="1"/>
    <e v="#N/A"/>
    <x v="0"/>
    <s v="-"/>
    <x v="0"/>
    <m/>
  </r>
  <r>
    <x v="0"/>
    <s v="DP-279"/>
    <x v="0"/>
    <s v="Yanlış Mühürle İmzalanan Defterin Durumunun Güncellenmesi"/>
    <x v="1"/>
    <e v="#N/A"/>
    <x v="0"/>
    <s v="-"/>
    <x v="0"/>
    <m/>
  </r>
  <r>
    <x v="0"/>
    <s v="DP-278"/>
    <x v="0"/>
    <s v="Şematron Kontrolünde Kalan Defterin Aktarım Başarılı Durumuna Çekilmesi"/>
    <x v="1"/>
    <e v="#N/A"/>
    <x v="0"/>
    <s v="-"/>
    <x v="0"/>
    <m/>
  </r>
  <r>
    <x v="0"/>
    <s v="DP-277"/>
    <x v="1"/>
    <s v="Defterin Dönem Kapama Durumuna Geçmemesi Halinde Güncelleme Talebi"/>
    <x v="1"/>
    <e v="#N/A"/>
    <x v="0"/>
    <s v="-"/>
    <x v="0"/>
    <n v="3"/>
  </r>
  <r>
    <x v="0"/>
    <s v="DP-276"/>
    <x v="1"/>
    <s v="Silinen Cari Hesabın Geri Alınma İşleminin Portal Üzerinden Yapılması"/>
    <x v="1"/>
    <e v="#N/A"/>
    <x v="0"/>
    <s v="-"/>
    <x v="0"/>
    <n v="2"/>
  </r>
  <r>
    <x v="0"/>
    <s v="EDF-761"/>
    <x v="1"/>
    <s v="E-Defter Gönderim Sürecindeki Hata ve Sorunların Tespiti"/>
    <x v="3"/>
    <e v="#N/A"/>
    <x v="0"/>
    <s v="-"/>
    <x v="0"/>
    <n v="5"/>
  </r>
  <r>
    <x v="0"/>
    <s v="IEU-208"/>
    <x v="1"/>
    <s v="Metotlardan Dönen Hata Yanıtlarının Düzenlenmesi"/>
    <x v="5"/>
    <e v="#N/A"/>
    <x v="0"/>
    <s v="-"/>
    <x v="0"/>
    <n v="3"/>
  </r>
  <r>
    <x v="1"/>
    <s v="MU-64"/>
    <x v="1"/>
    <s v="Genel Responsive Design Düzenlemesi"/>
    <x v="9"/>
    <e v="#N/A"/>
    <x v="0"/>
    <s v="-"/>
    <x v="0"/>
    <n v="3"/>
  </r>
  <r>
    <x v="1"/>
    <s v="MU-63"/>
    <x v="1"/>
    <s v="Mobil Uygulamada Sayfalar Arası Geçişlerde UX Sorunlarının Giderilmesi"/>
    <x v="9"/>
    <e v="#N/A"/>
    <x v="0"/>
    <s v="-"/>
    <x v="0"/>
    <n v="3"/>
  </r>
  <r>
    <x v="1"/>
    <s v="MU-62"/>
    <x v="0"/>
    <s v="Bazı Mobil Cihazlarda &quot;Şifremi Unuttum&quot; Adımında Yaşanan Hata"/>
    <x v="9"/>
    <e v="#N/A"/>
    <x v="0"/>
    <s v="-"/>
    <x v="0"/>
    <n v="5"/>
  </r>
  <r>
    <x v="0"/>
    <s v="WIK-670"/>
    <x v="1"/>
    <s v="Çalışan Ekle Ekranı Sayfalama Yapısının Sağlanması - Arayüz Çalışması"/>
    <x v="16"/>
    <e v="#N/A"/>
    <x v="0"/>
    <s v="-"/>
    <x v="0"/>
    <n v="1"/>
  </r>
  <r>
    <x v="0"/>
    <s v="WIK-671"/>
    <x v="1"/>
    <s v="Özlük Belgeleri Ekranı Sayfalama Yapısının Sağlanması - Servis Çalışması"/>
    <x v="16"/>
    <e v="#N/A"/>
    <x v="0"/>
    <s v="-"/>
    <x v="0"/>
    <n v="2"/>
  </r>
  <r>
    <x v="0"/>
    <s v="WIK-666"/>
    <x v="1"/>
    <s v="Özlük Belgeleri Ekranı Sayfalama Yapısının Sağlanması - Arayüz Çalışması"/>
    <x v="16"/>
    <e v="#N/A"/>
    <x v="0"/>
    <s v="-"/>
    <x v="0"/>
    <n v="1"/>
  </r>
  <r>
    <x v="0"/>
    <s v="UKDS-151"/>
    <x v="1"/>
    <s v="Çalışan Ekle Modülünde Çok Sayıda Kayıt için Excel'e Aktarma Özelliğinin Performans İyileştirmesi"/>
    <x v="15"/>
    <e v="#N/A"/>
    <x v="0"/>
    <s v="-"/>
    <x v="0"/>
    <n v="2"/>
  </r>
  <r>
    <x v="0"/>
    <s v="UKDS-152"/>
    <x v="1"/>
    <s v="Çalışan Ekle Ekranı Sayfalama Yapısının Sağlanması - Servis Çalışması"/>
    <x v="15"/>
    <e v="#N/A"/>
    <x v="0"/>
    <s v="-"/>
    <x v="0"/>
    <n v="3"/>
  </r>
  <r>
    <x v="1"/>
    <s v="TIM-447"/>
    <x v="1"/>
    <s v="Yatay Belge İçerisinde Logonun Doküman İçerisinde Tam Görünmemesi"/>
    <x v="13"/>
    <e v="#N/A"/>
    <x v="0"/>
    <s v="-"/>
    <x v="0"/>
    <n v="1"/>
  </r>
  <r>
    <x v="0"/>
    <s v="KEP-286"/>
    <x v="1"/>
    <s v="Webmail Delil Doğrulama Servisleri Güncellemesi"/>
    <x v="7"/>
    <e v="#N/A"/>
    <x v="0"/>
    <s v="-"/>
    <x v="0"/>
    <n v="3"/>
  </r>
  <r>
    <x v="0"/>
    <s v="KEP-287"/>
    <x v="1"/>
    <s v="Hesap Kapatma İşlemlerinin JNLP yerine Yeni Client ile Gerçekleştirilmesi"/>
    <x v="7"/>
    <e v="#N/A"/>
    <x v="0"/>
    <s v="-"/>
    <x v="0"/>
    <n v="3"/>
  </r>
  <r>
    <x v="0"/>
    <s v="UKDS-156"/>
    <x v="1"/>
    <s v="KİDOS Özelliklerinin Servis Olarak Sağlanması"/>
    <x v="15"/>
    <e v="#N/A"/>
    <x v="0"/>
    <s v="-"/>
    <x v="0"/>
    <m/>
  </r>
  <r>
    <x v="0"/>
    <s v="UKDS-154"/>
    <x v="1"/>
    <s v="KİDOS-MERSİS Entegrasyonu"/>
    <x v="15"/>
    <e v="#N/A"/>
    <x v="0"/>
    <s v="-"/>
    <x v="0"/>
    <n v="5"/>
  </r>
  <r>
    <x v="0"/>
    <s v="DP-282"/>
    <x v="1"/>
    <s v="Faturanın Deleted durumunun Y olarak güncellenmesi"/>
    <x v="1"/>
    <e v="#N/A"/>
    <x v="0"/>
    <s v="-"/>
    <x v="0"/>
    <n v="2"/>
  </r>
  <r>
    <x v="0"/>
    <s v="MU-67"/>
    <x v="1"/>
    <s v="Mobil İmza İle KEP Gönderimi"/>
    <x v="9"/>
    <e v="#N/A"/>
    <x v="0"/>
    <s v="-"/>
    <x v="0"/>
    <n v="5"/>
  </r>
  <r>
    <x v="1"/>
    <s v="IEU-209"/>
    <x v="1"/>
    <s v="EYP Parser Metotlarında Hatalı Doğrulama Sonucu Dönmesi"/>
    <x v="5"/>
    <e v="#N/A"/>
    <x v="0"/>
    <s v="-"/>
    <x v="0"/>
    <n v="3"/>
  </r>
  <r>
    <x v="0"/>
    <s v="EFT-2174"/>
    <x v="1"/>
    <s v="“YOLCU BERABER FATURA” Senaryo Kontrolü"/>
    <x v="4"/>
    <e v="#N/A"/>
    <x v="0"/>
    <s v="-"/>
    <x v="0"/>
    <n v="1"/>
  </r>
  <r>
    <x v="0"/>
    <s v="EFT-2173"/>
    <x v="1"/>
    <s v="“TICARIFATURA” Senaryo Kontrolü"/>
    <x v="4"/>
    <e v="#N/A"/>
    <x v="0"/>
    <s v="-"/>
    <x v="0"/>
    <n v="2"/>
  </r>
  <r>
    <x v="0"/>
    <s v="EFT-2172"/>
    <x v="1"/>
    <s v="“TEMELFATURA&quot; Senaryo Kontrolü"/>
    <x v="4"/>
    <e v="#N/A"/>
    <x v="0"/>
    <s v="-"/>
    <x v="0"/>
    <n v="2"/>
  </r>
  <r>
    <x v="0"/>
    <s v="DP-283"/>
    <x v="1"/>
    <s v="Onay işlemleri açılmayan defterin gib kuyruğuna gönderilmesi"/>
    <x v="1"/>
    <e v="#N/A"/>
    <x v="0"/>
    <s v="-"/>
    <x v="0"/>
    <n v="3"/>
  </r>
  <r>
    <x v="0"/>
    <s v="EDF-764"/>
    <x v="1"/>
    <s v="Yanlış Mühürle İmzalanan Defterin Durumunun Güncellenmesi"/>
    <x v="3"/>
    <e v="#N/A"/>
    <x v="0"/>
    <s v="-"/>
    <x v="0"/>
    <n v="2"/>
  </r>
  <r>
    <x v="1"/>
    <s v="EFT-2192"/>
    <x v="1"/>
    <s v="Web Serviste Vergi Oranı Sınırı"/>
    <x v="4"/>
    <e v="#N/A"/>
    <x v="0"/>
    <s v="-"/>
    <x v="0"/>
    <n v="1"/>
  </r>
  <r>
    <x v="1"/>
    <s v="EFT-2193"/>
    <x v="1"/>
    <s v="Konnektör Vergi Oranı Sınırı"/>
    <x v="4"/>
    <e v="#N/A"/>
    <x v="0"/>
    <s v="-"/>
    <x v="0"/>
    <n v="1"/>
  </r>
  <r>
    <x v="0"/>
    <s v="MYS-771"/>
    <x v="1"/>
    <s v="&quot;KEP İleti -&gt; Hatalı Süreçler&quot; Sayfasında Hata Alan İletilere Ait Detay Bilgilerin Gösterilmesi"/>
    <x v="12"/>
    <e v="#N/A"/>
    <x v="0"/>
    <s v="-"/>
    <x v="0"/>
    <n v="3"/>
  </r>
  <r>
    <x v="1"/>
    <s v="WIK-678"/>
    <x v="1"/>
    <s v="Kayıt defterinde Modül Adlarının Doğru Yazılması"/>
    <x v="16"/>
    <e v="#N/A"/>
    <x v="0"/>
    <s v="-"/>
    <x v="0"/>
    <n v="1"/>
  </r>
  <r>
    <x v="1"/>
    <s v="WIK-675"/>
    <x v="1"/>
    <s v="Dönem/Ay Açılışlarında Geçersiz Ek Dönemlerin Açılması."/>
    <x v="16"/>
    <e v="#N/A"/>
    <x v="0"/>
    <s v="-"/>
    <x v="0"/>
    <n v="2"/>
  </r>
  <r>
    <x v="0"/>
    <s v="WIK-679"/>
    <x v="1"/>
    <s v="Çalışan Ekle ve Özlük Belgeleri işlemlerinin İşlem Kayıt Defterinde Eklenmesi"/>
    <x v="16"/>
    <e v="#N/A"/>
    <x v="0"/>
    <s v="-"/>
    <x v="0"/>
    <n v="3"/>
  </r>
  <r>
    <x v="0"/>
    <s v="WIK-676"/>
    <x v="1"/>
    <s v="Çalışan Ekle ve Özlük Belgeleri Kullanıcı Bazlı Silme İşlemlerinin Loglanması"/>
    <x v="16"/>
    <e v="#N/A"/>
    <x v="0"/>
    <s v="-"/>
    <x v="0"/>
    <n v="2"/>
  </r>
  <r>
    <x v="0"/>
    <s v="WIK-677"/>
    <x v="1"/>
    <s v="Sistem Tarafından Silinen Verinin Loglanması"/>
    <x v="16"/>
    <e v="#N/A"/>
    <x v="0"/>
    <s v="-"/>
    <x v="0"/>
    <n v="2"/>
  </r>
  <r>
    <x v="0"/>
    <s v="WIK-680"/>
    <x v="1"/>
    <s v="Yeni Açılan Dönem/Ay için Hazır Şablon Oluşturulması ve Atanması"/>
    <x v="16"/>
    <e v="#N/A"/>
    <x v="0"/>
    <s v="-"/>
    <x v="0"/>
    <n v="3"/>
  </r>
  <r>
    <x v="1"/>
    <s v="UKDS-157"/>
    <x v="1"/>
    <s v="Firma Ünvanı Uzunluğunun SMS Gönderimini Engellemesi"/>
    <x v="15"/>
    <e v="#N/A"/>
    <x v="0"/>
    <s v="-"/>
    <x v="0"/>
    <n v="2"/>
  </r>
  <r>
    <x v="0"/>
    <s v="UKDS-155"/>
    <x v="1"/>
    <s v="KİDOS ve CRM için MERSİS Entegrasyonu"/>
    <x v="15"/>
    <e v="#N/A"/>
    <x v="0"/>
    <s v="-"/>
    <x v="0"/>
    <m/>
  </r>
  <r>
    <x v="0"/>
    <s v="UKDS-144"/>
    <x v="1"/>
    <s v="Raporlama servisine entegrasyon servisi ile birlikte gelen yeni tiplerin eklenmesi"/>
    <x v="15"/>
    <e v="#N/A"/>
    <x v="0"/>
    <s v="-"/>
    <x v="0"/>
    <n v="3"/>
  </r>
  <r>
    <x v="0"/>
    <s v="UKDS-137"/>
    <x v="1"/>
    <s v="ENTEGRASYON BIREYSEL/KURUMSAL ve Pazarama tipli başvurularda paket gösterimi+seçimi"/>
    <x v="15"/>
    <e v="#N/A"/>
    <x v="0"/>
    <s v="-"/>
    <x v="0"/>
    <n v="13"/>
  </r>
  <r>
    <x v="0"/>
    <s v="UKDS-117"/>
    <x v="1"/>
    <s v="Entegrasyon UKDS Servis Geliştirmesi"/>
    <x v="15"/>
    <e v="#N/A"/>
    <x v="0"/>
    <s v="-"/>
    <x v="0"/>
    <n v="13"/>
  </r>
  <r>
    <x v="1"/>
    <s v="TIM-424"/>
    <x v="1"/>
    <s v="Filtrelemelerde bug fix"/>
    <x v="13"/>
    <e v="#N/A"/>
    <x v="0"/>
    <s v="-"/>
    <x v="0"/>
    <m/>
  </r>
  <r>
    <x v="1"/>
    <s v="TIM-421"/>
    <x v="1"/>
    <s v="Mail bildirimi kapalı userların şifre sıfırlama süreci"/>
    <x v="13"/>
    <e v="#N/A"/>
    <x v="0"/>
    <s v="-"/>
    <x v="0"/>
    <n v="8"/>
  </r>
  <r>
    <x v="1"/>
    <s v="TIM-415"/>
    <x v="1"/>
    <s v="e-imza ile girişte enter tuşu ile login olma"/>
    <x v="13"/>
    <e v="#N/A"/>
    <x v="0"/>
    <s v="-"/>
    <x v="0"/>
    <n v="3"/>
  </r>
  <r>
    <x v="1"/>
    <s v="MU-70"/>
    <x v="1"/>
    <s v="Gelen ve Giden kutularında kayıt tekrarlama sorunu"/>
    <x v="9"/>
    <e v="#N/A"/>
    <x v="0"/>
    <s v="-"/>
    <x v="0"/>
    <n v="3"/>
  </r>
  <r>
    <x v="0"/>
    <s v="MU-69"/>
    <x v="1"/>
    <s v="e-İmza ile Giriş Özelliğinin Sağlanması "/>
    <x v="9"/>
    <e v="#N/A"/>
    <x v="0"/>
    <s v="-"/>
    <x v="0"/>
    <m/>
  </r>
  <r>
    <x v="0"/>
    <s v="MU-68"/>
    <x v="0"/>
    <s v="Mobil İmza ile Giriş Özelliğinin Sağlanması"/>
    <x v="9"/>
    <e v="#N/A"/>
    <x v="0"/>
    <s v="-"/>
    <x v="0"/>
    <m/>
  </r>
  <r>
    <x v="0"/>
    <s v="KEP-289"/>
    <x v="0"/>
    <s v="Webmail Giriş Seçeneğinden Bağımsız Olarak KEP İleti Gönderiminde İstenilen İmzalama Yönetiminin Kullanılması"/>
    <x v="7"/>
    <e v="#N/A"/>
    <x v="0"/>
    <s v="-"/>
    <x v="0"/>
    <m/>
  </r>
  <r>
    <x v="0"/>
    <s v="EFT-2191"/>
    <x v="0"/>
    <s v="&quot;e-ARŞİV FATURA&quot; Düzenlenme Kontrolü"/>
    <x v="4"/>
    <e v="#N/A"/>
    <x v="0"/>
    <s v="-"/>
    <x v="0"/>
    <m/>
  </r>
  <r>
    <x v="0"/>
    <s v="EFT-2190"/>
    <x v="0"/>
    <s v="&quot;TEKNOLOJİ DESTEK FATURA TİPİ&quot; Senaryo Kontrolü"/>
    <x v="4"/>
    <e v="#N/A"/>
    <x v="0"/>
    <s v="-"/>
    <x v="0"/>
    <m/>
  </r>
  <r>
    <x v="0"/>
    <s v="EFT-2189"/>
    <x v="0"/>
    <s v=" &quot;ŞARJ ANLIK FATURA TİPİ&quot; Senaryo Kontrolü"/>
    <x v="4"/>
    <e v="#N/A"/>
    <x v="0"/>
    <s v="-"/>
    <x v="0"/>
    <m/>
  </r>
  <r>
    <x v="0"/>
    <s v="EFT-2188"/>
    <x v="0"/>
    <s v="&quot;ŞARJ FATURA TİPİ&quot; Senaryo Kontrolü"/>
    <x v="4"/>
    <e v="#N/A"/>
    <x v="0"/>
    <s v="-"/>
    <x v="0"/>
    <m/>
  </r>
  <r>
    <x v="0"/>
    <s v="EFT-2187"/>
    <x v="0"/>
    <s v="&quot;HAL TİPİ SATIŞ FATURA TİPİ&quot; Senaryo Kontrolü"/>
    <x v="4"/>
    <e v="#N/A"/>
    <x v="0"/>
    <s v="-"/>
    <x v="0"/>
    <m/>
  </r>
  <r>
    <x v="0"/>
    <s v="EFT-2186"/>
    <x v="0"/>
    <s v="&quot;KONAKLAMA VERGİSİ FATURASI&quot; Senaryo Kontrolü"/>
    <x v="4"/>
    <e v="#N/A"/>
    <x v="0"/>
    <s v="-"/>
    <x v="0"/>
    <m/>
  </r>
  <r>
    <x v="0"/>
    <s v="EFT-2185"/>
    <x v="0"/>
    <s v="&quot;SGK’YA DÜZENLENECEK FATURA TİPİ&quot; Senaryo Tipi"/>
    <x v="4"/>
    <e v="#N/A"/>
    <x v="0"/>
    <s v="-"/>
    <x v="0"/>
    <m/>
  </r>
  <r>
    <x v="0"/>
    <s v="EFT-2184"/>
    <x v="0"/>
    <s v=" &quot;İHRAÇ KAYITLI FATURA TİPİ&quot; Senaryo Kontrolü"/>
    <x v="4"/>
    <e v="#N/A"/>
    <x v="0"/>
    <s v="-"/>
    <x v="0"/>
    <m/>
  </r>
  <r>
    <x v="0"/>
    <s v="EFT-2183"/>
    <x v="0"/>
    <s v="&quot;ÖZEL MATRAHLI FATURA TİPİ&quot; Senaryo Kontrolü"/>
    <x v="4"/>
    <e v="#N/A"/>
    <x v="0"/>
    <s v="-"/>
    <x v="0"/>
    <m/>
  </r>
  <r>
    <x v="0"/>
    <s v="EFT-2182"/>
    <x v="0"/>
    <s v="&quot;İSTİSNA FATURA TİPİ&quot; Senaryo Kontrolü"/>
    <x v="4"/>
    <e v="#N/A"/>
    <x v="0"/>
    <s v="-"/>
    <x v="0"/>
    <m/>
  </r>
  <r>
    <x v="0"/>
    <s v="EFT-2181"/>
    <x v="0"/>
    <s v="&quot;TEVKİFATLI İADE FATURA TİPİ&quot; Senaryo Kontrolü"/>
    <x v="4"/>
    <e v="#N/A"/>
    <x v="0"/>
    <s v="-"/>
    <x v="0"/>
    <m/>
  </r>
  <r>
    <x v="0"/>
    <s v="EFT-2180"/>
    <x v="0"/>
    <s v="&quot;TEVKİFAT FATURA TİPİ&quot; Senaryo Kontrolü"/>
    <x v="4"/>
    <e v="#N/A"/>
    <x v="0"/>
    <s v="-"/>
    <x v="0"/>
    <m/>
  </r>
  <r>
    <x v="0"/>
    <s v="EFT-2179"/>
    <x v="0"/>
    <s v="&quot;İADE FATURA TİPİ&quot; Senaryo Kontrolü"/>
    <x v="4"/>
    <e v="#N/A"/>
    <x v="0"/>
    <s v="-"/>
    <x v="0"/>
    <m/>
  </r>
  <r>
    <x v="0"/>
    <s v="EFT-2178"/>
    <x v="1"/>
    <s v="“İLAC_TIBBİCİHAZ” Senaryo Kontrolü"/>
    <x v="4"/>
    <e v="#N/A"/>
    <x v="0"/>
    <s v="-"/>
    <x v="0"/>
    <n v="1"/>
  </r>
  <r>
    <x v="0"/>
    <s v="EFT-2177"/>
    <x v="1"/>
    <s v="“HAL TİPİ FATURA (HKS)” Senaryo Kontrolü"/>
    <x v="4"/>
    <e v="#N/A"/>
    <x v="0"/>
    <s v="-"/>
    <x v="0"/>
    <n v="1"/>
  </r>
  <r>
    <x v="0"/>
    <s v="EFT-2176"/>
    <x v="1"/>
    <s v="“KAMU”  Senaryo Kontrolü"/>
    <x v="4"/>
    <e v="#N/A"/>
    <x v="0"/>
    <s v="-"/>
    <x v="0"/>
    <n v="1"/>
  </r>
  <r>
    <x v="0"/>
    <s v="EFT-2175"/>
    <x v="1"/>
    <s v="“IHRACAT” Senaryo Kontrolü"/>
    <x v="4"/>
    <e v="#N/A"/>
    <x v="0"/>
    <s v="-"/>
    <x v="0"/>
    <n v="1"/>
  </r>
  <r>
    <x v="0"/>
    <s v="EDF-765"/>
    <x v="2"/>
    <s v="Şematron Kontrolünde Kalan Defterin Aktarım Başarılı Durumuna Çekilmesi"/>
    <x v="3"/>
    <e v="#N/A"/>
    <x v="0"/>
    <s v="-"/>
    <x v="0"/>
    <m/>
  </r>
  <r>
    <x v="0"/>
    <s v="WIK-686"/>
    <x v="0"/>
    <s v="Bir Çalışan İçin Birden Fazla Sayfa İçeren PDF Yüklendiğinde Tümünün Tek İleti İle Gönderilebilmesi"/>
    <x v="16"/>
    <e v="#N/A"/>
    <x v="0"/>
    <s v="-"/>
    <x v="0"/>
    <m/>
  </r>
  <r>
    <x v="0"/>
    <s v="WIK-685"/>
    <x v="1"/>
    <s v="Özlük Belgeleri Yüklemeyi Tamamlayan Kişinin Sonuç Ekranına Yönlendirilmesi"/>
    <x v="16"/>
    <e v="#N/A"/>
    <x v="0"/>
    <s v="-"/>
    <x v="0"/>
    <n v="1"/>
  </r>
  <r>
    <x v="1"/>
    <s v="WIK-581"/>
    <x v="1"/>
    <s v="Çalışanlar modülünde başarısız duyuru gönderim gösterimi"/>
    <x v="16"/>
    <e v="#N/A"/>
    <x v="0"/>
    <s v="-"/>
    <x v="0"/>
    <m/>
  </r>
  <r>
    <x v="0"/>
    <s v="WIK-533"/>
    <x v="1"/>
    <s v="CRM servis metotları reponse body düzenlemesi"/>
    <x v="16"/>
    <e v="#N/A"/>
    <x v="0"/>
    <s v="-"/>
    <x v="0"/>
    <m/>
  </r>
  <r>
    <x v="1"/>
    <s v="WIK-524"/>
    <x v="1"/>
    <s v="İmzalamada çıkan progress bar yazısı"/>
    <x v="16"/>
    <e v="#N/A"/>
    <x v="0"/>
    <s v="-"/>
    <x v="0"/>
    <m/>
  </r>
  <r>
    <x v="0"/>
    <s v="WIK-513"/>
    <x v="1"/>
    <s v="İK gönderim dönemlerinin yüklenmesi konusunda iyileştirme çalışması"/>
    <x v="16"/>
    <e v="#N/A"/>
    <x v="0"/>
    <s v="-"/>
    <x v="0"/>
    <m/>
  </r>
  <r>
    <x v="0"/>
    <s v="WIK-510"/>
    <x v="1"/>
    <s v="CRM metotları için yeni servis geliştirmesi "/>
    <x v="16"/>
    <e v="#N/A"/>
    <x v="0"/>
    <s v="-"/>
    <x v="0"/>
    <m/>
  </r>
  <r>
    <x v="0"/>
    <s v="WIK-507"/>
    <x v="1"/>
    <s v="Onay/Ret modül düzenlemesi"/>
    <x v="16"/>
    <e v="#N/A"/>
    <x v="0"/>
    <s v="-"/>
    <x v="0"/>
    <m/>
  </r>
  <r>
    <x v="0"/>
    <s v="UKDS-160"/>
    <x v="1"/>
    <s v="UKDS Süreçlerinde BTK Onayında Bekleyen Kaydın İptal Edilebilmesi"/>
    <x v="15"/>
    <e v="#N/A"/>
    <x v="0"/>
    <s v="-"/>
    <x v="0"/>
    <n v="5"/>
  </r>
  <r>
    <x v="0"/>
    <s v="UKDS-159"/>
    <x v="1"/>
    <s v="E posta Domain Değişikliği"/>
    <x v="15"/>
    <e v="#N/A"/>
    <x v="0"/>
    <s v="-"/>
    <x v="0"/>
    <m/>
  </r>
  <r>
    <x v="0"/>
    <s v="UKDS-120"/>
    <x v="1"/>
    <s v="Çalışan listesindeki pasif çalışanın &quot;Çalışan Ekle&quot; modülü uyarı popup geliştirmesi"/>
    <x v="15"/>
    <e v="#N/A"/>
    <x v="0"/>
    <s v="-"/>
    <x v="0"/>
    <m/>
  </r>
  <r>
    <x v="0"/>
    <s v="UKDS-118"/>
    <x v="1"/>
    <s v="Raporlama servisi için KEP İK başvurularında kep adresi bilgisinin de tutulması"/>
    <x v="15"/>
    <e v="#N/A"/>
    <x v="0"/>
    <s v="-"/>
    <x v="0"/>
    <m/>
  </r>
  <r>
    <x v="0"/>
    <s v="UKDS-57"/>
    <x v="1"/>
    <s v="Mobil tarayıcı pop-up düzenlemesi"/>
    <x v="15"/>
    <e v="#N/A"/>
    <x v="0"/>
    <s v="-"/>
    <x v="0"/>
    <m/>
  </r>
  <r>
    <x v="0"/>
    <s v="UKDS-54"/>
    <x v="1"/>
    <s v="Mobil uygulama üzerinden erişim için uuid bilgisi listeleme metot geliştirmesi"/>
    <x v="15"/>
    <e v="#N/A"/>
    <x v="0"/>
    <s v="-"/>
    <x v="0"/>
    <m/>
  </r>
  <r>
    <x v="0"/>
    <s v="UKDS-50"/>
    <x v="1"/>
    <s v="Pazarlama biriminden talep edilen ön yüz tasarımı için geliştirmeler"/>
    <x v="15"/>
    <e v="#N/A"/>
    <x v="0"/>
    <s v="-"/>
    <x v="0"/>
    <m/>
  </r>
  <r>
    <x v="0"/>
    <s v="UKDS-49"/>
    <x v="1"/>
    <s v="İletişim bilgileri ekranı düzenlemesi"/>
    <x v="15"/>
    <e v="#N/A"/>
    <x v="0"/>
    <s v="-"/>
    <x v="0"/>
    <m/>
  </r>
  <r>
    <x v="0"/>
    <s v="UEP-13"/>
    <x v="1"/>
    <s v="UEP - Bitiş tarihinin PTT response bodysinden alınması"/>
    <x v="14"/>
    <e v="#N/A"/>
    <x v="0"/>
    <s v="-"/>
    <x v="0"/>
    <m/>
  </r>
  <r>
    <x v="0"/>
    <s v="UEP-11"/>
    <x v="1"/>
    <s v="UEP - Türkkep logosunun güncellenmesi"/>
    <x v="14"/>
    <e v="#N/A"/>
    <x v="0"/>
    <s v="-"/>
    <x v="0"/>
    <m/>
  </r>
  <r>
    <x v="0"/>
    <s v="UEP-9"/>
    <x v="1"/>
    <s v="UEP - Yenileme yapılmayan hesaplar için kontrol geliştirmesi"/>
    <x v="14"/>
    <e v="#N/A"/>
    <x v="0"/>
    <s v="-"/>
    <x v="0"/>
    <m/>
  </r>
  <r>
    <x v="0"/>
    <s v="UEP-5"/>
    <x v="1"/>
    <s v="UEP - Alıcı Referans bilgisinin kaydedilmesi"/>
    <x v="14"/>
    <e v="#N/A"/>
    <x v="0"/>
    <s v="-"/>
    <x v="0"/>
    <m/>
  </r>
  <r>
    <x v="0"/>
    <s v="UEP-4"/>
    <x v="1"/>
    <s v="UEP - Jenkins'in UETS Portal entegresi"/>
    <x v="14"/>
    <e v="#N/A"/>
    <x v="0"/>
    <s v="-"/>
    <x v="0"/>
    <m/>
  </r>
  <r>
    <x v="0"/>
    <s v="UEP-3"/>
    <x v="1"/>
    <s v="UEP - UETS API Anahtarı Yenileme Geliştirmesi"/>
    <x v="14"/>
    <e v="#N/A"/>
    <x v="0"/>
    <s v="-"/>
    <x v="0"/>
    <m/>
  </r>
  <r>
    <x v="0"/>
    <s v="UEP-2"/>
    <x v="1"/>
    <s v="UEP - UETS başvuru portal önyüz geliştirmesi"/>
    <x v="14"/>
    <e v="#N/A"/>
    <x v="0"/>
    <s v="-"/>
    <x v="0"/>
    <m/>
  </r>
  <r>
    <x v="0"/>
    <s v="UEP-1"/>
    <x v="1"/>
    <s v="UEP - UETS başvuru portal servis geliştirmesi"/>
    <x v="14"/>
    <e v="#N/A"/>
    <x v="0"/>
    <s v="-"/>
    <x v="0"/>
    <m/>
  </r>
  <r>
    <x v="0"/>
    <s v="TIM-448"/>
    <x v="1"/>
    <s v="E posta Domain Değişikliği"/>
    <x v="13"/>
    <e v="#N/A"/>
    <x v="0"/>
    <s v="-"/>
    <x v="0"/>
    <m/>
  </r>
  <r>
    <x v="1"/>
    <s v="MU-75"/>
    <x v="1"/>
    <s v="Teslim edilemeyen iletinin giden iletiye ait delil detayında teslim edildi olarak görünmesi"/>
    <x v="9"/>
    <e v="#N/A"/>
    <x v="0"/>
    <s v="-"/>
    <x v="0"/>
    <n v="3"/>
  </r>
  <r>
    <x v="1"/>
    <s v="MU-74"/>
    <x v="1"/>
    <s v="Bildirim Servisi Hata Düzenlemeleri"/>
    <x v="9"/>
    <e v="#N/A"/>
    <x v="0"/>
    <s v="-"/>
    <x v="0"/>
    <n v="3"/>
  </r>
  <r>
    <x v="1"/>
    <s v="MU-71"/>
    <x v="1"/>
    <s v="Bildirimler Ekranı Düzenlemeleri"/>
    <x v="9"/>
    <e v="#N/A"/>
    <x v="0"/>
    <s v="-"/>
    <x v="0"/>
    <n v="3"/>
  </r>
  <r>
    <x v="0"/>
    <s v="KEP-295"/>
    <x v="0"/>
    <s v="Görme Yetkisinin Düzenlenmesi"/>
    <x v="7"/>
    <e v="#N/A"/>
    <x v="0"/>
    <s v="-"/>
    <x v="0"/>
    <m/>
  </r>
  <r>
    <x v="0"/>
    <s v="KEP-294"/>
    <x v="1"/>
    <s v="Rehber Servis Güncellemesi"/>
    <x v="7"/>
    <e v="#N/A"/>
    <x v="0"/>
    <s v="-"/>
    <x v="0"/>
    <m/>
  </r>
  <r>
    <x v="0"/>
    <s v="KEP-293"/>
    <x v="0"/>
    <s v="Rehber Sorgulamalarında Kuyruk/Sorgu Çoklama"/>
    <x v="7"/>
    <e v="#N/A"/>
    <x v="0"/>
    <s v="-"/>
    <x v="0"/>
    <m/>
  </r>
  <r>
    <x v="0"/>
    <s v="KEP-292"/>
    <x v="1"/>
    <s v="UETS bildirimlerinin logunun tutulması ve log kayıtlarının kolay erişilebilir yapıda tutulması"/>
    <x v="7"/>
    <e v="#N/A"/>
    <x v="0"/>
    <s v="-"/>
    <x v="0"/>
    <m/>
  </r>
  <r>
    <x v="0"/>
    <s v="KEP-291"/>
    <x v="1"/>
    <s v="IMAP Sunucu Değişikliği "/>
    <x v="7"/>
    <e v="#N/A"/>
    <x v="0"/>
    <s v="-"/>
    <x v="0"/>
    <m/>
  </r>
  <r>
    <x v="0"/>
    <s v="KEP-290"/>
    <x v="0"/>
    <s v="Webmail Posta Kutuları Altında Klasör Oluşturulabilmesi"/>
    <x v="7"/>
    <e v="#N/A"/>
    <x v="0"/>
    <s v="-"/>
    <x v="0"/>
    <m/>
  </r>
  <r>
    <x v="1"/>
    <s v="IEU-213"/>
    <x v="1"/>
    <s v="Crg Service 404 not found hatası - test ortamı"/>
    <x v="17"/>
    <e v="#N/A"/>
    <x v="0"/>
    <s v="-"/>
    <x v="0"/>
    <n v="3"/>
  </r>
  <r>
    <x v="0"/>
    <s v="IEU-143"/>
    <x v="1"/>
    <s v="Güvenlik Bulguları Hk."/>
    <x v="17"/>
    <e v="#N/A"/>
    <x v="0"/>
    <s v="-"/>
    <x v="0"/>
    <m/>
  </r>
  <r>
    <x v="0"/>
    <s v="IEU-141"/>
    <x v="1"/>
    <s v="MKR Modülü için kota tanımlamaları"/>
    <x v="17"/>
    <e v="#N/A"/>
    <x v="0"/>
    <s v="-"/>
    <x v="0"/>
    <m/>
  </r>
  <r>
    <x v="0"/>
    <s v="EFT-2199"/>
    <x v="1"/>
    <s v="Nihai Tüketici Kontrolü "/>
    <x v="4"/>
    <e v="#N/A"/>
    <x v="0"/>
    <s v="-"/>
    <x v="0"/>
    <n v="2"/>
  </r>
  <r>
    <x v="1"/>
    <s v="EFT-2198"/>
    <x v="1"/>
    <s v="Portal/ SGK Tipi Faturalarda &quot;Aracı Kurum&quot; Alanının Kaldırılması"/>
    <x v="4"/>
    <e v="#N/A"/>
    <x v="0"/>
    <s v="-"/>
    <x v="0"/>
    <n v="1"/>
  </r>
  <r>
    <x v="0"/>
    <s v="EDF-767"/>
    <x v="1"/>
    <s v="Muvakatname İşlemleri"/>
    <x v="3"/>
    <e v="#N/A"/>
    <x v="0"/>
    <s v="-"/>
    <x v="0"/>
    <n v="5"/>
  </r>
  <r>
    <x v="0"/>
    <s v="DS-12"/>
    <x v="1"/>
    <s v="DETSİS - İsimle kurum arama zorunlu karakter sayısı değişikliği"/>
    <x v="2"/>
    <e v="#N/A"/>
    <x v="0"/>
    <s v="-"/>
    <x v="0"/>
    <m/>
  </r>
  <r>
    <x v="0"/>
    <s v="DS-11"/>
    <x v="1"/>
    <s v="DETSİS - KEP Asistan uygulaması için kullanıcı tanımlanması"/>
    <x v="2"/>
    <e v="#N/A"/>
    <x v="0"/>
    <s v="-"/>
    <x v="0"/>
    <m/>
  </r>
  <r>
    <x v="0"/>
    <s v="DS-9"/>
    <x v="1"/>
    <s v="DETSİS - Detsis test servis erişim ayarlamaları"/>
    <x v="2"/>
    <e v="#N/A"/>
    <x v="0"/>
    <s v="-"/>
    <x v="0"/>
    <m/>
  </r>
  <r>
    <x v="0"/>
    <s v="DS-8"/>
    <x v="1"/>
    <s v="DETSİS servis - KEP Assist erişim tanımlaması"/>
    <x v="2"/>
    <e v="#N/A"/>
    <x v="0"/>
    <s v="-"/>
    <x v="0"/>
    <m/>
  </r>
  <r>
    <x v="0"/>
    <s v="DS-7"/>
    <x v="1"/>
    <s v="DETSİS - Servis domain adı tanımlanması"/>
    <x v="2"/>
    <e v="#N/A"/>
    <x v="0"/>
    <s v="-"/>
    <x v="0"/>
    <m/>
  </r>
  <r>
    <x v="0"/>
    <s v="DS-4"/>
    <x v="1"/>
    <s v="DETSİS servis projesinin düzenlenmesi ve canlıya aktarımı"/>
    <x v="2"/>
    <e v="#N/A"/>
    <x v="0"/>
    <s v="-"/>
    <x v="0"/>
    <m/>
  </r>
  <r>
    <x v="0"/>
    <s v="DS-3"/>
    <x v="1"/>
    <s v="DETSİS - Rest Servis Geliştirilmesi"/>
    <x v="2"/>
    <e v="#N/A"/>
    <x v="0"/>
    <s v="-"/>
    <x v="0"/>
    <m/>
  </r>
  <r>
    <x v="0"/>
    <s v="DS-2"/>
    <x v="1"/>
    <s v="DETSİS - Veri Tabanının Oluşturulması"/>
    <x v="2"/>
    <e v="#N/A"/>
    <x v="0"/>
    <s v="-"/>
    <x v="0"/>
    <m/>
  </r>
  <r>
    <x v="0"/>
    <s v="DAVS-31"/>
    <x v="1"/>
    <s v="Yazılım Alt Yapının Hazırlanması"/>
    <x v="18"/>
    <e v="#N/A"/>
    <x v="0"/>
    <s v="-"/>
    <x v="0"/>
    <m/>
  </r>
  <r>
    <x v="0"/>
    <s v="DAVS-30"/>
    <x v="1"/>
    <s v="Yazılım Geliştirme Ortamının Belirlenmesi"/>
    <x v="18"/>
    <e v="#N/A"/>
    <x v="0"/>
    <s v="-"/>
    <x v="0"/>
    <m/>
  </r>
  <r>
    <x v="0"/>
    <s v="DAVS-29"/>
    <x v="1"/>
    <s v="Yazılım Alt Yapısının Belirlenmesi"/>
    <x v="18"/>
    <e v="#N/A"/>
    <x v="0"/>
    <s v="-"/>
    <x v="0"/>
    <m/>
  </r>
  <r>
    <x v="0"/>
    <s v="DAVS-28"/>
    <x v="1"/>
    <s v="Kullanıcı Arayüz Tasarımın Oluşturulması"/>
    <x v="18"/>
    <e v="#N/A"/>
    <x v="0"/>
    <s v="-"/>
    <x v="0"/>
    <m/>
  </r>
  <r>
    <x v="0"/>
    <s v="DAVS-27"/>
    <x v="1"/>
    <s v="Webservis Tasarımın Oluşturulması"/>
    <x v="18"/>
    <e v="#N/A"/>
    <x v="0"/>
    <s v="-"/>
    <x v="0"/>
    <m/>
  </r>
  <r>
    <x v="0"/>
    <s v="DAVS-26"/>
    <x v="1"/>
    <s v="Veritabanı Tasarımın Oluşturulması"/>
    <x v="18"/>
    <e v="#N/A"/>
    <x v="0"/>
    <s v="-"/>
    <x v="0"/>
    <m/>
  </r>
  <r>
    <x v="0"/>
    <s v="DAVS-25"/>
    <x v="1"/>
    <s v="Mimari Tasarımın Oluşturulması"/>
    <x v="18"/>
    <e v="#N/A"/>
    <x v="0"/>
    <s v="-"/>
    <x v="0"/>
    <m/>
  </r>
  <r>
    <x v="0"/>
    <s v="CRM-639"/>
    <x v="5"/>
    <s v="KEP İK Kullanıcı Yönetim Modülü Entegrasyonu"/>
    <x v="0"/>
    <s v="In Test"/>
    <x v="1"/>
    <s v="Gelecek Sprint"/>
    <x v="1"/>
    <n v="5"/>
  </r>
  <r>
    <x v="0"/>
    <s v="CRM-638"/>
    <x v="1"/>
    <s v="Entegrasyon üzerinden gelen başvuruların statü güncellenmesi"/>
    <x v="0"/>
    <e v="#N/A"/>
    <x v="0"/>
    <s v="-"/>
    <x v="0"/>
    <n v="3"/>
  </r>
  <r>
    <x v="0"/>
    <s v="CRM-637"/>
    <x v="6"/>
    <s v="Entegrasyon servisinden KEP hesap başvurusunun iptal edilmesi"/>
    <x v="0"/>
    <e v="#N/A"/>
    <x v="0"/>
    <s v="-"/>
    <x v="0"/>
    <n v="3"/>
  </r>
  <r>
    <x v="0"/>
    <s v="CRM-636"/>
    <x v="6"/>
    <s v="KEP İK Özlük Modülü CRM Entegrasyonu"/>
    <x v="0"/>
    <e v="#N/A"/>
    <x v="0"/>
    <s v="-"/>
    <x v="0"/>
    <n v="5"/>
  </r>
  <r>
    <x v="0"/>
    <s v="CRM-633"/>
    <x v="1"/>
    <s v="E-Ödeme için Tutar alanının güncellenmesi"/>
    <x v="0"/>
    <e v="#N/A"/>
    <x v="0"/>
    <s v="-"/>
    <x v="0"/>
    <n v="2"/>
  </r>
  <r>
    <x v="1"/>
    <s v="CRM-632"/>
    <x v="1"/>
    <s v="Sipariş detayında aktif temsilci bilgisi gelmemesi"/>
    <x v="0"/>
    <e v="#N/A"/>
    <x v="0"/>
    <s v="-"/>
    <x v="0"/>
    <n v="1"/>
  </r>
  <r>
    <x v="0"/>
    <s v="IEU-218"/>
    <x v="1"/>
    <s v="HSM ile İmzalama Metotlarında Slot Bilgisinin Parametre Olarak Eklenmesi  "/>
    <x v="5"/>
    <e v="#N/A"/>
    <x v="0"/>
    <s v="-"/>
    <x v="0"/>
    <n v="5"/>
  </r>
  <r>
    <x v="0"/>
    <s v="IEU-217"/>
    <x v="1"/>
    <s v="HSM Üzerinde Tanımlı Olan Sertifikaları Listeleyen token Metodu Geliştirmesi"/>
    <x v="5"/>
    <e v="#N/A"/>
    <x v="0"/>
    <s v="-"/>
    <x v="0"/>
    <n v="3"/>
  </r>
  <r>
    <x v="0"/>
    <s v="MYS-776"/>
    <x v="1"/>
    <s v="Güncelleme Paketi Hazırlanması"/>
    <x v="12"/>
    <e v="#N/A"/>
    <x v="0"/>
    <s v="-"/>
    <x v="0"/>
    <n v="2"/>
  </r>
  <r>
    <x v="0"/>
    <s v="MU-101"/>
    <x v="1"/>
    <s v="KEP İmzalama Adımında Telefon Numarası Girişinin Pratik Hale Getirilmesi"/>
    <x v="9"/>
    <e v="#N/A"/>
    <x v="0"/>
    <s v="-"/>
    <x v="0"/>
    <n v="5"/>
  </r>
  <r>
    <x v="0"/>
    <s v="MU-100"/>
    <x v="0"/>
    <s v="Giden Kutusunda “Teslim Edilemedi” ve “Reddedildi” Delil Türleri İçin Sebep Açıklaması Gösterimi"/>
    <x v="9"/>
    <e v="#N/A"/>
    <x v="0"/>
    <s v="-"/>
    <x v="0"/>
    <m/>
  </r>
  <r>
    <x v="0"/>
    <s v="MU-99"/>
    <x v="1"/>
    <s v="Posta Kutularında Kaydırma Konumunu Gösteren Scroll Çubuğu Eklenmesi"/>
    <x v="9"/>
    <e v="#N/A"/>
    <x v="0"/>
    <s v="-"/>
    <x v="0"/>
    <n v="3"/>
  </r>
  <r>
    <x v="0"/>
    <s v="MU-98"/>
    <x v="1"/>
    <s v="Uygulama Genelindeki Diyalog (Pop-up) Tasarımlarının Modernize Edilmesi"/>
    <x v="9"/>
    <e v="#N/A"/>
    <x v="0"/>
    <s v="-"/>
    <x v="0"/>
    <n v="5"/>
  </r>
  <r>
    <x v="0"/>
    <s v="MU-97"/>
    <x v="1"/>
    <s v="Login Ekranında KEP Adresi Listeleme Alanının Modernize Edilmesi"/>
    <x v="9"/>
    <e v="#N/A"/>
    <x v="0"/>
    <s v="-"/>
    <x v="0"/>
    <n v="3"/>
  </r>
  <r>
    <x v="0"/>
    <s v="MU-96"/>
    <x v="1"/>
    <s v="Ek Dosya Açılış Sürecinde Kullanıcıya Yönelik Geri Bildirim Eksikliği"/>
    <x v="9"/>
    <e v="#N/A"/>
    <x v="0"/>
    <s v="-"/>
    <x v="0"/>
    <n v="3"/>
  </r>
  <r>
    <x v="0"/>
    <s v="MU-95"/>
    <x v="0"/>
    <s v="Yüksek Boyutlu İletilerinin Açılma Süresinin İyileştirilmesi"/>
    <x v="9"/>
    <e v="#N/A"/>
    <x v="0"/>
    <s v="-"/>
    <x v="0"/>
    <n v="5"/>
  </r>
  <r>
    <x v="1"/>
    <s v="MU-94"/>
    <x v="1"/>
    <s v="rem-address-is-active metodunda sender Parametresinin Tutarsız Değer Döndürmesi "/>
    <x v="9"/>
    <e v="#N/A"/>
    <x v="0"/>
    <s v="-"/>
    <x v="0"/>
    <n v="3"/>
  </r>
  <r>
    <x v="1"/>
    <s v="MU-93"/>
    <x v="1"/>
    <s v="Biometrik Doğrulama ile Giriş Süresinin Artması (v2.0.15 (1) Paketi)"/>
    <x v="9"/>
    <e v="#N/A"/>
    <x v="0"/>
    <s v="-"/>
    <x v="0"/>
    <n v="3"/>
  </r>
  <r>
    <x v="1"/>
    <s v="MU-92"/>
    <x v="1"/>
    <s v="Manuel Açılan Posta Kutularının Görüntülenme ve İsimlendirme Sorunu"/>
    <x v="9"/>
    <e v="#N/A"/>
    <x v="0"/>
    <s v="-"/>
    <x v="0"/>
    <n v="3"/>
  </r>
  <r>
    <x v="1"/>
    <s v="MU-91"/>
    <x v="1"/>
    <s v="Uyarı Diyaloglarındaki Yönlendirme Hatalarının Düzenlenmesi"/>
    <x v="9"/>
    <e v="#N/A"/>
    <x v="0"/>
    <s v="-"/>
    <x v="0"/>
    <n v="2"/>
  </r>
  <r>
    <x v="1"/>
    <s v="MU-90"/>
    <x v="1"/>
    <s v="Hatalı Geçici Parola Girişi Durumunda Yanıltıcı Uyarı Mesajı Gösterimi"/>
    <x v="9"/>
    <e v="#N/A"/>
    <x v="0"/>
    <s v="-"/>
    <x v="0"/>
    <n v="1"/>
  </r>
  <r>
    <x v="0"/>
    <s v="MU-89"/>
    <x v="0"/>
    <s v="Merkezi KEP Rehberi Sorgulamasının Yapılması"/>
    <x v="9"/>
    <e v="#N/A"/>
    <x v="0"/>
    <s v="-"/>
    <x v="0"/>
    <m/>
  </r>
  <r>
    <x v="1"/>
    <s v="MU-88"/>
    <x v="1"/>
    <s v="Alt Menüdeki 'Gelen Kutusu' ve 'Giden Kutusu' Butonlarına Çoklu Tıklama Sorunu"/>
    <x v="9"/>
    <e v="#N/A"/>
    <x v="0"/>
    <s v="-"/>
    <x v="0"/>
    <n v="2"/>
  </r>
  <r>
    <x v="1"/>
    <s v="MU-87"/>
    <x v="1"/>
    <s v="Posta Kutusu Görüntüleme Sonrası Liste Konumunun Korunması"/>
    <x v="9"/>
    <e v="#N/A"/>
    <x v="0"/>
    <s v="-"/>
    <x v="0"/>
    <n v="3"/>
  </r>
  <r>
    <x v="0"/>
    <s v="MU-86"/>
    <x v="0"/>
    <s v="Webmail Adres Defterinin Mobil Uygulamada Eşzamanlı Kullanılması"/>
    <x v="9"/>
    <e v="#N/A"/>
    <x v="0"/>
    <s v="-"/>
    <x v="0"/>
    <m/>
  </r>
  <r>
    <x v="0"/>
    <s v="MU-85"/>
    <x v="0"/>
    <s v="Posta Kutularındaki İletiler İçin &quot;Yanıtla&quot;, &quot;İlet&quot; ve &quot;Sil&quot; İşlevlerinin Sağlanması "/>
    <x v="9"/>
    <e v="#N/A"/>
    <x v="0"/>
    <s v="-"/>
    <x v="0"/>
    <m/>
  </r>
  <r>
    <x v="1"/>
    <s v="MU-84"/>
    <x v="1"/>
    <s v="Hatalı TCKN veya Şifre Girişinde Kullanıcı Uyarısının Güncellenmesi"/>
    <x v="9"/>
    <e v="#N/A"/>
    <x v="0"/>
    <s v="-"/>
    <x v="0"/>
    <n v="1"/>
  </r>
  <r>
    <x v="1"/>
    <s v="MU-83"/>
    <x v="1"/>
    <s v="KEP Gönderim Ekranında İletinin Gönderimi Sırasında Paket İçeriğine Müdahalenin Engellenmesi"/>
    <x v="9"/>
    <e v="#N/A"/>
    <x v="0"/>
    <s v="-"/>
    <x v="0"/>
    <n v="3"/>
  </r>
  <r>
    <x v="1"/>
    <s v="MU-82"/>
    <x v="1"/>
    <s v="KEP Başvuru Girişi Sonrası Ana Sayfaya Dönüş Sorununun Giderilmesi"/>
    <x v="9"/>
    <e v="#N/A"/>
    <x v="0"/>
    <s v="-"/>
    <x v="0"/>
    <n v="1"/>
  </r>
  <r>
    <x v="0"/>
    <s v="MU-81"/>
    <x v="1"/>
    <s v="KEP İletisi Gönderim Ekranında Alıcı Adresi Doğrulama Kontrolü"/>
    <x v="9"/>
    <e v="#N/A"/>
    <x v="0"/>
    <s v="-"/>
    <x v="0"/>
    <n v="3"/>
  </r>
  <r>
    <x v="1"/>
    <s v="MU-80"/>
    <x v="1"/>
    <s v="İleti Arama Filtreleme Arayüzü Düzenlemesi"/>
    <x v="9"/>
    <e v="#N/A"/>
    <x v="0"/>
    <s v="-"/>
    <x v="0"/>
    <n v="5"/>
  </r>
  <r>
    <x v="1"/>
    <s v="MU-78"/>
    <x v="1"/>
    <s v="Şifre sıfırlama sonrası giriş ekranında etkileşim problemi"/>
    <x v="9"/>
    <e v="#N/A"/>
    <x v="0"/>
    <s v="-"/>
    <x v="0"/>
    <n v="3"/>
  </r>
  <r>
    <x v="1"/>
    <s v="MU-77"/>
    <x v="1"/>
    <s v="Canlı ve Test Ortamında Ulaşılamayan Mobil Servislerin Erişilebilirliğinin Sağlanması"/>
    <x v="9"/>
    <e v="#N/A"/>
    <x v="0"/>
    <s v="-"/>
    <x v="0"/>
    <m/>
  </r>
  <r>
    <x v="1"/>
    <s v="MU-76"/>
    <x v="1"/>
    <s v="Giden Kutusundan Görüntülenen Mesajlarda 'Geri' Tuşunun Yanlış Ekrana Yönlendirmesi"/>
    <x v="9"/>
    <e v="#N/A"/>
    <x v="0"/>
    <s v="-"/>
    <x v="0"/>
    <m/>
  </r>
  <r>
    <x v="1"/>
    <s v="MU-73"/>
    <x v="1"/>
    <s v="Posta Kutuları Tasarımsal Düzenleme Hk."/>
    <x v="9"/>
    <e v="#N/A"/>
    <x v="0"/>
    <s v="-"/>
    <x v="0"/>
    <m/>
  </r>
  <r>
    <x v="0"/>
    <s v="KEP-299"/>
    <x v="1"/>
    <s v="/ws/evidencelistbyorigmsgid Metodunda Tarih Bilgisinin Dönülmesi"/>
    <x v="7"/>
    <e v="#N/A"/>
    <x v="0"/>
    <s v="-"/>
    <x v="0"/>
    <m/>
  </r>
  <r>
    <x v="0"/>
    <s v="KEP-298"/>
    <x v="1"/>
    <s v="Hesapta Tanımlı Olandan Farklı Bir Telefon Numarası ile Mobil İmzalama Yapılabilmesi "/>
    <x v="7"/>
    <e v="#N/A"/>
    <x v="0"/>
    <s v="-"/>
    <x v="0"/>
    <m/>
  </r>
  <r>
    <x v="0"/>
    <s v="KEP-296"/>
    <x v="0"/>
    <s v="MKR Sorgusunda Bulunamayan KEP Adresleri için Anlaşılır Uyarı Gösterilmesi"/>
    <x v="7"/>
    <e v="#N/A"/>
    <x v="0"/>
    <s v="-"/>
    <x v="0"/>
    <m/>
  </r>
  <r>
    <x v="0"/>
    <s v="DAVS-35"/>
    <x v="0"/>
    <s v="Sisteme Giriş Loglarının Tutulması"/>
    <x v="18"/>
    <e v="#N/A"/>
    <x v="0"/>
    <s v="-"/>
    <x v="0"/>
    <m/>
  </r>
  <r>
    <x v="0"/>
    <s v="DAVS-34"/>
    <x v="1"/>
    <s v="Alternatif Giriş Yöntemleri/ Elektronik İmza "/>
    <x v="18"/>
    <e v="#N/A"/>
    <x v="0"/>
    <s v="-"/>
    <x v="0"/>
    <m/>
  </r>
  <r>
    <x v="0"/>
    <s v="DAVS-33"/>
    <x v="0"/>
    <s v="Alternatif Giriş Yöntemleri/Mobil İmza"/>
    <x v="18"/>
    <e v="#N/A"/>
    <x v="0"/>
    <s v="-"/>
    <x v="0"/>
    <m/>
  </r>
  <r>
    <x v="0"/>
    <s v="DAVS-32"/>
    <x v="1"/>
    <s v="Kullanıcıların e-Posta/ TCKN ve Parola Bilgisi ile Portala Giriş Yapabilmesi."/>
    <x v="18"/>
    <e v="#N/A"/>
    <x v="0"/>
    <s v="-"/>
    <x v="0"/>
    <m/>
  </r>
  <r>
    <x v="0"/>
    <s v="CRM-642"/>
    <x v="1"/>
    <s v="Entegrasyon Suit trafik bilgilerinin kaydedilmesi"/>
    <x v="0"/>
    <e v="#N/A"/>
    <x v="0"/>
    <s v="-"/>
    <x v="0"/>
    <n v="3"/>
  </r>
  <r>
    <x v="0"/>
    <s v="EFT-2208"/>
    <x v="1"/>
    <s v="SAP - Gelen İrsaliyeleri İndir (UUID) Metodunun Sağlanması"/>
    <x v="4"/>
    <e v="#N/A"/>
    <x v="0"/>
    <s v="-"/>
    <x v="0"/>
    <n v="2"/>
  </r>
  <r>
    <x v="0"/>
    <s v="EFT-2207"/>
    <x v="1"/>
    <s v="SAP - Gelen İrsaliyeleri İndir (ZIP UBL) Metodunun Sağlanması"/>
    <x v="4"/>
    <e v="#N/A"/>
    <x v="0"/>
    <s v="-"/>
    <x v="0"/>
    <n v="2"/>
  </r>
  <r>
    <x v="0"/>
    <s v="EFT-2206"/>
    <x v="1"/>
    <s v="SAP - Gelen İrsaliyeleri Listeleyen Metot Sağlanması"/>
    <x v="4"/>
    <e v="#N/A"/>
    <x v="0"/>
    <s v="-"/>
    <x v="0"/>
    <n v="2"/>
  </r>
  <r>
    <x v="0"/>
    <s v="CRM-649"/>
    <x v="6"/>
    <s v="E-Fatura ve E-Arşiv Ürünleri Trafik Bilgileri Detay Görünüm"/>
    <x v="0"/>
    <s v="TO TEST"/>
    <x v="1"/>
    <s v="Gelecek Sprint"/>
    <x v="1"/>
    <n v="3"/>
  </r>
  <r>
    <x v="0"/>
    <s v="CRM-650"/>
    <x v="1"/>
    <s v="Tevkifatlı Fatura Sınırı Güncelleme"/>
    <x v="0"/>
    <e v="#N/A"/>
    <x v="0"/>
    <s v="-"/>
    <x v="0"/>
    <n v="1"/>
  </r>
  <r>
    <x v="1"/>
    <s v="WIK-689"/>
    <x v="1"/>
    <s v="Özlük Belgeleri KVKK Aydınlatma Metinin İçerisinde Ünvanın Sayfa İçerisine Sığmaması"/>
    <x v="16"/>
    <e v="#N/A"/>
    <x v="0"/>
    <s v="-"/>
    <x v="0"/>
    <n v="2"/>
  </r>
  <r>
    <x v="1"/>
    <s v="MU-105"/>
    <x v="1"/>
    <s v="Mobil Uygulamada Cihaz Ekran Boyutlarına Göre Görsel Oran Uyumsuzluklarının Düzenlenmesi"/>
    <x v="9"/>
    <e v="#N/A"/>
    <x v="0"/>
    <s v="-"/>
    <x v="0"/>
    <n v="5"/>
  </r>
  <r>
    <x v="1"/>
    <s v="MU-104"/>
    <x v="1"/>
    <s v="Kurumsal Ön Başvuru Belge Yükleme Alanında Dosya Format Kontrolü ve Galeri Erişimi"/>
    <x v="9"/>
    <e v="#N/A"/>
    <x v="0"/>
    <s v="-"/>
    <x v="0"/>
    <n v="5"/>
  </r>
  <r>
    <x v="1"/>
    <s v="MU-103"/>
    <x v="1"/>
    <s v="Kurumsal Ön Başvuru Belge Yükleme Alanında Yüklenen Belgelerin Anlık Görüntülenmemesi"/>
    <x v="9"/>
    <e v="#N/A"/>
    <x v="0"/>
    <s v="-"/>
    <x v="0"/>
    <n v="3"/>
  </r>
  <r>
    <x v="1"/>
    <s v="MU-102"/>
    <x v="1"/>
    <s v="Ön Başvuru Onaylama Sayfasında Tekrarlı Gönderimlerin Engellenmesi"/>
    <x v="9"/>
    <e v="#N/A"/>
    <x v="0"/>
    <s v="-"/>
    <x v="0"/>
    <n v="3"/>
  </r>
  <r>
    <x v="1"/>
    <s v="KW-8"/>
    <x v="1"/>
    <s v="rem-address-is-active Metodunda &quot;hesapDurum&quot; Değerinin Düzeltilmesi"/>
    <x v="8"/>
    <e v="#N/A"/>
    <x v="0"/>
    <s v="-"/>
    <x v="0"/>
    <n v="3"/>
  </r>
  <r>
    <x v="1"/>
    <s v="TIM-450"/>
    <x v="1"/>
    <s v="Onaylama Adımından Sonra Karekod Doğrulama Kodunun Gelmemesi"/>
    <x v="13"/>
    <e v="#N/A"/>
    <x v="0"/>
    <s v="-"/>
    <x v="0"/>
    <n v="3"/>
  </r>
  <r>
    <x v="1"/>
    <s v="MU-108"/>
    <x v="1"/>
    <s v="Okunmamış İletilerin Okundu Olarak İşaretlenmesi Gerçek Zamanlı Güncellenmiyor"/>
    <x v="9"/>
    <e v="#N/A"/>
    <x v="0"/>
    <s v="-"/>
    <x v="0"/>
    <n v="3"/>
  </r>
  <r>
    <x v="1"/>
    <s v="MU-107"/>
    <x v="1"/>
    <s v="Login İşleminde API 500 Hatası Alındığında Anlaşılır Hata Bildirimi Gösterilmiyor"/>
    <x v="9"/>
    <e v="#N/A"/>
    <x v="0"/>
    <s v="-"/>
    <x v="0"/>
    <n v="2"/>
  </r>
  <r>
    <x v="1"/>
    <s v="KA-1514"/>
    <x v="1"/>
    <s v="Taslaklardan EYP eki silerken alınan hata"/>
    <x v="6"/>
    <e v="#N/A"/>
    <x v="0"/>
    <s v="-"/>
    <x v="0"/>
    <n v="3"/>
  </r>
  <r>
    <x v="0"/>
    <s v="EFT-2213"/>
    <x v="1"/>
    <s v="e-İrsaliye SAP Metotları Test Sürecini Kolaylaştıran Uygulamanın Yazılması"/>
    <x v="4"/>
    <e v="#N/A"/>
    <x v="0"/>
    <s v="-"/>
    <x v="0"/>
    <n v="3"/>
  </r>
  <r>
    <x v="0"/>
    <s v="EFT-2205"/>
    <x v="1"/>
    <s v="İlaç Tıbbi Cihaz Teslimlerine İlişkin Fatura Teknik Kılavuzu 1.2 Sürümü Değişiklikleri "/>
    <x v="4"/>
    <e v="#N/A"/>
    <x v="0"/>
    <s v="-"/>
    <x v="0"/>
    <n v="1"/>
  </r>
  <r>
    <x v="0"/>
    <s v="EDF-771"/>
    <x v="1"/>
    <s v="Ayyıldız İmza Şematron Sorunu Çözüm Araştırması"/>
    <x v="3"/>
    <e v="#N/A"/>
    <x v="0"/>
    <s v="-"/>
    <x v="0"/>
    <n v="2"/>
  </r>
  <r>
    <x v="0"/>
    <s v="DAVS-47"/>
    <x v="1"/>
    <s v="&quot;Giden e-İrsaliye Faturalar&quot;ın Listelenmesi"/>
    <x v="18"/>
    <e v="#N/A"/>
    <x v="0"/>
    <s v="-"/>
    <x v="0"/>
    <m/>
  </r>
  <r>
    <x v="0"/>
    <s v="DAVS-46"/>
    <x v="1"/>
    <s v="&quot;Gelen e-İrsaliye Faturalar&quot;ın Listelenmesi"/>
    <x v="18"/>
    <e v="#N/A"/>
    <x v="0"/>
    <s v="-"/>
    <x v="0"/>
    <m/>
  </r>
  <r>
    <x v="0"/>
    <s v="DAVS-45"/>
    <x v="1"/>
    <s v="&quot;Gönderilen e-Arşiv Faturaların&quot; Listelenmesi."/>
    <x v="18"/>
    <e v="#N/A"/>
    <x v="0"/>
    <s v="-"/>
    <x v="0"/>
    <m/>
  </r>
  <r>
    <x v="0"/>
    <s v="DAVS-44"/>
    <x v="1"/>
    <s v="Fatura Uygulamasından Gelen, Giden ve E-arşiv Faturaların Saklama Uygulamasına Aktarılması için Entegrasyon Servisi Geliştirilmesi"/>
    <x v="18"/>
    <e v="#N/A"/>
    <x v="0"/>
    <s v="-"/>
    <x v="0"/>
    <m/>
  </r>
  <r>
    <x v="0"/>
    <s v="DAVS-43"/>
    <x v="1"/>
    <s v="&quot;Giden Faturalar” ların Listelenmesi"/>
    <x v="18"/>
    <e v="#N/A"/>
    <x v="0"/>
    <s v="-"/>
    <x v="0"/>
    <m/>
  </r>
  <r>
    <x v="0"/>
    <s v="DAVS-42"/>
    <x v="1"/>
    <s v="&quot;Gelen Faturalar” ların Listelenmesi"/>
    <x v="18"/>
    <e v="#N/A"/>
    <x v="0"/>
    <s v="-"/>
    <x v="0"/>
    <m/>
  </r>
  <r>
    <x v="0"/>
    <s v="DAVS-41"/>
    <x v="0"/>
    <s v="Gelişmiş Filtreleme Alanlarının Eklenmesi"/>
    <x v="18"/>
    <s v="To Do"/>
    <x v="0"/>
    <s v="-"/>
    <x v="0"/>
    <m/>
  </r>
  <r>
    <x v="0"/>
    <s v="DAVS-40"/>
    <x v="1"/>
    <s v="KEP Uygulamasından Verilerin Alınarak Saklama Uygulamasına Aktarılması için Entegrasyon Servisi Geliştirilmesi"/>
    <x v="18"/>
    <e v="#N/A"/>
    <x v="0"/>
    <s v="-"/>
    <x v="0"/>
    <m/>
  </r>
  <r>
    <x v="0"/>
    <s v="DAVS-39"/>
    <x v="1"/>
    <s v="Birden Fazla KEP Hesabı Olan Kullanıcının Hesap Seçimi Yapabilmesi ve İlk Adımda Seçim Zorunluluğu"/>
    <x v="18"/>
    <e v="#N/A"/>
    <x v="0"/>
    <s v="-"/>
    <x v="0"/>
    <m/>
  </r>
  <r>
    <x v="0"/>
    <s v="DAVS-38"/>
    <x v="1"/>
    <s v="&quot;Delil&quot;lerin Listelenmesi"/>
    <x v="18"/>
    <e v="#N/A"/>
    <x v="0"/>
    <s v="-"/>
    <x v="0"/>
    <m/>
  </r>
  <r>
    <x v="0"/>
    <s v="DAVS-37"/>
    <x v="1"/>
    <s v="&quot;Giden İletiler&quot;in Listelenmesi"/>
    <x v="18"/>
    <e v="#N/A"/>
    <x v="0"/>
    <s v="-"/>
    <x v="0"/>
    <m/>
  </r>
  <r>
    <x v="0"/>
    <s v="DAVS-36"/>
    <x v="1"/>
    <s v="&quot;Gelen İletiler&quot;in Listelenmesi "/>
    <x v="18"/>
    <e v="#N/A"/>
    <x v="0"/>
    <s v="-"/>
    <x v="0"/>
    <m/>
  </r>
  <r>
    <x v="0"/>
    <s v="CRM-654"/>
    <x v="1"/>
    <s v="E-Defter Uygulamasına Organizasyon ID ve Periyod Bilgisi Gönderimi"/>
    <x v="0"/>
    <e v="#N/A"/>
    <x v="0"/>
    <s v="-"/>
    <x v="0"/>
    <n v="3"/>
  </r>
  <r>
    <x v="0"/>
    <s v="CRM-653"/>
    <x v="1"/>
    <s v="E-Belge Ürünleri için Açılan Görev Kayıtlarının Düzenlenmesi"/>
    <x v="0"/>
    <e v="#N/A"/>
    <x v="0"/>
    <s v="-"/>
    <x v="0"/>
    <n v="3"/>
  </r>
  <r>
    <x v="1"/>
    <s v="MYS-779"/>
    <x v="1"/>
    <s v="Basılı İletilerde Açıklama Alanında Karakter Sınırı Aşıldığında Uygun Uyarı Mesajı Gösterilmemesi"/>
    <x v="12"/>
    <e v="#N/A"/>
    <x v="0"/>
    <s v="-"/>
    <x v="0"/>
    <n v="2"/>
  </r>
  <r>
    <x v="1"/>
    <s v="MU-114"/>
    <x v="1"/>
    <s v="Ön Başvuru Geri Dönüş Akışında 'Doğrulama Kodu Gönder' Butonu Pasif Kalıyor"/>
    <x v="9"/>
    <e v="#N/A"/>
    <x v="0"/>
    <s v="-"/>
    <x v="0"/>
    <n v="2"/>
  </r>
  <r>
    <x v="1"/>
    <s v="MU-113"/>
    <x v="1"/>
    <s v="Ön başvuru Onay Giriş İşleminde API 500 Hatası Alındığında Anlaşılır Hata Bildirimi Gösterilmiyor"/>
    <x v="9"/>
    <e v="#N/A"/>
    <x v="0"/>
    <s v="-"/>
    <x v="0"/>
    <n v="2"/>
  </r>
  <r>
    <x v="1"/>
    <s v="MU-112"/>
    <x v="1"/>
    <s v="Kep İletisi Gönderiminde Parmak İzi Numarasının Kullanıcı Arayüzünde Görüntülenmemesi"/>
    <x v="9"/>
    <e v="#N/A"/>
    <x v="0"/>
    <s v="-"/>
    <x v="0"/>
    <n v="2"/>
  </r>
  <r>
    <x v="0"/>
    <s v="MU-111"/>
    <x v="1"/>
    <s v="Android Target SDK Versiyonunun 35'e Güncellenmesi"/>
    <x v="9"/>
    <e v="#N/A"/>
    <x v="0"/>
    <s v="-"/>
    <x v="0"/>
    <n v="8"/>
  </r>
  <r>
    <x v="0"/>
    <s v="IEU-229"/>
    <x v="1"/>
    <s v="Yük Testi Süreçlerinin Gözden Geçirilmesi "/>
    <x v="5"/>
    <e v="#N/A"/>
    <x v="0"/>
    <s v="-"/>
    <x v="0"/>
    <n v="3"/>
  </r>
  <r>
    <x v="0"/>
    <s v="IEU-228"/>
    <x v="1"/>
    <s v=" Entegrasyon Suit Servisleri İçin Müşteriye Sunulabilir Standart Metot Dokümanının Oluşturulması"/>
    <x v="5"/>
    <e v="#N/A"/>
    <x v="0"/>
    <s v="-"/>
    <x v="0"/>
    <n v="3"/>
  </r>
  <r>
    <x v="0"/>
    <s v="IEU-227"/>
    <x v="1"/>
    <s v="Araştırma-  api/v1/sign/multi Metodunun Lisans ve Access Token Kontrolleri Açısından İncelenmesi"/>
    <x v="5"/>
    <e v="#N/A"/>
    <x v="0"/>
    <s v="-"/>
    <x v="0"/>
    <n v="3"/>
  </r>
  <r>
    <x v="0"/>
    <s v="CRM-655"/>
    <x v="1"/>
    <s v="E-İrsaliye Ürünü Maliyet Raporu Güncellenmesi"/>
    <x v="0"/>
    <e v="#N/A"/>
    <x v="0"/>
    <s v="-"/>
    <x v="0"/>
    <n v="1"/>
  </r>
  <r>
    <x v="0"/>
    <s v="CRM-656"/>
    <x v="1"/>
    <s v="Sözleşmeler Modülünde Trafik Bilgileri Alanı Gönderi Bilgisi Getir Butonu"/>
    <x v="0"/>
    <e v="#N/A"/>
    <x v="0"/>
    <s v="-"/>
    <x v="0"/>
    <n v="1"/>
  </r>
  <r>
    <x v="0"/>
    <s v="CRM-657"/>
    <x v="1"/>
    <s v="SuggestKEP Metoduna Parametre Eklenmesi"/>
    <x v="0"/>
    <e v="#N/A"/>
    <x v="0"/>
    <s v="-"/>
    <x v="0"/>
    <n v="1"/>
  </r>
  <r>
    <x v="0"/>
    <s v="CRM-658"/>
    <x v="1"/>
    <s v="İptal Durumdaki KEP Adresinin Tekrar Aktif Edilmesi"/>
    <x v="0"/>
    <e v="#N/A"/>
    <x v="0"/>
    <s v="-"/>
    <x v="0"/>
    <n v="5"/>
  </r>
  <r>
    <x v="1"/>
    <s v="EFT-2215"/>
    <x v="1"/>
    <s v="Default İrsaliye Tasarımının Yeni Dinamik Kalem Destekli Şablon ile Güncellenmesi"/>
    <x v="4"/>
    <e v="#N/A"/>
    <x v="0"/>
    <s v="-"/>
    <x v="0"/>
    <n v="5"/>
  </r>
  <r>
    <x v="1"/>
    <s v="EFT-2214"/>
    <x v="1"/>
    <s v="Yolcu Beraber Fatura Senaryosunda KDV Alanının Açılması ve Vergi Muafiyet Kodunun Düzenlenmesi"/>
    <x v="4"/>
    <e v="#N/A"/>
    <x v="0"/>
    <s v="-"/>
    <x v="0"/>
    <n v="2"/>
  </r>
  <r>
    <x v="0"/>
    <s v="WIK-692"/>
    <x v="1"/>
    <s v="Araştırma- Bir Çalışan İçin Birden Fazla Sayfa İçeren PDF Yüklendiğinde Tümünün Tek İleti İle Gönderilebilmesi"/>
    <x v="16"/>
    <e v="#N/A"/>
    <x v="0"/>
    <s v="-"/>
    <x v="0"/>
    <n v="2"/>
  </r>
  <r>
    <x v="0"/>
    <s v="WIK-693"/>
    <x v="1"/>
    <s v="Özlük Belgesi Yükleme Mailin Domain İsim Değişikliği"/>
    <x v="16"/>
    <e v="#N/A"/>
    <x v="0"/>
    <s v="-"/>
    <x v="0"/>
    <n v="2"/>
  </r>
  <r>
    <x v="1"/>
    <s v="MU-117"/>
    <x v="1"/>
    <s v="KEP Ön Başvuru Giriş Uyarı Mesajlarının Tasarıma Uygun Hale Getirilmesi"/>
    <x v="9"/>
    <e v="#N/A"/>
    <x v="0"/>
    <s v="-"/>
    <x v="0"/>
    <n v="2"/>
  </r>
  <r>
    <x v="0"/>
    <s v="MU-116"/>
    <x v="1"/>
    <s v="Bildirim Servisinin İncelenmesi ve Sistem Dokumantasyonu Hazırlanması"/>
    <x v="9"/>
    <e v="#N/A"/>
    <x v="0"/>
    <s v="-"/>
    <x v="0"/>
    <n v="5"/>
  </r>
  <r>
    <x v="1"/>
    <s v="MU-109"/>
    <x v="1"/>
    <s v="Drawer Menü Tasarımı ve Kullanılabilirliği Düzenleme"/>
    <x v="9"/>
    <e v="#N/A"/>
    <x v="0"/>
    <s v="-"/>
    <x v="0"/>
    <n v="3"/>
  </r>
  <r>
    <x v="1"/>
    <s v="IEU-233"/>
    <x v="1"/>
    <s v="tkiletisimbilgisi Parametresinin Swagger Sayfasında Hatalı İsimlendirilmesi"/>
    <x v="5"/>
    <e v="#N/A"/>
    <x v="0"/>
    <s v="-"/>
    <x v="0"/>
    <n v="2"/>
  </r>
  <r>
    <x v="0"/>
    <s v="CRM-663"/>
    <x v="1"/>
    <s v="E-Defter Uygulamasına Tüm Organizasyon ID ve Periyod Bilgisi Gönderimi"/>
    <x v="0"/>
    <e v="#N/A"/>
    <x v="0"/>
    <s v="-"/>
    <x v="0"/>
    <n v="5"/>
  </r>
  <r>
    <x v="0"/>
    <s v="WIK-696"/>
    <x v="1"/>
    <s v="Test Robot Ortamının Kurulması"/>
    <x v="16"/>
    <e v="#N/A"/>
    <x v="0"/>
    <s v="-"/>
    <x v="0"/>
    <n v="3"/>
  </r>
  <r>
    <x v="0"/>
    <s v="TIM-451"/>
    <x v="1"/>
    <s v="Türkkep İmza- Zaman Damgası Değişikliği"/>
    <x v="13"/>
    <e v="#N/A"/>
    <x v="0"/>
    <s v="-"/>
    <x v="0"/>
    <n v="1"/>
  </r>
  <r>
    <x v="1"/>
    <s v="MYS-785"/>
    <x v="1"/>
    <s v="Toplu İşlemler Menüsünün Türkçeleştirilmesi"/>
    <x v="12"/>
    <e v="#N/A"/>
    <x v="0"/>
    <s v="-"/>
    <x v="0"/>
    <n v="1"/>
  </r>
  <r>
    <x v="0"/>
    <s v="MYS-782"/>
    <x v="1"/>
    <s v="KEP ve UETS Servislerinden Gelen İletilerde Takvimleme Mekanizması"/>
    <x v="12"/>
    <e v="#N/A"/>
    <x v="0"/>
    <s v="-"/>
    <x v="0"/>
    <n v="5"/>
  </r>
  <r>
    <x v="0"/>
    <s v="MU-120"/>
    <x v="1"/>
    <s v="Dil Seçim Menüsü için Animasyonlu Tasarım"/>
    <x v="9"/>
    <e v="#N/A"/>
    <x v="0"/>
    <s v="-"/>
    <x v="0"/>
    <n v="1"/>
  </r>
  <r>
    <x v="0"/>
    <s v="MU-119"/>
    <x v="1"/>
    <s v="Boş Posta Kutusu Durumu için Tasarım Değişikliği"/>
    <x v="9"/>
    <e v="#N/A"/>
    <x v="0"/>
    <s v="-"/>
    <x v="0"/>
    <n v="2"/>
  </r>
  <r>
    <x v="0"/>
    <s v="KA-1517"/>
    <x v="1"/>
    <s v="Gelen Kutusu ve Görevlerim Ekranlarına Toplu EYP/EML İndirme Butonu Eklenmesi"/>
    <x v="6"/>
    <e v="#N/A"/>
    <x v="0"/>
    <s v="-"/>
    <x v="0"/>
    <n v="3"/>
  </r>
  <r>
    <x v="0"/>
    <s v="CRM-661"/>
    <x v="1"/>
    <s v="Üst Yönetim Raporu - KEP İleti Sayılarının Detaylı Kırılımı"/>
    <x v="0"/>
    <e v="#N/A"/>
    <x v="0"/>
    <s v="-"/>
    <x v="0"/>
    <n v="5"/>
  </r>
  <r>
    <x v="0"/>
    <s v="CRM-662"/>
    <x v="1"/>
    <s v="Sözleşmeler - Trafik Bilgileri Ekranı Güncelleme"/>
    <x v="0"/>
    <e v="#N/A"/>
    <x v="0"/>
    <s v="-"/>
    <x v="0"/>
    <n v="1"/>
  </r>
  <r>
    <x v="0"/>
    <s v="CRM-664"/>
    <x v="1"/>
    <s v="E-Belge Başarısız Aktivasyon Raporunun İlgili Kişilere İletilmesi"/>
    <x v="0"/>
    <e v="#N/A"/>
    <x v="0"/>
    <s v="-"/>
    <x v="0"/>
    <n v="2"/>
  </r>
  <r>
    <x v="0"/>
    <s v="WIK-699"/>
    <x v="1"/>
    <s v="Duyuru Modülündeki Uyarı Metninin Güncellenmesi ve Tasarım Düzenlemesi"/>
    <x v="16"/>
    <e v="#N/A"/>
    <x v="0"/>
    <s v="-"/>
    <x v="0"/>
    <n v="1"/>
  </r>
  <r>
    <x v="0"/>
    <s v="WIK-697"/>
    <x v="1"/>
    <s v="Tüm &quot;Eminim&quot; Butonlarının &quot;Evet&quot; Olarak Güncellenmesi"/>
    <x v="16"/>
    <e v="#N/A"/>
    <x v="0"/>
    <s v="-"/>
    <x v="0"/>
    <n v="1"/>
  </r>
  <r>
    <x v="0"/>
    <s v="WIK-698"/>
    <x v="1"/>
    <s v="PIN Girişi Eksikliği ve E-İmza Bloke Durumunda Gösterilen Uyarı Mesajlarının Düzenlenmesi"/>
    <x v="16"/>
    <e v="#N/A"/>
    <x v="0"/>
    <s v="-"/>
    <x v="0"/>
    <n v="1"/>
  </r>
  <r>
    <x v="0"/>
    <s v="WIK-703"/>
    <x v="1"/>
    <s v="Birden Fazla TCKN Kontrolü Yapılması"/>
    <x v="16"/>
    <e v="#N/A"/>
    <x v="0"/>
    <s v="-"/>
    <x v="0"/>
    <n v="3"/>
  </r>
  <r>
    <x v="0"/>
    <s v="WIK-702"/>
    <x v="1"/>
    <s v="Yüklenen PDF te Sayfa Sayısı Kontrolü"/>
    <x v="16"/>
    <e v="#N/A"/>
    <x v="0"/>
    <s v="-"/>
    <x v="0"/>
    <n v="2"/>
  </r>
  <r>
    <x v="0"/>
    <s v="UKDS-163"/>
    <x v="1"/>
    <s v="Araştırma- UKDS Toplu Excel Alma İşlemleri için Kuyruk/Asenkron Yapı Önerisi"/>
    <x v="15"/>
    <e v="#N/A"/>
    <x v="0"/>
    <s v="-"/>
    <x v="0"/>
    <n v="3"/>
  </r>
  <r>
    <x v="0"/>
    <s v="WIK-704"/>
    <x v="1"/>
    <s v="Dosya Okunması ve Eşleştirilmesi"/>
    <x v="16"/>
    <e v="#N/A"/>
    <x v="0"/>
    <s v="-"/>
    <x v="0"/>
    <n v="5"/>
  </r>
  <r>
    <x v="0"/>
    <s v="WIK-701"/>
    <x v="1"/>
    <s v="Yükleme Ekranı Geliştirmesi"/>
    <x v="16"/>
    <e v="#N/A"/>
    <x v="0"/>
    <s v="-"/>
    <x v="0"/>
    <n v="3"/>
  </r>
  <r>
    <x v="0"/>
    <s v="WIK-700"/>
    <x v="0"/>
    <s v="Araştırma- DB Partitioning İşleminin Teknik Değerlendirilmesi"/>
    <x v="16"/>
    <e v="#N/A"/>
    <x v="0"/>
    <s v="-"/>
    <x v="0"/>
    <m/>
  </r>
  <r>
    <x v="1"/>
    <s v="TIM-452"/>
    <x v="1"/>
    <s v="Mobil İmzalama Adımında Türkçe Karakterli Kullanıcı Adı Sorunu Hk"/>
    <x v="13"/>
    <e v="#N/A"/>
    <x v="0"/>
    <s v="-"/>
    <x v="0"/>
    <m/>
  </r>
  <r>
    <x v="0"/>
    <s v="MU-110"/>
    <x v="1"/>
    <s v="KEP Açılış Ön Başvuru Ekranlarında Tasarımsal ve Kullanılabilirlik Sorunları"/>
    <x v="9"/>
    <e v="#N/A"/>
    <x v="0"/>
    <s v="-"/>
    <x v="0"/>
    <n v="5"/>
  </r>
  <r>
    <x v="0"/>
    <s v="EFT-2229"/>
    <x v="1"/>
    <s v="SAP WS Kılavuz Hazırlanması"/>
    <x v="4"/>
    <e v="#N/A"/>
    <x v="0"/>
    <s v="-"/>
    <x v="0"/>
    <n v="2"/>
  </r>
  <r>
    <x v="0"/>
    <s v="EFT-2227"/>
    <x v="1"/>
    <s v="Konnektör Mail Parametrelerinin OTAdmin ile Yönetilmesi"/>
    <x v="4"/>
    <e v="#N/A"/>
    <x v="0"/>
    <s v="-"/>
    <x v="0"/>
    <n v="3"/>
  </r>
  <r>
    <x v="0"/>
    <s v="EFT-2226"/>
    <x v="1"/>
    <s v="Smartcard Bilgilerinin Tutulduğu Tablodaki Verilerin CRM'e Aktarımı için Metot Hazırlanması"/>
    <x v="4"/>
    <e v="#N/A"/>
    <x v="0"/>
    <s v="-"/>
    <x v="0"/>
    <m/>
  </r>
  <r>
    <x v="0"/>
    <s v="EFT-2225"/>
    <x v="0"/>
    <s v="SmartCard Bilgilerinin Şifreli (Encrypted) Saklanması"/>
    <x v="4"/>
    <e v="#N/A"/>
    <x v="0"/>
    <s v="-"/>
    <x v="0"/>
    <m/>
  </r>
  <r>
    <x v="0"/>
    <s v="EFT-2223"/>
    <x v="1"/>
    <s v="9900 TL ve Üzeri Tutarlı Faturalar için Eklenen Kontrollerden TCKN &quot;11111111111&quot; ve Alıcı Adı/Soyadı &quot;Muhtelif Kullancılar&quot; Kontrollerinin Kaldırılması"/>
    <x v="4"/>
    <e v="#N/A"/>
    <x v="0"/>
    <s v="-"/>
    <x v="0"/>
    <n v="1"/>
  </r>
  <r>
    <x v="0"/>
    <s v="EFT-2218"/>
    <x v="1"/>
    <s v="Nihai Tüketici Kontrol Tutarının 9.900TL ve Üzeri Tutarlı Faturalar İçin Yapılması"/>
    <x v="4"/>
    <e v="#N/A"/>
    <x v="0"/>
    <s v="-"/>
    <x v="0"/>
    <n v="3"/>
  </r>
  <r>
    <x v="1"/>
    <s v="EFT-2217"/>
    <x v="1"/>
    <s v="Web Serviste e-Mail Hatalarının Düzelmesi için Regex Kontrolü"/>
    <x v="4"/>
    <e v="#N/A"/>
    <x v="0"/>
    <s v="-"/>
    <x v="0"/>
    <n v="2"/>
  </r>
  <r>
    <x v="0"/>
    <s v="EFT-2216"/>
    <x v="1"/>
    <s v="Projelerin GITLAB Platformuna Taşınması"/>
    <x v="4"/>
    <e v="#N/A"/>
    <x v="0"/>
    <s v="-"/>
    <x v="0"/>
    <n v="5"/>
  </r>
  <r>
    <x v="0"/>
    <s v="EDF-773"/>
    <x v="1"/>
    <s v="Araştırma - Tekrar Denemelerde Her Seferinde Aynı Hatayı Alan Parçaların Sistemin Defter İşlemlerini Aksatmasını Engellemesi"/>
    <x v="3"/>
    <e v="#N/A"/>
    <x v="0"/>
    <s v="-"/>
    <x v="0"/>
    <n v="2"/>
  </r>
  <r>
    <x v="0"/>
    <s v="DAVS-63"/>
    <x v="1"/>
    <s v="Backend Çalışması"/>
    <x v="18"/>
    <e v="#N/A"/>
    <x v="0"/>
    <s v="-"/>
    <x v="0"/>
    <m/>
  </r>
  <r>
    <x v="0"/>
    <s v="DAVS-62"/>
    <x v="1"/>
    <s v="Arayüz Ön Çalışma"/>
    <x v="18"/>
    <e v="#N/A"/>
    <x v="0"/>
    <s v="-"/>
    <x v="0"/>
    <m/>
  </r>
  <r>
    <x v="0"/>
    <s v="DAVS-61"/>
    <x v="1"/>
    <s v="Dokümanların Görüntülenmesi"/>
    <x v="18"/>
    <e v="#N/A"/>
    <x v="0"/>
    <s v="-"/>
    <x v="0"/>
    <m/>
  </r>
  <r>
    <x v="0"/>
    <s v="DAVS-60"/>
    <x v="1"/>
    <s v="Yeni Klasör Oluşturma"/>
    <x v="18"/>
    <e v="#N/A"/>
    <x v="0"/>
    <s v="-"/>
    <x v="0"/>
    <m/>
  </r>
  <r>
    <x v="0"/>
    <s v="DAVS-59"/>
    <x v="1"/>
    <s v="Yeni Doküman Ekleme"/>
    <x v="18"/>
    <e v="#N/A"/>
    <x v="0"/>
    <s v="-"/>
    <x v="0"/>
    <m/>
  </r>
  <r>
    <x v="0"/>
    <s v="DAVS-58"/>
    <x v="1"/>
    <s v="Sürükle-bırak Fonksiyonun Sağlanması"/>
    <x v="18"/>
    <e v="#N/A"/>
    <x v="0"/>
    <s v="-"/>
    <x v="0"/>
    <m/>
  </r>
  <r>
    <x v="0"/>
    <s v="DAVS-57"/>
    <x v="1"/>
    <s v="Klasör ve Dokümanların İndirilmesi"/>
    <x v="18"/>
    <e v="#N/A"/>
    <x v="0"/>
    <s v="-"/>
    <x v="0"/>
    <m/>
  </r>
  <r>
    <x v="0"/>
    <s v="DAVS-56"/>
    <x v="1"/>
    <s v="Klasör ve Dokümanların Listelenmesi"/>
    <x v="18"/>
    <e v="#N/A"/>
    <x v="0"/>
    <s v="-"/>
    <x v="0"/>
    <m/>
  </r>
  <r>
    <x v="0"/>
    <s v="DAVS-55"/>
    <x v="1"/>
    <s v="&quot;Giden Faturalar” ların İndirilmesi"/>
    <x v="18"/>
    <e v="#N/A"/>
    <x v="0"/>
    <s v="-"/>
    <x v="0"/>
    <m/>
  </r>
  <r>
    <x v="0"/>
    <s v="DAVS-54"/>
    <x v="1"/>
    <s v="&quot;Gelen Faturalar” ların İndirilmesi"/>
    <x v="18"/>
    <e v="#N/A"/>
    <x v="0"/>
    <s v="-"/>
    <x v="0"/>
    <m/>
  </r>
  <r>
    <x v="0"/>
    <s v="DAVS-53"/>
    <x v="1"/>
    <s v="&quot;Gönderilen e-Arşiv Faturaların&quot; İndirilmesi"/>
    <x v="18"/>
    <e v="#N/A"/>
    <x v="0"/>
    <s v="-"/>
    <x v="0"/>
    <m/>
  </r>
  <r>
    <x v="0"/>
    <s v="DAVS-52"/>
    <x v="1"/>
    <s v="&quot;Giden e-İrsaliye Faturalar&quot;ın İndirilmesi"/>
    <x v="18"/>
    <e v="#N/A"/>
    <x v="0"/>
    <s v="-"/>
    <x v="0"/>
    <m/>
  </r>
  <r>
    <x v="0"/>
    <s v="DAVS-51"/>
    <x v="1"/>
    <s v="&quot;Gelen e-İrsaliye Faturalar&quot;ın  İndirilmesi"/>
    <x v="18"/>
    <e v="#N/A"/>
    <x v="0"/>
    <s v="-"/>
    <x v="0"/>
    <m/>
  </r>
  <r>
    <x v="0"/>
    <s v="DAVS-50"/>
    <x v="1"/>
    <s v="&quot;Delil&quot;lerin İndirilmesi "/>
    <x v="18"/>
    <e v="#N/A"/>
    <x v="0"/>
    <s v="-"/>
    <x v="0"/>
    <m/>
  </r>
  <r>
    <x v="0"/>
    <s v="DAVS-49"/>
    <x v="1"/>
    <s v="&quot;Giden İleti&quot;lerin İndirilmesi "/>
    <x v="18"/>
    <e v="#N/A"/>
    <x v="0"/>
    <s v="-"/>
    <x v="0"/>
    <m/>
  </r>
  <r>
    <x v="0"/>
    <s v="DAVS-48"/>
    <x v="1"/>
    <s v="&quot;Gelen İleti&quot;lerin İndirilmesi"/>
    <x v="18"/>
    <e v="#N/A"/>
    <x v="0"/>
    <s v="-"/>
    <x v="0"/>
    <m/>
  </r>
  <r>
    <x v="0"/>
    <s v="UKDS-169"/>
    <x v="1"/>
    <s v="Başvuru önyüz geliştirmesi"/>
    <x v="15"/>
    <e v="#N/A"/>
    <x v="0"/>
    <s v="-"/>
    <x v="0"/>
    <n v="3"/>
  </r>
  <r>
    <x v="0"/>
    <s v="UKDS-170"/>
    <x v="1"/>
    <s v="Başvuru Servislerinin Geliştirmesi"/>
    <x v="15"/>
    <e v="#N/A"/>
    <x v="0"/>
    <s v="-"/>
    <x v="0"/>
    <n v="3"/>
  </r>
  <r>
    <x v="0"/>
    <s v="IEU-238"/>
    <x v="1"/>
    <s v="UKDS Servislerinin Entegrasyon Suit Üzerinden Sunulması"/>
    <x v="17"/>
    <e v="#N/A"/>
    <x v="0"/>
    <s v="-"/>
    <x v="0"/>
    <n v="3"/>
  </r>
  <r>
    <x v="0"/>
    <s v="KAN-60"/>
    <x v="1"/>
    <s v="Test Ortamında Domain Geçiş Hazırlıkları ve Geçiş "/>
    <x v="19"/>
    <e v="#N/A"/>
    <x v="0"/>
    <s v="-"/>
    <x v="0"/>
    <n v="3"/>
  </r>
  <r>
    <x v="0"/>
    <s v="KA-1521"/>
    <x v="1"/>
    <s v="2025-BTA-013 FKM'ne Geçiş Projesi Test Ortamında Domain Geçiş Hazırlıkları ve Geçiş "/>
    <x v="6"/>
    <e v="#N/A"/>
    <x v="0"/>
    <s v="-"/>
    <x v="0"/>
    <n v="3"/>
  </r>
  <r>
    <x v="0"/>
    <s v="KA-1523"/>
    <x v="1"/>
    <s v="Güncelleme Paketi hazırlanması"/>
    <x v="6"/>
    <e v="#N/A"/>
    <x v="0"/>
    <s v="-"/>
    <x v="0"/>
    <n v="3"/>
  </r>
  <r>
    <x v="0"/>
    <s v="MU-133"/>
    <x v="1"/>
    <s v="KEP Gönderme Ekranında Geri Tuşu Uyarı Mekanizması"/>
    <x v="9"/>
    <e v="#N/A"/>
    <x v="0"/>
    <s v="-"/>
    <x v="0"/>
    <n v="1"/>
  </r>
  <r>
    <x v="0"/>
    <s v="MU-132"/>
    <x v="1"/>
    <s v="KEP Gönderme Ekranında Alan Sıralamasının Düzenlenmesi"/>
    <x v="9"/>
    <e v="#N/A"/>
    <x v="0"/>
    <s v="-"/>
    <x v="0"/>
    <n v="1"/>
  </r>
  <r>
    <x v="1"/>
    <s v="MU-130"/>
    <x v="1"/>
    <s v="Android Cihazlarda UKDS Kurumsal Başvuruda JPEG Dosya Yükleme Sorunu"/>
    <x v="9"/>
    <e v="#N/A"/>
    <x v="0"/>
    <s v="-"/>
    <x v="0"/>
    <n v="3"/>
  </r>
  <r>
    <x v="1"/>
    <s v="MU-129"/>
    <x v="1"/>
    <s v="Android Cihazlarda &quot;Firma Çalışanı Değilim&quot; Seçeneğinde Yönlendirme Sorunu"/>
    <x v="9"/>
    <e v="#N/A"/>
    <x v="0"/>
    <s v="-"/>
    <x v="0"/>
    <n v="3"/>
  </r>
  <r>
    <x v="0"/>
    <s v="MU-122"/>
    <x v="1"/>
    <s v="Gelen Kutusunda Okunmayan İletilerin Sayısının Gösterilmesi"/>
    <x v="9"/>
    <e v="#N/A"/>
    <x v="0"/>
    <s v="-"/>
    <x v="0"/>
    <n v="3"/>
  </r>
  <r>
    <x v="0"/>
    <s v="MYS-787"/>
    <x v="1"/>
    <s v="Güncelleme Paketi hazırlanması"/>
    <x v="12"/>
    <e v="#N/A"/>
    <x v="0"/>
    <s v="-"/>
    <x v="0"/>
    <n v="2"/>
  </r>
  <r>
    <x v="0"/>
    <s v="MYS-788"/>
    <x v="1"/>
    <s v="Takvimleme Methodu Hata Alma Senaryosu"/>
    <x v="12"/>
    <e v="#N/A"/>
    <x v="0"/>
    <s v="-"/>
    <x v="0"/>
    <n v="3"/>
  </r>
  <r>
    <x v="0"/>
    <s v="MYS-789"/>
    <x v="1"/>
    <s v="Test Ortamında Domain Geçiş Hazırlıkları ve Geçiş "/>
    <x v="12"/>
    <e v="#N/A"/>
    <x v="0"/>
    <s v="-"/>
    <x v="0"/>
    <n v="3"/>
  </r>
  <r>
    <x v="0"/>
    <s v="CRM-667"/>
    <x v="1"/>
    <s v="KEP İleti Sayıları CRM Sistemine Data Aktarımı"/>
    <x v="0"/>
    <e v="#N/A"/>
    <x v="0"/>
    <s v="-"/>
    <x v="0"/>
    <n v="3"/>
  </r>
  <r>
    <x v="0"/>
    <s v="CRM-668"/>
    <x v="1"/>
    <s v="İptal Durumdan Aktif Duruma Alınan KEP IK Hesapları Düzenleme"/>
    <x v="0"/>
    <e v="#N/A"/>
    <x v="0"/>
    <s v="-"/>
    <x v="0"/>
    <n v="2"/>
  </r>
  <r>
    <x v="0"/>
    <s v="CRM-669"/>
    <x v="0"/>
    <s v="İptal Durumdan Aktif Duruma Alınacak KEP IK Hesapları Ek Geliştirme"/>
    <x v="0"/>
    <e v="#N/A"/>
    <x v="0"/>
    <s v="-"/>
    <x v="0"/>
    <n v="3"/>
  </r>
  <r>
    <x v="0"/>
    <s v="CRM-670"/>
    <x v="1"/>
    <s v="Mersis Sorgulama İçin EndPoint Paylaşımı"/>
    <x v="0"/>
    <e v="#N/A"/>
    <x v="0"/>
    <s v="-"/>
    <x v="0"/>
    <n v="2"/>
  </r>
  <r>
    <x v="0"/>
    <s v="CRM-671"/>
    <x v="1"/>
    <s v="Mersis Sorgu Sonucu Ek Geliştirme"/>
    <x v="0"/>
    <e v="#N/A"/>
    <x v="0"/>
    <s v="-"/>
    <x v="0"/>
    <n v="2"/>
  </r>
  <r>
    <x v="0"/>
    <s v="EFT-2241"/>
    <x v="1"/>
    <s v="2025-BTA-013 FKM'ne Geçiş Projesi Test Ortamı Domain Geçiş Hazırlıkları ve Geçiş"/>
    <x v="4"/>
    <e v="#N/A"/>
    <x v="0"/>
    <s v="-"/>
    <x v="0"/>
    <n v="2"/>
  </r>
  <r>
    <x v="0"/>
    <s v="EFT-2240"/>
    <x v="1"/>
    <s v="ERP Bağımlı Konnektör Metotlarında e-Fatura Oluşturmada Zorunlu Olmayan Yeni Alanların Eklenmesi - Aselsan"/>
    <x v="4"/>
    <e v="#N/A"/>
    <x v="0"/>
    <s v="-"/>
    <x v="0"/>
    <n v="2"/>
  </r>
  <r>
    <x v="0"/>
    <s v="EFT-2237"/>
    <x v="1"/>
    <s v="Bağımsız Konnektörde e-Fatura Oluşturmada Zorunlu Olmayan Yeni Alanların Eklenmesi"/>
    <x v="4"/>
    <e v="#N/A"/>
    <x v="0"/>
    <s v="-"/>
    <x v="0"/>
    <n v="3"/>
  </r>
  <r>
    <x v="0"/>
    <s v="EFT-2236"/>
    <x v="1"/>
    <s v="Web Servis Metotlarında e-Fatura Oluşturmada Zorunlu Olmayan Yeni Alanların Eklenmesi - Aselsan"/>
    <x v="4"/>
    <e v="#N/A"/>
    <x v="0"/>
    <s v="-"/>
    <x v="0"/>
    <n v="3"/>
  </r>
  <r>
    <x v="0"/>
    <s v="EFT-2235"/>
    <x v="1"/>
    <s v="Portal Üzerinde e-Fatura Oluşturmada Zorunlu Olmayan Yeni Alanların Eklenmesi - Aselsan"/>
    <x v="4"/>
    <e v="#N/A"/>
    <x v="0"/>
    <s v="-"/>
    <x v="0"/>
    <n v="5"/>
  </r>
  <r>
    <x v="0"/>
    <s v="EDF-776"/>
    <x v="1"/>
    <s v="2025-BTA-013 FKM'ne Geçiş Projesi Test Ortam Domain Geçiş Hazırlıkları ve Geçiş"/>
    <x v="3"/>
    <e v="#N/A"/>
    <x v="0"/>
    <s v="-"/>
    <x v="0"/>
    <n v="2"/>
  </r>
  <r>
    <x v="1"/>
    <s v="MU-135"/>
    <x v="1"/>
    <s v="KEP Gönderme Ekranında “Vazgeç” Aksiyonlarının Hatalı Yönlendirmelere Sebep Olması"/>
    <x v="9"/>
    <e v="#N/A"/>
    <x v="0"/>
    <s v="-"/>
    <x v="0"/>
    <n v="3"/>
  </r>
  <r>
    <x v="1"/>
    <s v="MU-124"/>
    <x v="1"/>
    <s v="Şifremi Unuttum Akışında Geri Tuşu ile Bilgilerin Silinmesi ve Yanlış Ekrana Yönlendirmesi"/>
    <x v="9"/>
    <e v="#N/A"/>
    <x v="0"/>
    <s v="-"/>
    <x v="0"/>
    <n v="3"/>
  </r>
  <r>
    <x v="1"/>
    <s v="MU-131"/>
    <x v="1"/>
    <s v="İmzala ve Gönder Butonuna Çoklu Tıklama ile Mobil İmza Talebinin Tekrarlanması"/>
    <x v="9"/>
    <e v="#N/A"/>
    <x v="0"/>
    <s v="-"/>
    <x v="0"/>
    <n v="2"/>
  </r>
  <r>
    <x v="0"/>
    <s v="CRM-674"/>
    <x v="1"/>
    <s v="Toplu Açılış Excel Aktarım Ek Geliştirme"/>
    <x v="0"/>
    <e v="#N/A"/>
    <x v="0"/>
    <s v="-"/>
    <x v="0"/>
    <n v="1"/>
  </r>
  <r>
    <x v="0"/>
    <s v="CRM-675"/>
    <x v="1"/>
    <s v="Sipariş Detayı Mersis Süreci Münferit Müşteri E-Devlet Onaya Gönderme"/>
    <x v="0"/>
    <e v="#N/A"/>
    <x v="0"/>
    <s v="-"/>
    <x v="0"/>
    <n v="1"/>
  </r>
  <r>
    <x v="0"/>
    <s v="CRM-676"/>
    <x v="1"/>
    <s v="Sipariş Detayı Ekranı Mersis Sorgulama"/>
    <x v="0"/>
    <e v="#N/A"/>
    <x v="0"/>
    <s v="-"/>
    <x v="0"/>
    <n v="1"/>
  </r>
  <r>
    <x v="0"/>
    <s v="CRM-679"/>
    <x v="1"/>
    <s v="Trendyol Projesi Bireysel ve Kurumsal Promosyon Tanımlama"/>
    <x v="0"/>
    <e v="#N/A"/>
    <x v="0"/>
    <s v="-"/>
    <x v="0"/>
    <n v="2"/>
  </r>
  <r>
    <x v="0"/>
    <s v="CRM-680"/>
    <x v="1"/>
    <s v="Trendyol Projesi DIŞ Bireysel ve Kurumsal Promosyon CRM Sisteminde Tanımlama"/>
    <x v="0"/>
    <e v="#N/A"/>
    <x v="0"/>
    <s v="-"/>
    <x v="0"/>
    <n v="2"/>
  </r>
  <r>
    <x v="0"/>
    <s v="CRM-681"/>
    <x v="1"/>
    <s v="Trendyol Projesi Ödeme İşlemi Link Gönderimi"/>
    <x v="0"/>
    <e v="#N/A"/>
    <x v="0"/>
    <s v="-"/>
    <x v="0"/>
    <n v="2"/>
  </r>
  <r>
    <x v="0"/>
    <s v="MUL-210"/>
    <x v="1"/>
    <s v="2025-BTA-013 FKM'ne Geçiş Projesi Test Ortamında Domain Geçiş Hazırlıkları ve Geçiş"/>
    <x v="11"/>
    <e v="#N/A"/>
    <x v="0"/>
    <s v="-"/>
    <x v="0"/>
    <n v="3"/>
  </r>
  <r>
    <x v="0"/>
    <s v="KIK-153"/>
    <x v="1"/>
    <s v="2025-BTA-013 FKM'ne Geçiş Projesi Test Ortamında Domain Geçiş Hazırlıkları ve Geçiş"/>
    <x v="20"/>
    <e v="#N/A"/>
    <x v="0"/>
    <s v="-"/>
    <x v="0"/>
    <n v="3"/>
  </r>
  <r>
    <x v="0"/>
    <s v="DS-14"/>
    <x v="1"/>
    <s v="2025-BTA-013 FKM'ne Geçiş Projesi Canlı Ortamı Domain Geçiş Hazırlıkları ve Geçiş"/>
    <x v="2"/>
    <e v="#N/A"/>
    <x v="0"/>
    <s v="-"/>
    <x v="0"/>
    <n v="2"/>
  </r>
  <r>
    <x v="0"/>
    <s v="IEU-244"/>
    <x v="1"/>
    <s v="192.168.224.224 Sunucusunda /tkapp Diskinden /tklog Diskine Log Yönlendirmesi"/>
    <x v="17"/>
    <e v="#N/A"/>
    <x v="0"/>
    <s v="-"/>
    <x v="0"/>
    <n v="2"/>
  </r>
  <r>
    <x v="0"/>
    <s v="EFT-2249"/>
    <x v="1"/>
    <s v="e-İrsaliye SAP Servisi Gelen İrsaliyeleri Listele Metodunda Düzenleme"/>
    <x v="4"/>
    <e v="#N/A"/>
    <x v="0"/>
    <s v="-"/>
    <x v="0"/>
    <n v="1"/>
  </r>
  <r>
    <x v="0"/>
    <s v="EFT-2248"/>
    <x v="1"/>
    <s v="e-Arsiv Teknik Kilavuzu V.1.18 ve earsiv paket v1.1_4 İncelemesi"/>
    <x v="4"/>
    <e v="#N/A"/>
    <x v="0"/>
    <s v="-"/>
    <x v="0"/>
    <n v="3"/>
  </r>
  <r>
    <x v="0"/>
    <s v="EFT-2239"/>
    <x v="0"/>
    <s v="Nihai Tüketici İfadesi Kullanım Kuralı"/>
    <x v="4"/>
    <e v="#N/A"/>
    <x v="0"/>
    <s v="-"/>
    <x v="0"/>
    <n v="2"/>
  </r>
  <r>
    <x v="0"/>
    <s v="EFT-2238"/>
    <x v="0"/>
    <s v="Muhtelif Müşteriler İfadesi Kullanım Kuralı"/>
    <x v="4"/>
    <e v="#N/A"/>
    <x v="0"/>
    <s v="-"/>
    <x v="0"/>
    <n v="2"/>
  </r>
  <r>
    <x v="0"/>
    <s v="EFT-2243"/>
    <x v="1"/>
    <s v="2025-BTA-013 FKM'ne Geçiş Projesi Canlı Ortamı Domain Geçiş Hazırlıkları ve Geçiş"/>
    <x v="4"/>
    <e v="#N/A"/>
    <x v="0"/>
    <s v="-"/>
    <x v="0"/>
    <n v="3"/>
  </r>
  <r>
    <x v="0"/>
    <s v="MYS-793"/>
    <x v="1"/>
    <s v="Gelen İletiler EYP 2.0 Görüntüleme Desteği ve Ek Alanların Gösterimi"/>
    <x v="12"/>
    <e v="#N/A"/>
    <x v="0"/>
    <s v="-"/>
    <x v="0"/>
    <n v="3"/>
  </r>
  <r>
    <x v="0"/>
    <s v="UKDS-174"/>
    <x v="1"/>
    <s v="Mobil İmza Aşamasında Operatör Seçeneklerinin Eklenmesi"/>
    <x v="15"/>
    <e v="#N/A"/>
    <x v="0"/>
    <s v="-"/>
    <x v="0"/>
    <m/>
  </r>
  <r>
    <x v="0"/>
    <s v="MYS-795"/>
    <x v="1"/>
    <s v="Güncelleme Paketi hazırlanması"/>
    <x v="12"/>
    <e v="#N/A"/>
    <x v="0"/>
    <s v="-"/>
    <x v="0"/>
    <m/>
  </r>
  <r>
    <x v="0"/>
    <s v="MUL-211"/>
    <x v="1"/>
    <s v="2025-BTA-013 FKM'ne Geçiş Projesi Canlı Ortamı Domain Geçiş Hazırlıkları ve Geçiş"/>
    <x v="11"/>
    <e v="#N/A"/>
    <x v="0"/>
    <s v="-"/>
    <x v="0"/>
    <n v="3"/>
  </r>
  <r>
    <x v="0"/>
    <s v="MU-142"/>
    <x v="1"/>
    <s v="Okunmamış KEP Gönderileri İçin Kırmızı Gösterge (Badge) Tasarımı"/>
    <x v="9"/>
    <e v="#N/A"/>
    <x v="0"/>
    <s v="-"/>
    <x v="0"/>
    <m/>
  </r>
  <r>
    <x v="0"/>
    <s v="KIK-155"/>
    <x v="1"/>
    <s v="2025-BTA-013 FKM'ne Geçiş Projesi Canlı Ortamı Domain Geçiş Hazırlıkları ve Geçiş"/>
    <x v="16"/>
    <e v="#N/A"/>
    <x v="0"/>
    <s v="-"/>
    <x v="0"/>
    <n v="3"/>
  </r>
  <r>
    <x v="2"/>
    <s v="KA-1536"/>
    <x v="1"/>
    <s v="Sub-Task Veritabanı ve Servis Geliştirmesi Hk."/>
    <x v="6"/>
    <e v="#N/A"/>
    <x v="0"/>
    <s v="-"/>
    <x v="0"/>
    <m/>
  </r>
  <r>
    <x v="1"/>
    <s v="IEU-251"/>
    <x v="1"/>
    <s v="EYP 2.0 oluşturma sırasında aciklama parametresi boş bırakıldığında parser hatası oluşuyor"/>
    <x v="5"/>
    <e v="#N/A"/>
    <x v="0"/>
    <s v="-"/>
    <x v="0"/>
    <m/>
  </r>
  <r>
    <x v="0"/>
    <s v="ES-302"/>
    <x v="1"/>
    <s v="2025-BTA-013 FKM'ne Geçiş Projesi Canlı Ortam Domain Geçiş Hazırlıkları ve Geçiş"/>
    <x v="21"/>
    <e v="#N/A"/>
    <x v="0"/>
    <s v="-"/>
    <x v="0"/>
    <n v="2"/>
  </r>
  <r>
    <x v="0"/>
    <s v="ES-301"/>
    <x v="1"/>
    <s v="2025-BTA-013 FKM'ne Geçiş Projesi Test Ortam Domain Geçiş Hazırlıkları ve Geçiş "/>
    <x v="21"/>
    <e v="#N/A"/>
    <x v="0"/>
    <s v="-"/>
    <x v="0"/>
    <n v="2"/>
  </r>
  <r>
    <x v="0"/>
    <s v="EFT-2260"/>
    <x v="1"/>
    <s v="GİB Güncellemesi – Yeni İstisna Kodu (344) için Düzenlemeler"/>
    <x v="4"/>
    <e v="#N/A"/>
    <x v="0"/>
    <s v="-"/>
    <x v="0"/>
    <n v="2"/>
  </r>
  <r>
    <x v="0"/>
    <s v="EFT-2258"/>
    <x v="1"/>
    <s v="Konnektör Bağımsız/ 702 Kodlu İhraç Kayıtlı Faturalarda Değişiklik"/>
    <x v="4"/>
    <e v="#N/A"/>
    <x v="0"/>
    <s v="-"/>
    <x v="0"/>
    <n v="3"/>
  </r>
  <r>
    <x v="0"/>
    <s v="EFT-2257"/>
    <x v="1"/>
    <s v="Konnektör Bağımlı/ 702 Kodlu İhraç Kayıtlı Faturalarda Değişiklik "/>
    <x v="4"/>
    <e v="#N/A"/>
    <x v="0"/>
    <s v="-"/>
    <x v="0"/>
    <n v="2"/>
  </r>
  <r>
    <x v="0"/>
    <s v="EFT-2256"/>
    <x v="1"/>
    <s v="Portal/ 702 Kodlu İhraç Kayıtlı Faturalarda Değişiklik "/>
    <x v="4"/>
    <e v="#N/A"/>
    <x v="0"/>
    <s v="-"/>
    <x v="0"/>
    <n v="3"/>
  </r>
  <r>
    <x v="0"/>
    <s v="EFT-2255"/>
    <x v="1"/>
    <s v="e- Fatura Paket Güncellemesi"/>
    <x v="4"/>
    <e v="#N/A"/>
    <x v="0"/>
    <s v="-"/>
    <x v="0"/>
    <n v="2"/>
  </r>
  <r>
    <x v="0"/>
    <s v="EFT-2254"/>
    <x v="1"/>
    <s v="GIB Web Servisleri Test ve Doğrulama Süreci"/>
    <x v="4"/>
    <e v="#N/A"/>
    <x v="0"/>
    <s v="-"/>
    <x v="0"/>
    <m/>
  </r>
  <r>
    <x v="0"/>
    <s v="EDF-777"/>
    <x v="1"/>
    <s v="2025-BTA-013 FKM'ne Geçiş Projesi Canlı Ortam Domain Geçiş Hazırlıkları ve Geçiş "/>
    <x v="3"/>
    <e v="#N/A"/>
    <x v="0"/>
    <s v="-"/>
    <x v="0"/>
    <n v="3"/>
  </r>
  <r>
    <x v="0"/>
    <s v="EDF-774"/>
    <x v="2"/>
    <s v="Araştırma - İmzalama Sürecinde Defterlerde Yaşanan Hatalar "/>
    <x v="3"/>
    <e v="#N/A"/>
    <x v="0"/>
    <s v="-"/>
    <x v="0"/>
    <m/>
  </r>
  <r>
    <x v="0"/>
    <s v="DAVS-137"/>
    <x v="1"/>
    <s v="File Service – Klasör İçeriğinin Dosya Tipine Göre Getirme Endpoint'i Geliştirilmesi"/>
    <x v="18"/>
    <e v="#N/A"/>
    <x v="0"/>
    <s v="-"/>
    <x v="0"/>
    <m/>
  </r>
  <r>
    <x v="0"/>
    <s v="DAVS-134"/>
    <x v="1"/>
    <s v="Dosyaların silinmesi"/>
    <x v="18"/>
    <e v="#N/A"/>
    <x v="0"/>
    <s v="-"/>
    <x v="0"/>
    <m/>
  </r>
  <r>
    <x v="0"/>
    <s v="DAVS-133"/>
    <x v="1"/>
    <s v="Dosya isminin güncellenmesi"/>
    <x v="18"/>
    <e v="#N/A"/>
    <x v="0"/>
    <s v="-"/>
    <x v="0"/>
    <m/>
  </r>
  <r>
    <x v="0"/>
    <s v="DAVS-132"/>
    <x v="1"/>
    <s v="File Service – Çöp Kutusundaki Tüm Verileri Kalıcı Silme Endpoint'i Geliştirilmesi"/>
    <x v="18"/>
    <e v="#N/A"/>
    <x v="0"/>
    <s v="-"/>
    <x v="0"/>
    <m/>
  </r>
  <r>
    <x v="0"/>
    <s v="DAVS-131"/>
    <x v="1"/>
    <s v="File Service – Çöp Kutusundaki Tüm Verileri Geri Taşıma Endpoint'i Geliştirilmesi"/>
    <x v="18"/>
    <e v="#N/A"/>
    <x v="0"/>
    <s v="-"/>
    <x v="0"/>
    <m/>
  </r>
  <r>
    <x v="0"/>
    <s v="DAVS-130"/>
    <x v="1"/>
    <s v="Uygulama açılış sayfası geliştirilmesi"/>
    <x v="18"/>
    <e v="#N/A"/>
    <x v="0"/>
    <s v="-"/>
    <x v="0"/>
    <m/>
  </r>
  <r>
    <x v="2"/>
    <s v="DAVS-129"/>
    <x v="1"/>
    <s v="File Service – Çöp kutusunda olan Klasör İçeriğini Getirme Endpoint'i Geliştirilmesi"/>
    <x v="18"/>
    <e v="#N/A"/>
    <x v="0"/>
    <s v="-"/>
    <x v="0"/>
    <m/>
  </r>
  <r>
    <x v="0"/>
    <s v="DAVS-128"/>
    <x v="1"/>
    <s v="Çöp kutusundaki verilerin tamamen silinmesi"/>
    <x v="18"/>
    <e v="#N/A"/>
    <x v="0"/>
    <s v="-"/>
    <x v="0"/>
    <m/>
  </r>
  <r>
    <x v="0"/>
    <s v="DAVS-127"/>
    <x v="1"/>
    <s v="Çöp kutusundaki verilerin geri yüklenmesi"/>
    <x v="18"/>
    <e v="#N/A"/>
    <x v="0"/>
    <s v="-"/>
    <x v="0"/>
    <m/>
  </r>
  <r>
    <x v="0"/>
    <s v="DAVS-126"/>
    <x v="1"/>
    <s v="Çöp Kutusu sayfasındaki verilerin listelenmesi"/>
    <x v="18"/>
    <e v="#N/A"/>
    <x v="0"/>
    <s v="-"/>
    <x v="0"/>
    <m/>
  </r>
  <r>
    <x v="0"/>
    <s v="DAVS-125"/>
    <x v="1"/>
    <s v="Çöp Kutusu sayfası tasarımsal düzenlemeler"/>
    <x v="18"/>
    <e v="#N/A"/>
    <x v="0"/>
    <s v="-"/>
    <x v="0"/>
    <m/>
  </r>
  <r>
    <x v="0"/>
    <s v="DAVS-124"/>
    <x v="1"/>
    <s v="User Service – Parola Güncelleme Endpoint'i Geliştirilmesi"/>
    <x v="18"/>
    <e v="#N/A"/>
    <x v="0"/>
    <s v="-"/>
    <x v="0"/>
    <m/>
  </r>
  <r>
    <x v="0"/>
    <s v="DAVS-123"/>
    <x v="1"/>
    <s v="User Service – Parola Sıfırlama Endpoint'i Geliştirilmesi"/>
    <x v="18"/>
    <e v="#N/A"/>
    <x v="0"/>
    <s v="-"/>
    <x v="0"/>
    <m/>
  </r>
  <r>
    <x v="0"/>
    <s v="DAVS-122"/>
    <x v="1"/>
    <s v="Frontend Geliştirme- Destek Merkezi / SSS "/>
    <x v="18"/>
    <e v="#N/A"/>
    <x v="0"/>
    <s v="-"/>
    <x v="0"/>
    <m/>
  </r>
  <r>
    <x v="0"/>
    <s v="DAVS-121"/>
    <x v="1"/>
    <s v="Frontend Geliştirme- Doğrulama Kodu Giriş Ekranı  "/>
    <x v="18"/>
    <e v="#N/A"/>
    <x v="0"/>
    <s v="-"/>
    <x v="0"/>
    <m/>
  </r>
  <r>
    <x v="0"/>
    <s v="DAVS-120"/>
    <x v="1"/>
    <s v="Frontend Geliştirme- Giriş Sayfası "/>
    <x v="18"/>
    <e v="#N/A"/>
    <x v="0"/>
    <s v="-"/>
    <x v="0"/>
    <m/>
  </r>
  <r>
    <x v="2"/>
    <s v="DAVS-116"/>
    <x v="1"/>
    <s v="Sayfa içi fonksiyon ve tasarım çalışmaları/Sprint3"/>
    <x v="18"/>
    <e v="#N/A"/>
    <x v="0"/>
    <s v="-"/>
    <x v="0"/>
    <m/>
  </r>
  <r>
    <x v="2"/>
    <s v="DAVS-115"/>
    <x v="1"/>
    <s v="Sayfa içi fonksiyon ve tasarım çalışmaları/Sprint3"/>
    <x v="18"/>
    <e v="#N/A"/>
    <x v="0"/>
    <s v="-"/>
    <x v="0"/>
    <m/>
  </r>
  <r>
    <x v="2"/>
    <s v="DAVS-113"/>
    <x v="1"/>
    <s v="Sayfa içi fonksiyon ve tasarım çalışmaları/Sprint3"/>
    <x v="18"/>
    <e v="#N/A"/>
    <x v="0"/>
    <s v="-"/>
    <x v="0"/>
    <m/>
  </r>
  <r>
    <x v="0"/>
    <s v="DAVS-108"/>
    <x v="1"/>
    <s v="Invoices Service – E-Fatura Aktarım Durumu Sorgulama Endpoint’inin Geliştirilmesi"/>
    <x v="18"/>
    <e v="#N/A"/>
    <x v="0"/>
    <s v="-"/>
    <x v="0"/>
    <m/>
  </r>
  <r>
    <x v="0"/>
    <s v="DAVS-107"/>
    <x v="1"/>
    <s v="Invoices Service – E-Fatura Dosyası Gönderme Endpoint’inin Geliştirilmesi"/>
    <x v="18"/>
    <e v="#N/A"/>
    <x v="0"/>
    <s v="-"/>
    <x v="0"/>
    <m/>
  </r>
  <r>
    <x v="0"/>
    <s v="DAVS-106"/>
    <x v="1"/>
    <s v="Rem Service – KEP Dosya Aktarım Durumu Sorgulama Endpoint’i Geliştirilmesi"/>
    <x v="18"/>
    <e v="#N/A"/>
    <x v="0"/>
    <s v="-"/>
    <x v="0"/>
    <m/>
  </r>
  <r>
    <x v="0"/>
    <s v="DAVS-105"/>
    <x v="1"/>
    <s v="Rem Service – KEP Üzerinden Dosya Gönderimi Endpoint’i Geliştirilmesi"/>
    <x v="18"/>
    <e v="#N/A"/>
    <x v="0"/>
    <s v="-"/>
    <x v="0"/>
    <m/>
  </r>
  <r>
    <x v="0"/>
    <s v="DAVS-101"/>
    <x v="1"/>
    <s v="Integrations Service – İrsaliye Kayıtlarını Filtreleme Endpoint’i Geliştirilmesi"/>
    <x v="18"/>
    <e v="#N/A"/>
    <x v="0"/>
    <s v="-"/>
    <x v="0"/>
    <m/>
  </r>
  <r>
    <x v="0"/>
    <s v="DAVS-100"/>
    <x v="1"/>
    <s v="Integrations Service – İrsaliye Listeleme Endpoint’i Geliştirilmesi"/>
    <x v="18"/>
    <e v="#N/A"/>
    <x v="0"/>
    <s v="-"/>
    <x v="0"/>
    <m/>
  </r>
  <r>
    <x v="0"/>
    <s v="DAVS-99"/>
    <x v="1"/>
    <s v="Integrations Service – Fatura Kayıtlarını Filtreleme Endpoint’i Geliştirilmesi"/>
    <x v="18"/>
    <e v="#N/A"/>
    <x v="0"/>
    <s v="-"/>
    <x v="0"/>
    <m/>
  </r>
  <r>
    <x v="0"/>
    <s v="DAVS-98"/>
    <x v="1"/>
    <s v="Integrations Service – Fatura Listeleme Endpoint’i Geliştirilmesi"/>
    <x v="18"/>
    <e v="#N/A"/>
    <x v="0"/>
    <s v="-"/>
    <x v="0"/>
    <m/>
  </r>
  <r>
    <x v="0"/>
    <s v="DAVS-97"/>
    <x v="1"/>
    <s v="Integrations Service – KEP İletilerini Filtreleme Endpoint’i Geliştirilmesi"/>
    <x v="18"/>
    <e v="#N/A"/>
    <x v="0"/>
    <s v="-"/>
    <x v="0"/>
    <m/>
  </r>
  <r>
    <x v="0"/>
    <s v="DAVS-96"/>
    <x v="1"/>
    <s v="Integrations Service – KEP İletilerini Listeleme Endpoint’i Geliştirilmesi"/>
    <x v="18"/>
    <e v="#N/A"/>
    <x v="0"/>
    <s v="-"/>
    <x v="0"/>
    <m/>
  </r>
  <r>
    <x v="0"/>
    <s v="DAVS-95"/>
    <x v="1"/>
    <s v="Integrations Service – KEP Hesaplarını Listeleme Endpoint’i Geliştirilmesi"/>
    <x v="18"/>
    <e v="#N/A"/>
    <x v="0"/>
    <s v="-"/>
    <x v="0"/>
    <m/>
  </r>
  <r>
    <x v="0"/>
    <s v="DAVS-94"/>
    <x v="1"/>
    <s v="Integrations Service – Entegrasyon Modüllerini Getirme Endpoint’i Geliştirilmesi"/>
    <x v="18"/>
    <e v="#N/A"/>
    <x v="0"/>
    <s v="-"/>
    <x v="0"/>
    <m/>
  </r>
  <r>
    <x v="0"/>
    <s v="DAVS-93"/>
    <x v="1"/>
    <s v="Document Operations Service – Parçalı Yüklemeyi Tamamlama Endpoint’i Geliştirilmesi"/>
    <x v="18"/>
    <e v="#N/A"/>
    <x v="0"/>
    <s v="-"/>
    <x v="0"/>
    <m/>
  </r>
  <r>
    <x v="0"/>
    <s v="DAVS-91"/>
    <x v="1"/>
    <s v="Document Operations Service – Dosya Yükleme Endpoint’i Geliştirilmesi"/>
    <x v="18"/>
    <e v="#N/A"/>
    <x v="0"/>
    <s v="-"/>
    <x v="0"/>
    <m/>
  </r>
  <r>
    <x v="0"/>
    <s v="DAVS-89"/>
    <x v="1"/>
    <s v="File Service – Çöp Kutusu Kalıcı Silme Endpoint'i Geliştirilmesi"/>
    <x v="18"/>
    <e v="#N/A"/>
    <x v="0"/>
    <s v="-"/>
    <x v="0"/>
    <m/>
  </r>
  <r>
    <x v="0"/>
    <s v="DAVS-88"/>
    <x v="1"/>
    <s v="File Service – Çöp Kutusundan Geri Taşıma Endpoint'i Geliştirilmesi"/>
    <x v="18"/>
    <e v="#N/A"/>
    <x v="0"/>
    <s v="-"/>
    <x v="0"/>
    <m/>
  </r>
  <r>
    <x v="0"/>
    <s v="DAVS-86"/>
    <x v="1"/>
    <s v="File Service – Dosya İsmini Güncelleme Endpoint'i Geliştirilmesi"/>
    <x v="18"/>
    <e v="#N/A"/>
    <x v="0"/>
    <s v="-"/>
    <x v="0"/>
    <m/>
  </r>
  <r>
    <x v="0"/>
    <s v="DAVS-85"/>
    <x v="1"/>
    <s v="File Service – Dosya Kopyalama Endpoint'i Geliştirilmesi"/>
    <x v="18"/>
    <e v="#N/A"/>
    <x v="0"/>
    <s v="-"/>
    <x v="0"/>
    <m/>
  </r>
  <r>
    <x v="0"/>
    <s v="DAVS-84"/>
    <x v="1"/>
    <s v="File Service – Dosya Taşıma Endpoint'i Geliştirilmesi"/>
    <x v="18"/>
    <e v="#N/A"/>
    <x v="0"/>
    <s v="-"/>
    <x v="0"/>
    <m/>
  </r>
  <r>
    <x v="0"/>
    <s v="DAVS-83"/>
    <x v="1"/>
    <s v="File Service – Dosyayı Çöp Kutusuna Taşıma Endpoint'i Geliştirilmesi"/>
    <x v="18"/>
    <e v="#N/A"/>
    <x v="0"/>
    <s v="-"/>
    <x v="0"/>
    <m/>
  </r>
  <r>
    <x v="0"/>
    <s v="DAVS-79"/>
    <x v="1"/>
    <s v="File Service – Dosya Arama Endpoint'i Geliştirilmesi"/>
    <x v="18"/>
    <e v="#N/A"/>
    <x v="0"/>
    <s v="-"/>
    <x v="0"/>
    <m/>
  </r>
  <r>
    <x v="0"/>
    <s v="DAVS-78"/>
    <x v="1"/>
    <s v="File Service – Ana Klasördeki Dosyaları Getirme Endpoint'i Geliştirilmesi"/>
    <x v="18"/>
    <e v="#N/A"/>
    <x v="0"/>
    <s v="-"/>
    <x v="0"/>
    <m/>
  </r>
  <r>
    <x v="0"/>
    <s v="DAVS-77"/>
    <x v="1"/>
    <s v="File Service – Önerilen Belgeleri Getirme Endpoint'i Geliştirilmesi"/>
    <x v="18"/>
    <e v="#N/A"/>
    <x v="0"/>
    <s v="-"/>
    <x v="0"/>
    <m/>
  </r>
  <r>
    <x v="0"/>
    <s v="DAVS-75"/>
    <x v="1"/>
    <s v="User Service – OTP Doğrulama ve Token Oluşturma Endpoint'i Geliştirilmesi"/>
    <x v="18"/>
    <e v="#N/A"/>
    <x v="0"/>
    <s v="-"/>
    <x v="0"/>
    <m/>
  </r>
  <r>
    <x v="0"/>
    <s v="DAVS-74"/>
    <x v="1"/>
    <s v="User Service – Giriş ve OTP Gönderimi Endpoint'i Geliştirilmesi"/>
    <x v="18"/>
    <e v="#N/A"/>
    <x v="0"/>
    <s v="-"/>
    <x v="0"/>
    <m/>
  </r>
  <r>
    <x v="0"/>
    <s v="DAVS-73"/>
    <x v="1"/>
    <s v="User Service – Organizasyona Ait Kullanıcıları Getirme Endpoint'i Geliştirilmesi"/>
    <x v="18"/>
    <e v="#N/A"/>
    <x v="0"/>
    <s v="-"/>
    <x v="0"/>
    <m/>
  </r>
  <r>
    <x v="0"/>
    <s v="DAVS-72"/>
    <x v="1"/>
    <s v="User Service – Kullanıcıyı Pasife Çekme Endpoint'i Geliştirilmesi"/>
    <x v="18"/>
    <e v="#N/A"/>
    <x v="0"/>
    <s v="-"/>
    <x v="0"/>
    <m/>
  </r>
  <r>
    <x v="0"/>
    <s v="DAVS-71"/>
    <x v="1"/>
    <s v="User Service – Kullanıcı Bilgisi Güncelleme Endpoint'i Geliştirilmesi"/>
    <x v="18"/>
    <e v="#N/A"/>
    <x v="0"/>
    <s v="-"/>
    <x v="0"/>
    <m/>
  </r>
  <r>
    <x v="0"/>
    <s v="DAVS-70"/>
    <x v="1"/>
    <s v="User Service – Yeni Kullanıcı Oluşturma Endpoint'i Geliştirilmesi"/>
    <x v="18"/>
    <e v="#N/A"/>
    <x v="0"/>
    <s v="-"/>
    <x v="0"/>
    <m/>
  </r>
  <r>
    <x v="0"/>
    <s v="DAVS-69"/>
    <x v="1"/>
    <s v="User Service – Kullanıcının Bilgilerini Getirme Endpoint'i Geliştirilmesi"/>
    <x v="18"/>
    <e v="#N/A"/>
    <x v="0"/>
    <s v="-"/>
    <x v="0"/>
    <m/>
  </r>
  <r>
    <x v="0"/>
    <s v="DAVS-68"/>
    <x v="1"/>
    <s v="Organization Service – Kota ve Kullanım Bilgisi Getirme Endpoint'i Geliştirilmesi"/>
    <x v="18"/>
    <e v="#N/A"/>
    <x v="0"/>
    <s v="-"/>
    <x v="0"/>
    <m/>
  </r>
  <r>
    <x v="0"/>
    <s v="CRM-691"/>
    <x v="1"/>
    <s v="Kurumsal KEP Öneri Firma Adı Karakter Sınırı Güncelleme"/>
    <x v="0"/>
    <e v="#N/A"/>
    <x v="0"/>
    <s v="-"/>
    <x v="0"/>
    <n v="1"/>
  </r>
  <r>
    <x v="0"/>
    <s v="CRM-689"/>
    <x v="1"/>
    <s v="Başvuru Formları CRM İçerisinde Güncellenmesi"/>
    <x v="0"/>
    <e v="#N/A"/>
    <x v="0"/>
    <s v="-"/>
    <x v="0"/>
    <n v="1"/>
  </r>
  <r>
    <x v="0"/>
    <s v="CRM-688"/>
    <x v="0"/>
    <s v="Müşteriye Askıda Olan Siparişi İçin Hatırlatma "/>
    <x v="0"/>
    <e v="#N/A"/>
    <x v="0"/>
    <s v="-"/>
    <x v="0"/>
    <m/>
  </r>
  <r>
    <x v="0"/>
    <s v="CRM-687"/>
    <x v="1"/>
    <s v="E-Ödeme Test Sunucusunun Kurulumu"/>
    <x v="0"/>
    <e v="#N/A"/>
    <x v="0"/>
    <s v="-"/>
    <x v="0"/>
    <n v="2"/>
  </r>
  <r>
    <x v="0"/>
    <s v="CRM-683"/>
    <x v="1"/>
    <s v="E-İmza Aktivasyon SMS'nin Türkkep CRM Üzerinden Tetiklenmesi"/>
    <x v="0"/>
    <e v="#N/A"/>
    <x v="0"/>
    <s v="-"/>
    <x v="0"/>
    <n v="5"/>
  </r>
  <r>
    <x v="0"/>
    <s v="CRM-690"/>
    <x v="0"/>
    <s v="Trendyol'dan Gelen Başvuruların Ayrıştırılması"/>
    <x v="0"/>
    <e v="#N/A"/>
    <x v="0"/>
    <s v="-"/>
    <x v="0"/>
    <n v="2"/>
  </r>
  <r>
    <x v="0"/>
    <s v="KA-1537"/>
    <x v="1"/>
    <s v="Uygulamada İngilizce İfadelerin Türkçeleştirilmesi"/>
    <x v="6"/>
    <e v="#N/A"/>
    <x v="0"/>
    <s v="-"/>
    <x v="0"/>
    <n v="3"/>
  </r>
  <r>
    <x v="0"/>
    <s v="MYS-798"/>
    <x v="1"/>
    <s v="Uygulamada İngilizce İfadelerin Türkçeleştirilmesi"/>
    <x v="12"/>
    <e v="#N/A"/>
    <x v="0"/>
    <s v="-"/>
    <x v="0"/>
    <n v="2"/>
  </r>
  <r>
    <x v="0"/>
    <s v="MU-146"/>
    <x v="1"/>
    <s v="UKDS Giriş Ekranı Alan Gösterimi"/>
    <x v="9"/>
    <e v="#N/A"/>
    <x v="0"/>
    <s v="-"/>
    <x v="0"/>
    <n v="3"/>
  </r>
  <r>
    <x v="0"/>
    <s v="MU-147"/>
    <x v="1"/>
    <s v="UKDS Güncellemeleri Mobil Uygulama Uyumlandırması ve Trendyol Başvuru Süreçleri"/>
    <x v="9"/>
    <e v="#N/A"/>
    <x v="0"/>
    <s v="-"/>
    <x v="0"/>
    <n v="8"/>
  </r>
  <r>
    <x v="0"/>
    <s v="WIK-713"/>
    <x v="1"/>
    <s v="Doğum Tarihi Alanının Tüm Bölgesini Tıklanabilir Olması"/>
    <x v="16"/>
    <e v="#N/A"/>
    <x v="0"/>
    <s v="-"/>
    <x v="0"/>
    <n v="2"/>
  </r>
  <r>
    <x v="0"/>
    <s v="WIK-715"/>
    <x v="1"/>
    <s v="Örnek Excel Formatındaki E-Posta Adresinin Güncellenmesi"/>
    <x v="16"/>
    <e v="#N/A"/>
    <x v="0"/>
    <s v="-"/>
    <x v="0"/>
    <n v="1"/>
  </r>
  <r>
    <x v="0"/>
    <s v="WIK-716"/>
    <x v="1"/>
    <s v="Islak İmza Sürecinde Gösterilen Uyarı Mesajı Kutusunun Boyutunun Küçültülmesi"/>
    <x v="16"/>
    <e v="#N/A"/>
    <x v="0"/>
    <s v="-"/>
    <x v="0"/>
    <n v="1"/>
  </r>
  <r>
    <x v="0"/>
    <s v="IEU-252"/>
    <x v="1"/>
    <s v="EYP 1.3 Dokümana Uygunluk Kapsamında Eksik Kontrollerin Tamamlanması"/>
    <x v="5"/>
    <e v="#N/A"/>
    <x v="0"/>
    <s v="-"/>
    <x v="0"/>
    <n v="3"/>
  </r>
  <r>
    <x v="0"/>
    <s v="IEU-253"/>
    <x v="1"/>
    <s v="EYP 2.0 Dokümana Uygunluk Kapsamında Eksik Kontrollerin Tamamlanması"/>
    <x v="5"/>
    <e v="#N/A"/>
    <x v="0"/>
    <s v="-"/>
    <x v="0"/>
    <n v="3"/>
  </r>
  <r>
    <x v="1"/>
    <s v="IEU-257"/>
    <x v="1"/>
    <s v="Kota hesaplama servisinde bazı hesapların kotası veri tabanına yazılmaması"/>
    <x v="5"/>
    <e v="#N/A"/>
    <x v="0"/>
    <s v="-"/>
    <x v="0"/>
    <n v="1"/>
  </r>
  <r>
    <x v="0"/>
    <s v="MU-149"/>
    <x v="1"/>
    <s v="UKDS Süreç Takibi ve Hata Giderme Çalışmaları"/>
    <x v="9"/>
    <e v="#N/A"/>
    <x v="0"/>
    <s v="-"/>
    <x v="0"/>
    <n v="5"/>
  </r>
  <r>
    <x v="0"/>
    <s v="EFT-2266"/>
    <x v="1"/>
    <s v="Mevcut QR Code Image Alanlarının Kaldırılması – Sadece JavaScript ile Devam Edilmesi"/>
    <x v="4"/>
    <e v="#N/A"/>
    <x v="0"/>
    <s v="-"/>
    <x v="0"/>
    <n v="5"/>
  </r>
  <r>
    <x v="0"/>
    <s v="EFT-2261"/>
    <x v="1"/>
    <s v="Araştırma-Gelen Faturaların Sistem Üzerinde Görünmemesi Durumunun İncelenmesi"/>
    <x v="4"/>
    <e v="#N/A"/>
    <x v="0"/>
    <s v="-"/>
    <x v="0"/>
    <n v="5"/>
  </r>
  <r>
    <x v="0"/>
    <s v="EFT-2259"/>
    <x v="1"/>
    <s v="Web Servis/ 702 Kodlu İhraç Kayıtlı Faturalarda Değişiklik"/>
    <x v="4"/>
    <e v="#N/A"/>
    <x v="0"/>
    <s v="-"/>
    <x v="0"/>
    <n v="2"/>
  </r>
  <r>
    <x v="1"/>
    <s v="EDF-781"/>
    <x v="1"/>
    <s v="Onaylı Defter Silme İşleminde GİB Kontrolü"/>
    <x v="3"/>
    <e v="#N/A"/>
    <x v="0"/>
    <s v="-"/>
    <x v="0"/>
    <n v="1"/>
  </r>
  <r>
    <x v="0"/>
    <s v="KA-1541"/>
    <x v="1"/>
    <s v="OverFrame – AllowedHosts IP Bağımlılığı Sorunu"/>
    <x v="6"/>
    <e v="#N/A"/>
    <x v="0"/>
    <s v="-"/>
    <x v="0"/>
    <n v="5"/>
  </r>
  <r>
    <x v="1"/>
    <s v="EFT-2270"/>
    <x v="1"/>
    <s v="Web Serviste YeniGelenFaturalarıListele Metodu Şahıs Şirketi Bilgileri"/>
    <x v="4"/>
    <e v="#N/A"/>
    <x v="0"/>
    <s v="-"/>
    <x v="0"/>
    <n v="2"/>
  </r>
  <r>
    <x v="1"/>
    <s v="EFT-2269"/>
    <x v="1"/>
    <s v="Web Serviste FaturaGonder Metodu 00 ile Başlayan TaxID Düzeltmesi"/>
    <x v="4"/>
    <e v="#N/A"/>
    <x v="0"/>
    <s v="-"/>
    <x v="0"/>
    <n v="2"/>
  </r>
  <r>
    <x v="0"/>
    <s v="EFT-2268"/>
    <x v="1"/>
    <s v="Konnektör – E-Fatura/İrsaliye Ekranlarında Notlar Alanında Scroll Fonksiyonun Eklenmesi"/>
    <x v="4"/>
    <e v="#N/A"/>
    <x v="0"/>
    <s v="-"/>
    <x v="0"/>
    <n v="1"/>
  </r>
  <r>
    <x v="1"/>
    <s v="EFT-2267"/>
    <x v="1"/>
    <s v="Tüm XSLT’lerde GİB logosu güncellemesi"/>
    <x v="4"/>
    <e v="#N/A"/>
    <x v="0"/>
    <s v="-"/>
    <x v="0"/>
    <n v="1"/>
  </r>
  <r>
    <x v="0"/>
    <s v="DP-285"/>
    <x v="1"/>
    <s v="&quot;Harici Olarak İşaretleme&quot; ve Arşiv Bilgisi Alanlarin Eklenmesi"/>
    <x v="1"/>
    <e v="#N/A"/>
    <x v="0"/>
    <s v="-"/>
    <x v="0"/>
    <n v="1"/>
  </r>
  <r>
    <x v="0"/>
    <s v="CRM-692"/>
    <x v="1"/>
    <s v="Rest Servisinde Kullanılan Zaman Damgası Kullanıcısının Değiştirimesi"/>
    <x v="0"/>
    <e v="#N/A"/>
    <x v="0"/>
    <s v="-"/>
    <x v="0"/>
    <n v="1"/>
  </r>
  <r>
    <x v="0"/>
    <s v="CRM-693"/>
    <x v="1"/>
    <s v="Kurumsal KEP Adresi Öneri Güncelleme"/>
    <x v="0"/>
    <e v="#N/A"/>
    <x v="0"/>
    <s v="-"/>
    <x v="0"/>
    <n v="2"/>
  </r>
  <r>
    <x v="0"/>
    <s v="CRM-702"/>
    <x v="1"/>
    <s v="CRM Sözleşme PDF'i Unvan Uzunlukları ve Adres Formatı"/>
    <x v="0"/>
    <e v="#N/A"/>
    <x v="0"/>
    <s v="-"/>
    <x v="0"/>
    <n v="1"/>
  </r>
  <r>
    <x v="0"/>
    <s v="CRM-700"/>
    <x v="1"/>
    <s v="UKDS Bireysel KEP Kontrol Otomasyonu"/>
    <x v="0"/>
    <e v="#N/A"/>
    <x v="0"/>
    <s v="-"/>
    <x v="0"/>
    <n v="5"/>
  </r>
  <r>
    <x v="0"/>
    <s v="CRM-701"/>
    <x v="1"/>
    <s v="UKDS Kurumsal KEP Kontrol Otomasyonu"/>
    <x v="0"/>
    <e v="#N/A"/>
    <x v="0"/>
    <s v="-"/>
    <x v="0"/>
    <n v="3"/>
  </r>
  <r>
    <x v="0"/>
    <s v="WIK-717"/>
    <x v="1"/>
    <s v="Uygulama İçindeki “KEP Sender” İfadesinin Türkçeleştirilmesi"/>
    <x v="16"/>
    <e v="#N/A"/>
    <x v="0"/>
    <s v="-"/>
    <x v="0"/>
    <n v="1"/>
  </r>
  <r>
    <x v="0"/>
    <s v="WIK-721"/>
    <x v="1"/>
    <s v="İnceleme-Kütüphane Değişliği"/>
    <x v="16"/>
    <e v="#N/A"/>
    <x v="0"/>
    <s v="-"/>
    <x v="0"/>
    <n v="3"/>
  </r>
  <r>
    <x v="0"/>
    <s v="UKDS-176"/>
    <x v="1"/>
    <s v="Test Robot Ortamının Kurulması"/>
    <x v="16"/>
    <e v="#N/A"/>
    <x v="0"/>
    <s v="-"/>
    <x v="0"/>
    <n v="3"/>
  </r>
  <r>
    <x v="0"/>
    <s v="MU-127"/>
    <x v="1"/>
    <s v="Şifremi Unuttum” Ekranında Sayfa Geçişlerinde Oluşan Katmanlama Hatası"/>
    <x v="9"/>
    <e v="#N/A"/>
    <x v="0"/>
    <s v="-"/>
    <x v="0"/>
    <n v="3"/>
  </r>
  <r>
    <x v="1"/>
    <s v="IEU-262"/>
    <x v="1"/>
    <s v="API Entegrasyonu: SBM Firması Yanıtında Türkçe Karakter Kodlama Sorunu (UTF-8)"/>
    <x v="5"/>
    <e v="#N/A"/>
    <x v="0"/>
    <s v="-"/>
    <x v="0"/>
    <n v="3"/>
  </r>
  <r>
    <x v="0"/>
    <s v="MYS-803"/>
    <x v="1"/>
    <s v="İngilizce Metinlerin Türkçeleştirilmesi"/>
    <x v="12"/>
    <e v="#N/A"/>
    <x v="0"/>
    <s v="-"/>
    <x v="0"/>
    <n v="3"/>
  </r>
  <r>
    <x v="1"/>
    <s v="KA-1547"/>
    <x v="1"/>
    <s v="Toplu Dosya İmzalama İşleminde Chrome Performans Sorunu"/>
    <x v="6"/>
    <e v="#N/A"/>
    <x v="0"/>
    <s v="-"/>
    <x v="0"/>
    <n v="3"/>
  </r>
  <r>
    <x v="1"/>
    <s v="KA-1548"/>
    <x v="1"/>
    <s v="Çoklu KEP İletisi Oluşturulduğunda İmzalama Hatası"/>
    <x v="6"/>
    <e v="#N/A"/>
    <x v="0"/>
    <s v="-"/>
    <x v="0"/>
    <n v="3"/>
  </r>
  <r>
    <x v="1"/>
    <s v="MU-126"/>
    <x v="1"/>
    <s v="UKDS Login Ekranında Sayfa Geçişlerinde Görülen Katmanlama Hatası"/>
    <x v="9"/>
    <e v="#N/A"/>
    <x v="0"/>
    <s v="-"/>
    <x v="0"/>
    <n v="3"/>
  </r>
  <r>
    <x v="0"/>
    <s v="MU-152"/>
    <x v="1"/>
    <s v="Deferred Deep Link Entegrasyonu: Teknik Analiz ve MVP Uygulaması"/>
    <x v="9"/>
    <e v="#N/A"/>
    <x v="0"/>
    <s v="-"/>
    <x v="0"/>
    <n v="5"/>
  </r>
  <r>
    <x v="0"/>
    <s v="MU-153"/>
    <x v="0"/>
    <s v="Kullanıcı Davranış Analizi İçin Mobil Uygulama Event'lerinin Entegrasyonu"/>
    <x v="9"/>
    <e v="#N/A"/>
    <x v="0"/>
    <s v="-"/>
    <x v="0"/>
    <n v="5"/>
  </r>
  <r>
    <x v="1"/>
    <s v="ES-303"/>
    <x v="1"/>
    <s v="Yetkilendirme Düzeltmesi"/>
    <x v="21"/>
    <e v="#N/A"/>
    <x v="0"/>
    <s v="-"/>
    <x v="0"/>
    <n v="1"/>
  </r>
  <r>
    <x v="2"/>
    <s v="EFT-2277"/>
    <x v="1"/>
    <s v="EFT-2267 Mevcut default xslt dosyalarının GIB logosunun güncellenmesi"/>
    <x v="4"/>
    <e v="#N/A"/>
    <x v="0"/>
    <s v="-"/>
    <x v="0"/>
    <n v="1"/>
  </r>
  <r>
    <x v="0"/>
    <s v="EFT-2278"/>
    <x v="1"/>
    <s v="e-Fatura portalda parent yapısı için kullanılan imzalamanın set-up güncellemesi"/>
    <x v="4"/>
    <e v="#N/A"/>
    <x v="0"/>
    <s v="-"/>
    <x v="0"/>
    <n v="2"/>
  </r>
  <r>
    <x v="1"/>
    <s v="EFT-2276"/>
    <x v="1"/>
    <s v="Regex Kurallarının Düzenlenmesi"/>
    <x v="4"/>
    <e v="#N/A"/>
    <x v="0"/>
    <s v="-"/>
    <x v="0"/>
    <n v="1"/>
  </r>
  <r>
    <x v="0"/>
    <s v="IEU-263"/>
    <x v="1"/>
    <s v="Entegrasyon Suit - UKDS Servis Uyarılarının Ortaklaştırılması"/>
    <x v="5"/>
    <e v="#N/A"/>
    <x v="0"/>
    <s v="-"/>
    <x v="0"/>
    <n v="5"/>
  </r>
  <r>
    <x v="0"/>
    <s v="EFT-2281"/>
    <x v="1"/>
    <s v="Prod Ortamda Xslt Dosyalarının Script Olması"/>
    <x v="4"/>
    <e v="#N/A"/>
    <x v="0"/>
    <s v="-"/>
    <x v="0"/>
    <n v="5"/>
  </r>
  <r>
    <x v="0"/>
    <s v="EFT-2279"/>
    <x v="1"/>
    <s v="Mail Gönderimlerinin Ortaklaştırılması"/>
    <x v="4"/>
    <e v="#N/A"/>
    <x v="0"/>
    <s v="-"/>
    <x v="0"/>
    <n v="3"/>
  </r>
  <r>
    <x v="0"/>
    <s v="EFT-2280"/>
    <x v="1"/>
    <s v="Kullanıcı Bildirim Stratejisinin Analizi ve Uygulama Bazında Dokümantasyonu"/>
    <x v="4"/>
    <e v="#N/A"/>
    <x v="0"/>
    <s v="-"/>
    <x v="0"/>
    <n v="2"/>
  </r>
  <r>
    <x v="0"/>
    <s v="EFT-2282"/>
    <x v="1"/>
    <s v="SAP Servisleri / Gelenirsliyeindir ve Gelenirsliyelistele Metodlarının İncelenmesi"/>
    <x v="4"/>
    <e v="#N/A"/>
    <x v="0"/>
    <s v="-"/>
    <x v="0"/>
    <n v="2"/>
  </r>
  <r>
    <x v="0"/>
    <s v="CRM-696"/>
    <x v="1"/>
    <s v="E-İmza Siparişleri Ek Düzenleme"/>
    <x v="0"/>
    <e v="#N/A"/>
    <x v="0"/>
    <s v="-"/>
    <x v="0"/>
    <n v="3"/>
  </r>
  <r>
    <x v="0"/>
    <s v="CRM-712"/>
    <x v="1"/>
    <s v="E-Ödeme Linki Gönderiminde Onay Süreci Şartı"/>
    <x v="0"/>
    <e v="#N/A"/>
    <x v="0"/>
    <s v="-"/>
    <x v="0"/>
    <n v="1"/>
  </r>
  <r>
    <x v="0"/>
    <s v="CRM-708"/>
    <x v="1"/>
    <s v="Halkbank Projesi için Statü Kodlarının Eklenmesi"/>
    <x v="0"/>
    <e v="#N/A"/>
    <x v="0"/>
    <s v="-"/>
    <x v="0"/>
    <n v="5"/>
  </r>
  <r>
    <x v="0"/>
    <s v="CRM-709"/>
    <x v="1"/>
    <s v="UKDS Kontrol Otomasyon Raporu"/>
    <x v="0"/>
    <e v="#N/A"/>
    <x v="0"/>
    <s v="-"/>
    <x v="0"/>
    <n v="1"/>
  </r>
  <r>
    <x v="0"/>
    <s v="CRM-710"/>
    <x v="1"/>
    <s v="UKDS Kontrol Otomasyonu Kurumsal KEP Öneri"/>
    <x v="0"/>
    <e v="#N/A"/>
    <x v="0"/>
    <s v="-"/>
    <x v="0"/>
    <n v="3"/>
  </r>
  <r>
    <x v="0"/>
    <s v="CRM-711"/>
    <x v="1"/>
    <s v="MERSİS Sonuç Dokümanı ile CRM Müşteri Ekranı VKN Eşleştirmesi"/>
    <x v="0"/>
    <e v="#N/A"/>
    <x v="0"/>
    <s v="-"/>
    <x v="0"/>
    <n v="3"/>
  </r>
  <r>
    <x v="0"/>
    <s v="UKDS-180"/>
    <x v="1"/>
    <s v="UKDS e- Devlet Onay Linki Süreci İçin Hatırlatma Bildirimleri"/>
    <x v="15"/>
    <e v="#N/A"/>
    <x v="0"/>
    <s v="-"/>
    <x v="0"/>
    <m/>
  </r>
  <r>
    <x v="0"/>
    <s v="WIK-732"/>
    <x v="1"/>
    <s v="Araştırma- Kep İK Servisleri İçin DB Partitioning İşleminin Teknik Değerlendirilmesi"/>
    <x v="16"/>
    <e v="#N/A"/>
    <x v="0"/>
    <s v="-"/>
    <x v="0"/>
    <m/>
  </r>
  <r>
    <x v="0"/>
    <s v="WIK-724"/>
    <x v="1"/>
    <s v="Uyarı Gösteriminde PrimeNG Kütüphanesi Entegrasyonunun Sağlanması"/>
    <x v="16"/>
    <e v="#N/A"/>
    <x v="0"/>
    <s v="-"/>
    <x v="0"/>
    <n v="8"/>
  </r>
  <r>
    <x v="0"/>
    <s v="WIK-725"/>
    <x v="1"/>
    <s v="Toast Mesajlarının Gruplandırmaya Göre Yeniden Düzenlenmesi ve Metinlerin İyileştirilmesi"/>
    <x v="16"/>
    <e v="#N/A"/>
    <x v="0"/>
    <s v="-"/>
    <x v="0"/>
    <n v="3"/>
  </r>
  <r>
    <x v="1"/>
    <s v="KEP-304"/>
    <x v="1"/>
    <s v="KEP Adresi Arama Alanında EYP Görüntüleme Sorunu"/>
    <x v="7"/>
    <e v="#N/A"/>
    <x v="0"/>
    <s v="-"/>
    <x v="0"/>
    <n v="2"/>
  </r>
  <r>
    <x v="0"/>
    <s v="WIK-731"/>
    <x v="1"/>
    <s v="Araştırma- Kullanıcı Yönetimi Ekranı DB Partitioning İşleminin Teknik Değerlendirilmesi"/>
    <x v="16"/>
    <e v="#N/A"/>
    <x v="0"/>
    <s v="-"/>
    <x v="0"/>
    <m/>
  </r>
  <r>
    <x v="0"/>
    <s v="WIK-730"/>
    <x v="1"/>
    <s v="Araştırma- Duyuru Modülü İçin DB Partitioning İşleminin Teknik Değerlendirilmesi"/>
    <x v="16"/>
    <e v="#N/A"/>
    <x v="0"/>
    <s v="-"/>
    <x v="0"/>
    <m/>
  </r>
  <r>
    <x v="0"/>
    <s v="WIK-729"/>
    <x v="1"/>
    <s v="Araştırma- Çalışan Ekle Ekranı İçin DB Partitioning İşleminin Teknik Değerlendirilmesi"/>
    <x v="16"/>
    <e v="#N/A"/>
    <x v="0"/>
    <s v="-"/>
    <x v="0"/>
    <m/>
  </r>
  <r>
    <x v="0"/>
    <s v="WIK-728"/>
    <x v="1"/>
    <s v="Araştırma- Çalışanlar Ekranında DB Partitioning İşleminin Teknik Değerlendirilmesi"/>
    <x v="16"/>
    <e v="#N/A"/>
    <x v="0"/>
    <s v="-"/>
    <x v="0"/>
    <m/>
  </r>
  <r>
    <x v="0"/>
    <s v="WIK-727"/>
    <x v="1"/>
    <s v="Araştırma- İk Gönderimleri DB Partitioning İşleminin Teknik Değerlendirilmesi"/>
    <x v="16"/>
    <e v="#N/A"/>
    <x v="0"/>
    <s v="-"/>
    <x v="0"/>
    <m/>
  </r>
  <r>
    <x v="0"/>
    <s v="WIK-708"/>
    <x v="1"/>
    <s v="Araştırma- Anasayfa  DB Partitioning İşleminin Teknik Değerlendirilmesi"/>
    <x v="16"/>
    <e v="#N/A"/>
    <x v="0"/>
    <s v="-"/>
    <x v="0"/>
    <m/>
  </r>
  <r>
    <x v="0"/>
    <s v="UKDS-181"/>
    <x v="1"/>
    <s v="Kep İK,  Süreçleri İçin Bildirimlerin Ayrıştırılması"/>
    <x v="15"/>
    <e v="#N/A"/>
    <x v="0"/>
    <s v="-"/>
    <x v="0"/>
    <m/>
  </r>
  <r>
    <x v="1"/>
    <s v="MYS-810"/>
    <x v="1"/>
    <s v="KEP İletisi İşlemi Sonrası Görev Statüsünün Hatalı Olarak 'Onay Bekliyor'da Kalması"/>
    <x v="12"/>
    <e v="#N/A"/>
    <x v="0"/>
    <s v="-"/>
    <x v="0"/>
    <n v="2"/>
  </r>
  <r>
    <x v="1"/>
    <s v="MYS-809"/>
    <x v="1"/>
    <s v="SEP Entegrasyonu / Durum  Hatası"/>
    <x v="12"/>
    <e v="#N/A"/>
    <x v="0"/>
    <s v="-"/>
    <x v="0"/>
    <n v="2"/>
  </r>
  <r>
    <x v="0"/>
    <s v="MYS-806"/>
    <x v="1"/>
    <s v="Kullanıcı Yorumu Alanına Tooltip ve Grid Genişletme Fonksiyonun Eklenmesi"/>
    <x v="12"/>
    <e v="#N/A"/>
    <x v="0"/>
    <s v="-"/>
    <x v="0"/>
    <n v="1"/>
  </r>
  <r>
    <x v="0"/>
    <s v="MU-157"/>
    <x v="0"/>
    <s v="Uygulama İçi ve Push Notification Fonksiyonun Eklenmesi"/>
    <x v="9"/>
    <e v="#N/A"/>
    <x v="0"/>
    <s v="-"/>
    <x v="0"/>
    <m/>
  </r>
  <r>
    <x v="1"/>
    <s v="MU-156"/>
    <x v="1"/>
    <s v="Tarih Seçimi Format Hatası: Ayın 10. günü &quot;010&quot; olarak formatlanıyor ve doğrulamayı geçemiyor."/>
    <x v="9"/>
    <e v="#N/A"/>
    <x v="0"/>
    <s v="-"/>
    <x v="0"/>
    <n v="1"/>
  </r>
  <r>
    <x v="0"/>
    <s v="MU-155"/>
    <x v="1"/>
    <s v="Webmail erişim Kontrolün Eklenmesi"/>
    <x v="9"/>
    <e v="#N/A"/>
    <x v="0"/>
    <s v="-"/>
    <x v="0"/>
    <n v="1"/>
  </r>
  <r>
    <x v="0"/>
    <s v="MU-141"/>
    <x v="1"/>
    <s v="Araştırma-FCM Token Alma Hatası Durumların Araştırılması"/>
    <x v="9"/>
    <s v="Done"/>
    <x v="1"/>
    <s v="-"/>
    <x v="2"/>
    <m/>
  </r>
  <r>
    <x v="1"/>
    <s v="MU-125"/>
    <x v="1"/>
    <s v="_currentMailBoxData Alanının Başlatılmaması Nedeniyle Oluşan Hata"/>
    <x v="9"/>
    <e v="#N/A"/>
    <x v="0"/>
    <s v="-"/>
    <x v="0"/>
    <n v="5"/>
  </r>
  <r>
    <x v="0"/>
    <s v="KEP-307"/>
    <x v="1"/>
    <s v="Yetki Alanlarının Web ve Mobil Uygulamalarda Doğru Çalışmasının Test Edilmesi"/>
    <x v="7"/>
    <e v="#N/A"/>
    <x v="0"/>
    <s v="-"/>
    <x v="0"/>
    <m/>
  </r>
  <r>
    <x v="0"/>
    <s v="KEP-306"/>
    <x v="1"/>
    <s v="SOAP servislerde &quot;webmail erişim yetkisi&quot; Kontrolünün Mobil Uygulama için Eklenmesi"/>
    <x v="7"/>
    <e v="#N/A"/>
    <x v="0"/>
    <s v="-"/>
    <x v="0"/>
    <n v="3"/>
  </r>
  <r>
    <x v="1"/>
    <s v="KEP-303"/>
    <x v="1"/>
    <s v="Bazı Senaryolarda &quot;Şifremi Unuttum&quot; Adımında Yaşanan Hata"/>
    <x v="7"/>
    <e v="#N/A"/>
    <x v="0"/>
    <s v="-"/>
    <x v="0"/>
    <n v="5"/>
  </r>
  <r>
    <x v="1"/>
    <s v="KA-1554"/>
    <x v="1"/>
    <s v="KEP Assist Gelen Kutusunda EYP 1.3 iletisi görüntülenmek istendiğinde 500 hatası alınıyor ve ekran donuyor"/>
    <x v="6"/>
    <e v="#N/A"/>
    <x v="0"/>
    <s v="-"/>
    <x v="0"/>
    <n v="1"/>
  </r>
  <r>
    <x v="0"/>
    <s v="DP-284"/>
    <x v="1"/>
    <s v="Destek Portal Veritabanı Hostname Geçişi"/>
    <x v="1"/>
    <e v="#N/A"/>
    <x v="0"/>
    <s v="-"/>
    <x v="0"/>
    <n v="1"/>
  </r>
  <r>
    <x v="0"/>
    <s v="DAVS-176"/>
    <x v="1"/>
    <s v="Kullanıcı statüsünün güncellenmesi"/>
    <x v="18"/>
    <s v="Done"/>
    <x v="0"/>
    <s v="-"/>
    <x v="0"/>
    <m/>
  </r>
  <r>
    <x v="0"/>
    <s v="DAVS-175"/>
    <x v="1"/>
    <s v="E-Defter modülü Defter Rapor Berat dokümanının indirilmesi"/>
    <x v="18"/>
    <s v="Done"/>
    <x v="0"/>
    <s v="-"/>
    <x v="0"/>
    <m/>
  </r>
  <r>
    <x v="0"/>
    <s v="DAVS-174"/>
    <x v="1"/>
    <s v="E-Defter modülü sayfasının oluşturulması"/>
    <x v="18"/>
    <s v="Done"/>
    <x v="0"/>
    <s v="-"/>
    <x v="0"/>
    <m/>
  </r>
  <r>
    <x v="0"/>
    <s v="DAVS-173"/>
    <x v="1"/>
    <s v="E-Defter dokümanlarının indirilmesi"/>
    <x v="18"/>
    <s v="Done"/>
    <x v="0"/>
    <s v="-"/>
    <x v="0"/>
    <m/>
  </r>
  <r>
    <x v="0"/>
    <s v="DAVS-172"/>
    <x v="1"/>
    <s v="E-Defter kayıtlarının listelenmesi"/>
    <x v="18"/>
    <s v="Done"/>
    <x v="0"/>
    <s v="-"/>
    <x v="0"/>
    <m/>
  </r>
  <r>
    <x v="2"/>
    <s v="DAVS-171"/>
    <x v="3"/>
    <s v="Kod refactoring çalışması"/>
    <x v="18"/>
    <e v="#N/A"/>
    <x v="0"/>
    <s v="-"/>
    <x v="0"/>
    <m/>
  </r>
  <r>
    <x v="2"/>
    <s v="DAVS-168"/>
    <x v="1"/>
    <s v="Kod refactoring çalışması"/>
    <x v="18"/>
    <s v="Done"/>
    <x v="0"/>
    <s v="-"/>
    <x v="0"/>
    <m/>
  </r>
  <r>
    <x v="2"/>
    <s v="DAVS-166"/>
    <x v="1"/>
    <s v="Kod refactoring çalışması"/>
    <x v="18"/>
    <s v="Done"/>
    <x v="0"/>
    <s v="-"/>
    <x v="0"/>
    <m/>
  </r>
  <r>
    <x v="0"/>
    <s v="DAVS-165"/>
    <x v="0"/>
    <s v="Faz-1 geliştirmeleri için kod refactoring çalışması"/>
    <x v="18"/>
    <e v="#N/A"/>
    <x v="0"/>
    <s v="-"/>
    <x v="0"/>
    <m/>
  </r>
  <r>
    <x v="0"/>
    <s v="DAVS-164"/>
    <x v="3"/>
    <s v="Servis dokümanının güncellenmesi"/>
    <x v="18"/>
    <e v="#N/A"/>
    <x v="0"/>
    <s v="-"/>
    <x v="0"/>
    <m/>
  </r>
  <r>
    <x v="0"/>
    <s v="DAVS-163"/>
    <x v="1"/>
    <s v="Entegrasyon modülünün kullanıcı yetkilerine göre erişilmesi - E-Defter"/>
    <x v="18"/>
    <s v="Done"/>
    <x v="0"/>
    <s v="-"/>
    <x v="0"/>
    <m/>
  </r>
  <r>
    <x v="0"/>
    <s v="DAVS-104"/>
    <x v="1"/>
    <s v="Integrations Service – Defter Belgesini Getirme Endpoint’i Geliştirilmesi"/>
    <x v="18"/>
    <s v="Done"/>
    <x v="0"/>
    <s v="-"/>
    <x v="0"/>
    <m/>
  </r>
  <r>
    <x v="0"/>
    <s v="DAVS-103"/>
    <x v="1"/>
    <s v="Integrations Service – Defter Kayıtlarını Filtreleme Endpoint’i Geliştirilmesi"/>
    <x v="18"/>
    <s v="Done"/>
    <x v="0"/>
    <s v="-"/>
    <x v="0"/>
    <m/>
  </r>
  <r>
    <x v="0"/>
    <s v="DAVS-102"/>
    <x v="1"/>
    <s v="Integrations Service – Defter Listeleme Endpoint’i Geliştirilmesi"/>
    <x v="18"/>
    <s v="Done"/>
    <x v="0"/>
    <s v="-"/>
    <x v="0"/>
    <m/>
  </r>
  <r>
    <x v="0"/>
    <s v="CRM-717"/>
    <x v="0"/>
    <s v="CRM Satış Raporundaki Olumsuz Durumlar"/>
    <x v="0"/>
    <e v="#N/A"/>
    <x v="0"/>
    <s v="-"/>
    <x v="0"/>
    <m/>
  </r>
  <r>
    <x v="0"/>
    <s v="CRM-716"/>
    <x v="1"/>
    <s v="UKDS Şahıs Şirketi Müşteri Tipi Kontrol Otomasyonu"/>
    <x v="0"/>
    <e v="#N/A"/>
    <x v="0"/>
    <s v="-"/>
    <x v="0"/>
    <n v="3"/>
  </r>
  <r>
    <x v="0"/>
    <s v="CRM-713"/>
    <x v="1"/>
    <s v="UKDS'den Gelen Münferit Kayıtlarda Faaliyet Belgesi ve İmza Sirküsü Zorunluluğunun Kaldırılması"/>
    <x v="0"/>
    <e v="#N/A"/>
    <x v="0"/>
    <s v="-"/>
    <x v="0"/>
    <n v="1"/>
  </r>
  <r>
    <x v="1"/>
    <s v="EFT-2295"/>
    <x v="1"/>
    <s v="'0' Başlayan VKN'lerde Excel Aktarım Hatası Hk."/>
    <x v="4"/>
    <e v="#N/A"/>
    <x v="0"/>
    <s v="-"/>
    <x v="0"/>
    <n v="2"/>
  </r>
  <r>
    <x v="0"/>
    <s v="EFT-2287"/>
    <x v="1"/>
    <s v="140 Sunucusunda &quot;Deleted&quot; Klasörünün Otomatik Temizlenmesi"/>
    <x v="4"/>
    <e v="#N/A"/>
    <x v="0"/>
    <s v="-"/>
    <x v="0"/>
    <n v="3"/>
  </r>
  <r>
    <x v="0"/>
    <s v="DP-287"/>
    <x v="1"/>
    <s v="Template Tablosu İnceleme"/>
    <x v="1"/>
    <e v="#N/A"/>
    <x v="0"/>
    <s v="-"/>
    <x v="0"/>
    <n v="3"/>
  </r>
  <r>
    <x v="0"/>
    <s v="EDF-785"/>
    <x v="1"/>
    <s v="Her Seferinde Aynı Hatayı Alan Parçaların Diğer Defter İşlemlerini Aksatmasının Engellemesi"/>
    <x v="3"/>
    <e v="#N/A"/>
    <x v="0"/>
    <s v="-"/>
    <x v="0"/>
    <n v="3"/>
  </r>
  <r>
    <x v="1"/>
    <s v="WIK-736"/>
    <x v="1"/>
    <s v="KEP İK Delil Raporları Alanında Düzenleme"/>
    <x v="16"/>
    <e v="#N/A"/>
    <x v="0"/>
    <s v="-"/>
    <x v="0"/>
    <n v="5"/>
  </r>
  <r>
    <x v="0"/>
    <s v="WIK-733"/>
    <x v="1"/>
    <s v="Uygulamayı Kullanmadan İptal Eden Müşteriler İçin İptal Süreci Metodu Oluşturulması"/>
    <x v="16"/>
    <e v="#N/A"/>
    <x v="0"/>
    <s v="-"/>
    <x v="0"/>
    <n v="3"/>
  </r>
  <r>
    <x v="0"/>
    <s v="UKDS-187"/>
    <x v="0"/>
    <s v="CRM Üzerinden Açılan UKDS Başvurularında E-Devlet Onayı İçin Hatırlatma Maillerinin Gönderilmesi"/>
    <x v="15"/>
    <e v="#N/A"/>
    <x v="0"/>
    <s v="-"/>
    <x v="0"/>
    <n v="1"/>
  </r>
  <r>
    <x v="0"/>
    <s v="UKDS-186"/>
    <x v="1"/>
    <s v="CRM Süreçlerinde BTK Onayında Bekleyen Kayıtların Otomatik İptali ve “Süresi Geçti” Statüsünün Tanımlanması"/>
    <x v="15"/>
    <e v="#N/A"/>
    <x v="0"/>
    <s v="-"/>
    <x v="0"/>
    <n v="1"/>
  </r>
  <r>
    <x v="0"/>
    <s v="UKDS-185"/>
    <x v="1"/>
    <s v="Paket Seçimi Sonrasında Kullanıcının Ödeme Alanına Yönlendirilmesi ve Ödeme Tamamlanmadan Sürece Devam Edilmemesi"/>
    <x v="15"/>
    <e v="#N/A"/>
    <x v="0"/>
    <s v="-"/>
    <x v="0"/>
    <n v="3"/>
  </r>
  <r>
    <x v="0"/>
    <s v="UKDS-183"/>
    <x v="1"/>
    <s v="Kidos Ekran/ KEP Adres Bilgisi Görüntüleme ve Excel Aktarımı"/>
    <x v="15"/>
    <e v="#N/A"/>
    <x v="0"/>
    <s v="-"/>
    <x v="0"/>
    <m/>
  </r>
  <r>
    <x v="0"/>
    <s v="UKDS-182"/>
    <x v="1"/>
    <s v="Ek İşler Hk"/>
    <x v="15"/>
    <e v="#N/A"/>
    <x v="0"/>
    <s v="-"/>
    <x v="0"/>
    <m/>
  </r>
  <r>
    <x v="0"/>
    <s v="TIM-453"/>
    <x v="1"/>
    <s v="E-İmza Girişinde TCKN Tanımlı Olmayan Kullanıcılarda Hata Bildirimi Gösterilmesi"/>
    <x v="13"/>
    <e v="#N/A"/>
    <x v="0"/>
    <s v="-"/>
    <x v="0"/>
    <m/>
  </r>
  <r>
    <x v="0"/>
    <s v="SMSGW-11"/>
    <x v="1"/>
    <s v="Bakiye Alt Limit Uyarı ve Parametrik Mail Bildirimi"/>
    <x v="22"/>
    <e v="#N/A"/>
    <x v="0"/>
    <s v="-"/>
    <x v="0"/>
    <m/>
  </r>
  <r>
    <x v="0"/>
    <s v="MYS-815"/>
    <x v="1"/>
    <s v="BPA_LST_ATTRIBUTEVALUES_SP"/>
    <x v="12"/>
    <e v="#N/A"/>
    <x v="0"/>
    <s v="-"/>
    <x v="0"/>
    <n v="1"/>
  </r>
  <r>
    <x v="1"/>
    <s v="MU-168"/>
    <x v="1"/>
    <s v="&quot;Şifremi Unuttum&quot; Ekranında KEP Adresi, TCKN ve GSM Alanlarında Format Doğrulaması (Regex Kontrolü) Eksikliği"/>
    <x v="9"/>
    <e v="#N/A"/>
    <x v="0"/>
    <s v="-"/>
    <x v="0"/>
    <n v="5"/>
  </r>
  <r>
    <x v="1"/>
    <s v="MU-167"/>
    <x v="1"/>
    <s v="Posta Kutularında (Inbox) Aşağı Kaydırma Yapıldığında Eski İletiler Yavaş Yükleniyor"/>
    <x v="9"/>
    <e v="#N/A"/>
    <x v="0"/>
    <s v="-"/>
    <x v="0"/>
    <m/>
  </r>
  <r>
    <x v="0"/>
    <s v="MU-164"/>
    <x v="6"/>
    <s v="Android için Debug Apk Oluşturulması"/>
    <x v="9"/>
    <e v="#N/A"/>
    <x v="0"/>
    <s v="-"/>
    <x v="0"/>
    <n v="2"/>
  </r>
  <r>
    <x v="1"/>
    <s v="MU-162"/>
    <x v="1"/>
    <s v="Face ID (yüz tanıma) ile girişte “Bağlantı sorunu oluştu” hatası"/>
    <x v="9"/>
    <e v="#N/A"/>
    <x v="0"/>
    <s v="-"/>
    <x v="0"/>
    <n v="3"/>
  </r>
  <r>
    <x v="0"/>
    <s v="MU-160"/>
    <x v="1"/>
    <s v="Ayarlar Şifre Değiştirme"/>
    <x v="9"/>
    <e v="#N/A"/>
    <x v="0"/>
    <s v="-"/>
    <x v="0"/>
    <n v="3"/>
  </r>
  <r>
    <x v="0"/>
    <s v="MU-159"/>
    <x v="1"/>
    <s v="App Rate Pop-up Eklenmesi"/>
    <x v="9"/>
    <e v="#N/A"/>
    <x v="0"/>
    <s v="-"/>
    <x v="0"/>
    <n v="2"/>
  </r>
  <r>
    <x v="0"/>
    <s v="KEP-308"/>
    <x v="1"/>
    <s v="SOAP servislerde &quot;görme yetkisi&quot; Kontrolünün Mobil Uygulama için Eklenmesi"/>
    <x v="7"/>
    <e v="#N/A"/>
    <x v="0"/>
    <s v="-"/>
    <x v="0"/>
    <m/>
  </r>
  <r>
    <x v="2"/>
    <s v="KA-1559"/>
    <x v="1"/>
    <s v="Sub-Task Veri Modelleri ve İşlem Akışı Hk."/>
    <x v="6"/>
    <e v="#N/A"/>
    <x v="0"/>
    <s v="-"/>
    <x v="0"/>
    <m/>
  </r>
  <r>
    <x v="0"/>
    <s v="KA-1556"/>
    <x v="1"/>
    <s v="Hesap Hata Takibi "/>
    <x v="6"/>
    <e v="#N/A"/>
    <x v="0"/>
    <s v="-"/>
    <x v="0"/>
    <n v="3"/>
  </r>
  <r>
    <x v="1"/>
    <s v="KA-1555"/>
    <x v="1"/>
    <s v="KEP Assist Otomatik Yanıt Süreç Hatası"/>
    <x v="6"/>
    <e v="#N/A"/>
    <x v="0"/>
    <s v="-"/>
    <x v="0"/>
    <n v="3"/>
  </r>
  <r>
    <x v="0"/>
    <s v="IEU-273"/>
    <x v="1"/>
    <s v="EYP Parser v20 – Alan Eksiklikleri ve Boş Response Sorunları"/>
    <x v="5"/>
    <e v="#N/A"/>
    <x v="0"/>
    <s v="-"/>
    <x v="0"/>
    <n v="3"/>
  </r>
  <r>
    <x v="0"/>
    <s v="IEU-272"/>
    <x v="1"/>
    <s v="EYP Parser v13 – Alan Eksiklikleri ve Boş Response Sorunları"/>
    <x v="5"/>
    <e v="#N/A"/>
    <x v="0"/>
    <s v="-"/>
    <x v="0"/>
    <n v="3"/>
  </r>
  <r>
    <x v="0"/>
    <s v="IEU-264"/>
    <x v="6"/>
    <s v="Entegrasyon Suit - UKDS Web Servis Entegrasyonunun Teknik Dokümantasyonunun Hazırlanması"/>
    <x v="5"/>
    <s v="TO TEST"/>
    <x v="1"/>
    <s v="Gelecek Sprint"/>
    <x v="1"/>
    <n v="2"/>
  </r>
  <r>
    <x v="0"/>
    <s v="IEU-258"/>
    <x v="0"/>
    <s v="İnceleme/ e-Güven İmza Test API’si İncelemesi ve Olası Değişiklik Senaryolarının Değerlendirilmesi"/>
    <x v="5"/>
    <e v="#N/A"/>
    <x v="0"/>
    <s v="-"/>
    <x v="0"/>
    <m/>
  </r>
  <r>
    <x v="1"/>
    <s v="EFT-2296"/>
    <x v="1"/>
    <s v="Gelen Fatura Kalemleri Raporunda PartyName Alanı Yoksa Fatura Kalemi Eklenememesi"/>
    <x v="4"/>
    <e v="#N/A"/>
    <x v="0"/>
    <s v="-"/>
    <x v="0"/>
    <n v="1"/>
  </r>
  <r>
    <x v="0"/>
    <s v="EFT-2290"/>
    <x v="0"/>
    <s v="GİB Sicil Servis Testi ile e-Belge Hizmet İptali"/>
    <x v="4"/>
    <e v="#N/A"/>
    <x v="0"/>
    <s v="-"/>
    <x v="0"/>
    <m/>
  </r>
  <r>
    <x v="0"/>
    <s v="EFT-2289"/>
    <x v="1"/>
    <s v="Gelen Fatura için Otomatik İade Faturası Oluşturma Butonu Eklenmesi"/>
    <x v="4"/>
    <e v="#N/A"/>
    <x v="0"/>
    <s v="-"/>
    <x v="0"/>
    <m/>
  </r>
  <r>
    <x v="0"/>
    <s v="EFT-2288"/>
    <x v="1"/>
    <s v="Fatura Takibi için Okundu-Okunmadı Özelliği Eklenmesi"/>
    <x v="4"/>
    <e v="#N/A"/>
    <x v="0"/>
    <s v="-"/>
    <x v="0"/>
    <m/>
  </r>
  <r>
    <x v="2"/>
    <s v="DAVS-170"/>
    <x v="2"/>
    <s v="Kod refactoring çalışması"/>
    <x v="18"/>
    <e v="#N/A"/>
    <x v="0"/>
    <s v="-"/>
    <x v="0"/>
    <m/>
  </r>
  <r>
    <x v="0"/>
    <s v="CRM-727"/>
    <x v="1"/>
    <s v="Sanal Pos Ödeme Limiti Güncellemesi"/>
    <x v="0"/>
    <e v="#N/A"/>
    <x v="0"/>
    <s v="-"/>
    <x v="0"/>
    <n v="1"/>
  </r>
  <r>
    <x v="0"/>
    <s v="CRM-726"/>
    <x v="1"/>
    <s v="Form Kayıtlarının CRM’de Potansiyel Müşteri Olarak Oluşturulması"/>
    <x v="0"/>
    <e v="#N/A"/>
    <x v="0"/>
    <s v="-"/>
    <x v="0"/>
    <n v="3"/>
  </r>
  <r>
    <x v="0"/>
    <s v="CRM-725"/>
    <x v="1"/>
    <s v="Kısmı İade Fatura Kaydı"/>
    <x v="0"/>
    <e v="#N/A"/>
    <x v="0"/>
    <s v="-"/>
    <x v="0"/>
    <n v="2"/>
  </r>
  <r>
    <x v="0"/>
    <s v="CRM-724"/>
    <x v="1"/>
    <s v="KIDOS Kayıtlarında MERSİS Sorgu Dokümanı Ekleme Hatası"/>
    <x v="0"/>
    <s v="Done"/>
    <x v="1"/>
    <s v="-"/>
    <x v="2"/>
    <m/>
  </r>
  <r>
    <x v="0"/>
    <s v="CRM-721"/>
    <x v="0"/>
    <s v="KEP IK KKB Belgesi (PDF) Üretimi"/>
    <x v="0"/>
    <e v="#N/A"/>
    <x v="0"/>
    <s v="-"/>
    <x v="0"/>
    <m/>
  </r>
  <r>
    <x v="0"/>
    <s v="CRM-720"/>
    <x v="1"/>
    <s v="Ödeme Öncelikli Sipariş Yönetimi"/>
    <x v="0"/>
    <e v="#N/A"/>
    <x v="0"/>
    <s v="-"/>
    <x v="0"/>
    <n v="2"/>
  </r>
  <r>
    <x v="0"/>
    <s v="CRM-719"/>
    <x v="1"/>
    <s v="Bireysel ve Kurumsal KEP Sözleşmelerinde(PDF) Eklenecek Bilgiler"/>
    <x v="0"/>
    <e v="#N/A"/>
    <x v="0"/>
    <s v="-"/>
    <x v="0"/>
    <n v="2"/>
  </r>
  <r>
    <x v="0"/>
    <s v="CRM-705"/>
    <x v="1"/>
    <s v="İptal Siparişler Ek Düzenleme"/>
    <x v="0"/>
    <e v="#N/A"/>
    <x v="0"/>
    <s v="-"/>
    <x v="0"/>
    <m/>
  </r>
  <r>
    <x v="0"/>
    <s v="MU-158"/>
    <x v="1"/>
    <s v="Şifre Unuttum Ekranlarının Tasarımlarının Güncellenmesi"/>
    <x v="9"/>
    <e v="#N/A"/>
    <x v="0"/>
    <s v="-"/>
    <x v="0"/>
    <n v="3"/>
  </r>
  <r>
    <x v="0"/>
    <s v="IEU-245"/>
    <x v="1"/>
    <s v="EYP-Service için Teknik Rehbere Göre EYP 1.3 ve 2.0 Testlerinin Gerçekleştirilmesi"/>
    <x v="17"/>
    <e v="#N/A"/>
    <x v="0"/>
    <s v="-"/>
    <x v="0"/>
    <m/>
  </r>
  <r>
    <x v="0"/>
    <s v="IEU-246"/>
    <x v="1"/>
    <s v="timestamp-controller Altındaki Metotlara CloudApiHost Alanının Eklenmesi ve API-Access Token Kontrollü Erişim"/>
    <x v="17"/>
    <e v="#N/A"/>
    <x v="0"/>
    <s v="-"/>
    <x v="0"/>
    <m/>
  </r>
  <r>
    <x v="0"/>
    <s v="IEU-247"/>
    <x v="1"/>
    <s v="Servisteki Hataların Dokümantasyonu"/>
    <x v="17"/>
    <e v="#N/A"/>
    <x v="0"/>
    <s v="-"/>
    <x v="0"/>
    <m/>
  </r>
  <r>
    <x v="0"/>
    <s v="KAN-63"/>
    <x v="1"/>
    <s v="2025-BTA-013 FKM'ne Geçiş Projesi Canlı Ortamı Domain Geçiş Hazırlıkları ve Geçiş"/>
    <x v="19"/>
    <e v="#N/A"/>
    <x v="0"/>
    <s v="-"/>
    <x v="0"/>
    <m/>
  </r>
  <r>
    <x v="0"/>
    <s v="KA-1530"/>
    <x v="1"/>
    <s v="Gelen İletiler EYP 2.0 Görüntüleme Desteği ve Ek Alanların Gösterimi"/>
    <x v="6"/>
    <e v="#N/A"/>
    <x v="0"/>
    <s v="-"/>
    <x v="0"/>
    <m/>
  </r>
  <r>
    <x v="0"/>
    <s v="KA-1531"/>
    <x v="1"/>
    <s v="KEP ve UETS Servislerinden Gelen İletilerde Takvimleme Mekanizması"/>
    <x v="6"/>
    <e v="#N/A"/>
    <x v="0"/>
    <s v="-"/>
    <x v="0"/>
    <m/>
  </r>
  <r>
    <x v="0"/>
    <s v="KA-1533"/>
    <x v="1"/>
    <s v="Güncelleme Paketi hazırlanması"/>
    <x v="6"/>
    <e v="#N/A"/>
    <x v="0"/>
    <s v="-"/>
    <x v="0"/>
    <m/>
  </r>
  <r>
    <x v="0"/>
    <s v="KA-1532"/>
    <x v="1"/>
    <s v="2025-BTA-013 FKM'ne Geçiş Projesi Canlı Ortamı Domain Geçiş Hazırlıkları ve Geçiş"/>
    <x v="6"/>
    <e v="#N/A"/>
    <x v="0"/>
    <s v="-"/>
    <x v="0"/>
    <m/>
  </r>
  <r>
    <x v="0"/>
    <s v="MU-137"/>
    <x v="1"/>
    <s v="Kep Gönderimi – İleti Tipi Seçimini BottomSheet ile Göster"/>
    <x v="9"/>
    <e v="#N/A"/>
    <x v="0"/>
    <s v="-"/>
    <x v="0"/>
    <m/>
  </r>
  <r>
    <x v="0"/>
    <s v="MU-136"/>
    <x v="1"/>
    <s v="Şifremi Unuttum – İnternet Yok Uyarısı"/>
    <x v="9"/>
    <e v="#N/A"/>
    <x v="0"/>
    <s v="-"/>
    <x v="0"/>
    <m/>
  </r>
  <r>
    <x v="0"/>
    <s v="MU-139"/>
    <x v="1"/>
    <s v="Kep Gönderimden Sonra Giden Kutusu Otomatik Açılması"/>
    <x v="9"/>
    <e v="#N/A"/>
    <x v="0"/>
    <s v="-"/>
    <x v="0"/>
    <m/>
  </r>
  <r>
    <x v="0"/>
    <s v="MU-140"/>
    <x v="1"/>
    <s v="SMS Doğrulama/ Kod Silindiğin Butonun Pasif Olması"/>
    <x v="9"/>
    <e v="#N/A"/>
    <x v="0"/>
    <s v="-"/>
    <x v="0"/>
    <m/>
  </r>
  <r>
    <x v="0"/>
    <s v="MU-143"/>
    <x v="1"/>
    <s v="&quot;İleti Detayı (Barkod)&quot; Alanına Bilgilendirme Eklenmesi"/>
    <x v="9"/>
    <e v="#N/A"/>
    <x v="0"/>
    <s v="-"/>
    <x v="0"/>
    <m/>
  </r>
  <r>
    <x v="0"/>
    <s v="CRM-682"/>
    <x v="6"/>
    <s v="E-Belge Entegrasyon Yönetimi Alanı Düzenleme"/>
    <x v="0"/>
    <s v="TO TEST"/>
    <x v="1"/>
    <s v="Gelecek Sprint"/>
    <x v="1"/>
    <n v="2"/>
  </r>
  <r>
    <x v="0"/>
    <s v="CRM-677"/>
    <x v="1"/>
    <s v="Ent. Suit Yenileme ve Modül Yenileme Akışının Düzenlenmesi"/>
    <x v="0"/>
    <e v="#N/A"/>
    <x v="0"/>
    <s v="-"/>
    <x v="0"/>
    <m/>
  </r>
  <r>
    <x v="0"/>
    <s v="UKDS-172"/>
    <x v="1"/>
    <s v="getApplicationsByMobile API’sine Yeni Parametrelerin Eklenmesi"/>
    <x v="15"/>
    <e v="#N/A"/>
    <x v="0"/>
    <s v="-"/>
    <x v="0"/>
    <m/>
  </r>
  <r>
    <x v="0"/>
    <s v="KEP-302"/>
    <x v="3"/>
    <s v="e-Güven İmzalama API Testi"/>
    <x v="7"/>
    <s v="Development"/>
    <x v="1"/>
    <s v="Gelecek Sprint"/>
    <x v="1"/>
    <n v="8"/>
  </r>
  <r>
    <x v="0"/>
    <s v="YZCK-17"/>
    <x v="1"/>
    <s v="Chatbot Webhook Güvenlik Servisi Geliştirmesi"/>
    <x v="23"/>
    <e v="#N/A"/>
    <x v="0"/>
    <s v="-"/>
    <x v="0"/>
    <m/>
  </r>
  <r>
    <x v="0"/>
    <s v="YZCK-16"/>
    <x v="1"/>
    <s v="Chatbot Mobil Uygulama FrontEnd Geliştirme"/>
    <x v="23"/>
    <e v="#N/A"/>
    <x v="0"/>
    <s v="-"/>
    <x v="0"/>
    <m/>
  </r>
  <r>
    <x v="0"/>
    <s v="YZCK-15"/>
    <x v="1"/>
    <s v="Araştırma-Max Iteration Hatası – Agent Döngü Problemi ve Çözüm Uygulamaları"/>
    <x v="23"/>
    <e v="#N/A"/>
    <x v="0"/>
    <s v="-"/>
    <x v="0"/>
    <m/>
  </r>
  <r>
    <x v="0"/>
    <s v="YZCK-10"/>
    <x v="1"/>
    <s v="Chat History Workflow ve PostgreSQL Entegrasyonu"/>
    <x v="23"/>
    <e v="#N/A"/>
    <x v="0"/>
    <s v="-"/>
    <x v="0"/>
    <m/>
  </r>
  <r>
    <x v="0"/>
    <s v="YZCK-9"/>
    <x v="3"/>
    <s v="Vectorel Veri Tabanında Q&amp;A Verilerinin Artırılması"/>
    <x v="23"/>
    <e v="#N/A"/>
    <x v="0"/>
    <s v="-"/>
    <x v="0"/>
    <m/>
  </r>
  <r>
    <x v="1"/>
    <s v="YZCK-8"/>
    <x v="1"/>
    <s v="Excelde Bulunan Linklerin Clickable Olması"/>
    <x v="23"/>
    <e v="#N/A"/>
    <x v="0"/>
    <s v="-"/>
    <x v="0"/>
    <m/>
  </r>
  <r>
    <x v="0"/>
    <s v="YZCK-7"/>
    <x v="1"/>
    <s v="Chatbot Frontend Geliştirme Yaklaşımı İçin Teknik Araştırma"/>
    <x v="23"/>
    <e v="#N/A"/>
    <x v="0"/>
    <s v="-"/>
    <x v="0"/>
    <m/>
  </r>
  <r>
    <x v="1"/>
    <s v="YZCK-6"/>
    <x v="1"/>
    <s v="Promptta Bulunmayan Verilerin Hata Mesajı Düzeltmesi"/>
    <x v="23"/>
    <e v="#N/A"/>
    <x v="0"/>
    <s v="-"/>
    <x v="0"/>
    <m/>
  </r>
  <r>
    <x v="0"/>
    <s v="YZCK-5"/>
    <x v="1"/>
    <s v="Çağrı Merkezi Senaryolarının Database Node (Qdrant)' a Eklenmesi"/>
    <x v="23"/>
    <e v="#N/A"/>
    <x v="0"/>
    <s v="-"/>
    <x v="0"/>
    <m/>
  </r>
  <r>
    <x v="1"/>
    <s v="WIK-627"/>
    <x v="1"/>
    <s v="Kardekod logo ayar ekranı konumların kayması hk."/>
    <x v="16"/>
    <e v="#N/A"/>
    <x v="0"/>
    <s v="-"/>
    <x v="0"/>
    <m/>
  </r>
  <r>
    <x v="1"/>
    <s v="WIK-621"/>
    <x v="1"/>
    <s v="Karekod görsel sorunu"/>
    <x v="16"/>
    <e v="#N/A"/>
    <x v="0"/>
    <s v="-"/>
    <x v="0"/>
    <m/>
  </r>
  <r>
    <x v="1"/>
    <s v="WIK-612"/>
    <x v="1"/>
    <s v="Duyuru modülü Taslakların güncellenmemesi"/>
    <x v="16"/>
    <e v="#N/A"/>
    <x v="0"/>
    <s v="-"/>
    <x v="0"/>
    <m/>
  </r>
  <r>
    <x v="1"/>
    <s v="UKDS-165"/>
    <x v="1"/>
    <s v="Çalışan Ekle Toplu İşlemlerde Paging Sorunu Hk"/>
    <x v="15"/>
    <e v="#N/A"/>
    <x v="0"/>
    <s v="-"/>
    <x v="0"/>
    <m/>
  </r>
  <r>
    <x v="1"/>
    <s v="UKDS-122"/>
    <x v="1"/>
    <s v="KİDOS Kurumsal başvurularda VKN hatası"/>
    <x v="15"/>
    <e v="#N/A"/>
    <x v="0"/>
    <s v="-"/>
    <x v="0"/>
    <m/>
  </r>
  <r>
    <x v="1"/>
    <s v="MYS-816"/>
    <x v="1"/>
    <s v="MYS(agesa) Görevler Toplu İşlemler Alanında SEP İletileri İçin Toplu Aksiyon Butonları Çalışmıyor "/>
    <x v="12"/>
    <e v="#N/A"/>
    <x v="0"/>
    <s v="-"/>
    <x v="0"/>
    <m/>
  </r>
  <r>
    <x v="1"/>
    <s v="MYS-732"/>
    <x v="1"/>
    <s v="SEP İletisi Gönderme Hatası"/>
    <x v="12"/>
    <e v="#N/A"/>
    <x v="0"/>
    <s v="-"/>
    <x v="0"/>
    <m/>
  </r>
  <r>
    <x v="1"/>
    <s v="MYS-731"/>
    <x v="1"/>
    <s v="EYP'lerin Taslaklara Kopyalanma Hatası"/>
    <x v="12"/>
    <e v="#N/A"/>
    <x v="0"/>
    <s v="-"/>
    <x v="0"/>
    <m/>
  </r>
  <r>
    <x v="1"/>
    <s v="MYS-727"/>
    <x v="1"/>
    <s v="Basılı İleti -&gt; Taslaklar Ekranında Silme İşlemi Sırasında Hata ve Uyarılar"/>
    <x v="12"/>
    <e v="#N/A"/>
    <x v="0"/>
    <s v="-"/>
    <x v="0"/>
    <m/>
  </r>
  <r>
    <x v="1"/>
    <s v="MUL-194"/>
    <x v="1"/>
    <s v="Toplu Alıcı Ekleme/Kaydetme Hk."/>
    <x v="11"/>
    <e v="#N/A"/>
    <x v="0"/>
    <s v="-"/>
    <x v="0"/>
    <m/>
  </r>
  <r>
    <x v="1"/>
    <s v="MUL-193"/>
    <x v="1"/>
    <s v="Test Servisleri Genel Test Bulguları-2"/>
    <x v="11"/>
    <e v="#N/A"/>
    <x v="0"/>
    <s v="-"/>
    <x v="0"/>
    <m/>
  </r>
  <r>
    <x v="1"/>
    <s v="MUL-191"/>
    <x v="1"/>
    <s v="Test Servisleri Genel Test Bulguları"/>
    <x v="11"/>
    <e v="#N/A"/>
    <x v="0"/>
    <s v="-"/>
    <x v="0"/>
    <m/>
  </r>
  <r>
    <x v="1"/>
    <s v="MUL-185"/>
    <x v="1"/>
    <s v="Doküman Kişiselleştir Hatası"/>
    <x v="11"/>
    <e v="#N/A"/>
    <x v="0"/>
    <s v="-"/>
    <x v="0"/>
    <m/>
  </r>
  <r>
    <x v="1"/>
    <s v="MUL-182"/>
    <x v="1"/>
    <s v="İTO 65K'lık belge yükleme sonrası oluşan hata"/>
    <x v="11"/>
    <e v="#N/A"/>
    <x v="0"/>
    <s v="-"/>
    <x v="0"/>
    <m/>
  </r>
  <r>
    <x v="1"/>
    <s v="MUL-181"/>
    <x v="1"/>
    <s v="MKR yüksek ölçekli dosyaların indirilmesinde hata"/>
    <x v="11"/>
    <e v="#N/A"/>
    <x v="0"/>
    <s v="-"/>
    <x v="0"/>
    <m/>
  </r>
  <r>
    <x v="1"/>
    <s v="MUL-177"/>
    <x v="1"/>
    <s v="Daha önce silinen belgelerin başka bir belge yüklerken tekrar listelenmesi"/>
    <x v="11"/>
    <e v="#N/A"/>
    <x v="0"/>
    <s v="-"/>
    <x v="0"/>
    <m/>
  </r>
  <r>
    <x v="1"/>
    <s v="MUL-84"/>
    <x v="1"/>
    <s v="Kep iletisi içerik alanındaki metinlerin webmail'den görüntülenme düzenlemesi"/>
    <x v="11"/>
    <e v="#N/A"/>
    <x v="0"/>
    <s v="-"/>
    <x v="0"/>
    <m/>
  </r>
  <r>
    <x v="1"/>
    <s v="MU-174"/>
    <x v="1"/>
    <s v="KEP Mobil Uygulama HTML İçerik Sorunu "/>
    <x v="9"/>
    <e v="#N/A"/>
    <x v="0"/>
    <s v="-"/>
    <x v="0"/>
    <m/>
  </r>
  <r>
    <x v="1"/>
    <s v="MU-173"/>
    <x v="1"/>
    <s v="Yanlış Posta Kutusunda Görünüyor (Gelen Kutusu İken Giden Kutusu Yazıyor)"/>
    <x v="9"/>
    <e v="#N/A"/>
    <x v="0"/>
    <s v="-"/>
    <x v="0"/>
    <m/>
  </r>
  <r>
    <x v="1"/>
    <s v="MU-172"/>
    <x v="1"/>
    <s v="Tarih Seçim Bileşeninde Geri Tuşu Kullanımı: Gün Görünümünden Ay Görünümüne Dönülmüyor, Direkt Yıla Atlıyor"/>
    <x v="9"/>
    <e v="#N/A"/>
    <x v="0"/>
    <s v="-"/>
    <x v="0"/>
    <m/>
  </r>
  <r>
    <x v="1"/>
    <s v="MU-171"/>
    <x v="1"/>
    <s v="UKDS Başvurusu Onayında Akış Kesintisi: &quot;Hayır İptal Etme&quot; Seçeneği Uygulamadan Atıyor (Logout)"/>
    <x v="9"/>
    <e v="#N/A"/>
    <x v="0"/>
    <s v="-"/>
    <x v="0"/>
    <n v="1"/>
  </r>
  <r>
    <x v="1"/>
    <s v="MU-170"/>
    <x v="1"/>
    <s v="Android'de Uygulama İlk Kez Açılırken Bildirim İzni İsteği İki Kez Görünüyor (Reddetmeye Rağmen)"/>
    <x v="9"/>
    <e v="#N/A"/>
    <x v="0"/>
    <s v="-"/>
    <x v="0"/>
    <m/>
  </r>
  <r>
    <x v="1"/>
    <s v="MU-169"/>
    <x v="1"/>
    <s v="Oturum Kapatma (Logout) Sonrası Giriş Ekranında Biyometrik Kimlik Doğrulama Otomatik Tetiklenmiyor"/>
    <x v="9"/>
    <e v="#N/A"/>
    <x v="0"/>
    <s v="-"/>
    <x v="0"/>
    <m/>
  </r>
  <r>
    <x v="1"/>
    <s v="MU-128"/>
    <x v="1"/>
    <s v="Cihazlarda FCM Token Alma Sürecinde Zaman Zaman Oluşan Hata"/>
    <x v="9"/>
    <s v="Done"/>
    <x v="0"/>
    <s v="-"/>
    <x v="0"/>
    <m/>
  </r>
  <r>
    <x v="1"/>
    <s v="MU-123"/>
    <x v="1"/>
    <s v="OTP Doğrulama Alanında Silinen Kod Sonrası &quot;Doğrula&quot; Butonunun Aktif Kalması"/>
    <x v="9"/>
    <e v="#N/A"/>
    <x v="0"/>
    <s v="-"/>
    <x v="0"/>
    <m/>
  </r>
  <r>
    <x v="1"/>
    <s v="KEP-169"/>
    <x v="1"/>
    <s v="EYP İndirme Sorunu"/>
    <x v="7"/>
    <e v="#N/A"/>
    <x v="0"/>
    <s v="-"/>
    <x v="0"/>
    <m/>
  </r>
  <r>
    <x v="1"/>
    <s v="KEP-104"/>
    <x v="1"/>
    <s v="Desteği Olmayan Web Sunucu Uygulaması"/>
    <x v="7"/>
    <e v="#N/A"/>
    <x v="0"/>
    <s v="-"/>
    <x v="0"/>
    <m/>
  </r>
  <r>
    <x v="1"/>
    <s v="KA-1562"/>
    <x v="1"/>
    <s v="Bazı KEP Adreslerinden Gelen İletilerin Ekleri gözükmemektedir."/>
    <x v="6"/>
    <e v="#N/A"/>
    <x v="0"/>
    <s v="-"/>
    <x v="0"/>
    <m/>
  </r>
  <r>
    <x v="1"/>
    <s v="KA-1546"/>
    <x v="1"/>
    <s v="Toplu İmza Sürecinde Sıra Atlama ve FaultException Hatası"/>
    <x v="6"/>
    <e v="#N/A"/>
    <x v="0"/>
    <s v="-"/>
    <x v="0"/>
    <m/>
  </r>
  <r>
    <x v="1"/>
    <s v="KA-1529"/>
    <x v="1"/>
    <s v="İmzalanan iletilerde &quot;İmzalayanlar&quot; alanında yanlış isim bilgisi görünmesi"/>
    <x v="6"/>
    <e v="#N/A"/>
    <x v="0"/>
    <s v="-"/>
    <x v="0"/>
    <m/>
  </r>
  <r>
    <x v="1"/>
    <s v="IEU-281"/>
    <x v="1"/>
    <s v="INT-SUITE Ortamında Bellek Tüketimi Artışı araştırması"/>
    <x v="5"/>
    <e v="#N/A"/>
    <x v="0"/>
    <s v="-"/>
    <x v="0"/>
    <n v="3"/>
  </r>
  <r>
    <x v="1"/>
    <s v="IEU-279"/>
    <x v="1"/>
    <s v="KEP Hesaplarında Onay Sürecindeki Login Hatası"/>
    <x v="5"/>
    <e v="#N/A"/>
    <x v="0"/>
    <s v="-"/>
    <x v="0"/>
    <m/>
  </r>
  <r>
    <x v="1"/>
    <s v="IEU-277"/>
    <x v="0"/>
    <s v="Servisde Listeleme Sorunu: İletilerin Eksik Görüntülenmesi"/>
    <x v="5"/>
    <e v="#N/A"/>
    <x v="0"/>
    <s v="-"/>
    <x v="0"/>
    <m/>
  </r>
  <r>
    <x v="1"/>
    <s v="IEU-243"/>
    <x v="1"/>
    <s v="EYP 2.0 Formatındaki Dosyanın Parse Edilirken Hata Alınması"/>
    <x v="5"/>
    <e v="#N/A"/>
    <x v="0"/>
    <s v="-"/>
    <x v="0"/>
    <m/>
  </r>
  <r>
    <x v="1"/>
    <s v="IEU-242"/>
    <x v="1"/>
    <s v="-_x0009_EYP 1.3’te gerçek kişi oluştururken hata alınması"/>
    <x v="5"/>
    <e v="#N/A"/>
    <x v="0"/>
    <s v="-"/>
    <x v="0"/>
    <m/>
  </r>
  <r>
    <x v="1"/>
    <s v="IEU-237"/>
    <x v="0"/>
    <s v="HSM İmzalamalardaki Hatalar"/>
    <x v="5"/>
    <e v="#N/A"/>
    <x v="0"/>
    <s v="-"/>
    <x v="0"/>
    <m/>
  </r>
  <r>
    <x v="1"/>
    <s v="IEU-118"/>
    <x v="1"/>
    <s v="Mutabakat metodunda gelen ileti adetlerinin sorgu sonucuna yansıtılamaması"/>
    <x v="5"/>
    <e v="#N/A"/>
    <x v="0"/>
    <s v="-"/>
    <x v="0"/>
    <m/>
  </r>
  <r>
    <x v="1"/>
    <s v="IEU-108"/>
    <x v="1"/>
    <s v="Yüksek boyutlu KEP iletisi oluşturma hatası hakkında"/>
    <x v="5"/>
    <e v="#N/A"/>
    <x v="0"/>
    <s v="-"/>
    <x v="0"/>
    <m/>
  </r>
  <r>
    <x v="1"/>
    <s v="EFT-2308"/>
    <x v="1"/>
    <s v="e-Arşiv ve e-Fatura Gönderilen Faturalar Sayfalarından 'e-Posta Gönder' Butonunun Kaldırılması"/>
    <x v="4"/>
    <e v="#N/A"/>
    <x v="0"/>
    <s v="-"/>
    <x v="0"/>
    <m/>
  </r>
  <r>
    <x v="1"/>
    <s v="EFT-2301"/>
    <x v="1"/>
    <s v="Pasif Olan Kullanıcılara Bildirim Maillerinin Gönderilmemesi"/>
    <x v="4"/>
    <e v="#N/A"/>
    <x v="0"/>
    <s v="-"/>
    <x v="0"/>
    <m/>
  </r>
  <r>
    <x v="1"/>
    <s v="EFT-2067"/>
    <x v="1"/>
    <s v="Konnektörde Seçilen Faturanın Mail Olarak Gönderilememesi"/>
    <x v="4"/>
    <e v="#N/A"/>
    <x v="0"/>
    <s v="-"/>
    <x v="0"/>
    <m/>
  </r>
  <r>
    <x v="1"/>
    <s v="EFT-2055"/>
    <x v="1"/>
    <s v="E-Fatura Portal Hizmet Sözleşmesi Alanında Belge Yükleme Limit Kaldırılması"/>
    <x v="4"/>
    <e v="#N/A"/>
    <x v="0"/>
    <s v="-"/>
    <x v="0"/>
    <m/>
  </r>
  <r>
    <x v="1"/>
    <s v="EFT-2022"/>
    <x v="1"/>
    <s v="Konnektörde İrsaliye Oluşturma Ekranında “Cari Seç” ve “Ürün Seç” Butonlarının Kısayollarında ki Hata Hk. "/>
    <x v="4"/>
    <e v="#N/A"/>
    <x v="0"/>
    <s v="-"/>
    <x v="0"/>
    <m/>
  </r>
  <r>
    <x v="1"/>
    <s v="EFT-1996"/>
    <x v="1"/>
    <s v="Portalde Fatura Girişte 'Hesaplanan KDV' değeri ile Fatura Kesildikten Sonra ki 'Hesaplanan KDV' Değeri Arasında ki Fark "/>
    <x v="4"/>
    <e v="#N/A"/>
    <x v="0"/>
    <s v="-"/>
    <x v="0"/>
    <m/>
  </r>
  <r>
    <x v="1"/>
    <s v="EDF-791"/>
    <x v="1"/>
    <s v="Ondalık Birim Nokta Olduğu Defter XML'lerinin Düzeltilmesi"/>
    <x v="3"/>
    <e v="#N/A"/>
    <x v="0"/>
    <s v="-"/>
    <x v="0"/>
    <n v="2"/>
  </r>
  <r>
    <x v="1"/>
    <s v="EDF-789"/>
    <x v="1"/>
    <s v="Şifre Hatırlat Link Düzeltmesi"/>
    <x v="3"/>
    <e v="#N/A"/>
    <x v="0"/>
    <s v="-"/>
    <x v="0"/>
    <m/>
  </r>
  <r>
    <x v="1"/>
    <s v="EDF-738"/>
    <x v="1"/>
    <s v="Scheduler Servis İyileştirmesi"/>
    <x v="3"/>
    <e v="#N/A"/>
    <x v="0"/>
    <s v="-"/>
    <x v="0"/>
    <m/>
  </r>
  <r>
    <x v="1"/>
    <s v="EDF-737"/>
    <x v="1"/>
    <s v="Veritabanında Open Transaction Uyarısı Hk."/>
    <x v="3"/>
    <e v="#N/A"/>
    <x v="0"/>
    <s v="-"/>
    <x v="0"/>
    <m/>
  </r>
  <r>
    <x v="1"/>
    <s v="EDF-735"/>
    <x v="1"/>
    <s v="Bloke Olan Kullanıcı 'Şifre Hatırlat' Butonuna Tıkladığında Ekranda Uyarı Mesajı"/>
    <x v="3"/>
    <e v="#N/A"/>
    <x v="0"/>
    <s v="-"/>
    <x v="0"/>
    <m/>
  </r>
  <r>
    <x v="1"/>
    <s v="EDF-701"/>
    <x v="1"/>
    <s v="Defter Raporu Kuyrukta Bekleme Sorunu "/>
    <x v="3"/>
    <e v="#N/A"/>
    <x v="0"/>
    <s v="-"/>
    <x v="0"/>
    <m/>
  </r>
  <r>
    <x v="1"/>
    <s v="DP-274"/>
    <x v="1"/>
    <s v="KEP-Assist Kep İmza İşlemleri"/>
    <x v="1"/>
    <e v="#N/A"/>
    <x v="0"/>
    <s v="-"/>
    <x v="0"/>
    <m/>
  </r>
  <r>
    <x v="1"/>
    <s v="DP-265"/>
    <x v="1"/>
    <s v="Gönderilen E-Fatura ve E-İrsaliye'de 1163 Olup İçinde 2004 Durumlu Zarf Olanlarda Hata Alması"/>
    <x v="1"/>
    <e v="#N/A"/>
    <x v="0"/>
    <s v="-"/>
    <x v="0"/>
    <m/>
  </r>
  <r>
    <x v="1"/>
    <s v="DP-264"/>
    <x v="1"/>
    <s v="E-Fatura&gt;İptal Firma Modülü Timeout Hata"/>
    <x v="1"/>
    <e v="#N/A"/>
    <x v="0"/>
    <s v="-"/>
    <x v="0"/>
    <m/>
  </r>
  <r>
    <x v="1"/>
    <s v="DP-263"/>
    <x v="1"/>
    <s v="E-Fatura Modülünde Toplu Zarf Sorgulama Ebasebulka İşlem Yapılamaması"/>
    <x v="1"/>
    <e v="#N/A"/>
    <x v="0"/>
    <s v="-"/>
    <x v="0"/>
    <m/>
  </r>
  <r>
    <x v="1"/>
    <s v="DP-261"/>
    <x v="1"/>
    <s v="Gönderilen Faturalarda 1163 Faturaların Zarf Kontrolde 1000 Durumuna Gelmesi"/>
    <x v="1"/>
    <e v="#N/A"/>
    <x v="0"/>
    <s v="-"/>
    <x v="0"/>
    <m/>
  </r>
  <r>
    <x v="1"/>
    <s v="DP-260"/>
    <x v="1"/>
    <s v="E-Fatura&gt;Gelen Faturalarda Yanıt Zarf Kontrolü "/>
    <x v="1"/>
    <e v="#N/A"/>
    <x v="0"/>
    <s v="-"/>
    <x v="0"/>
    <m/>
  </r>
  <r>
    <x v="1"/>
    <s v="DP-259"/>
    <x v="1"/>
    <s v="Rapor &gt; E-Fatura Sayfasında Sorgulama Hatası"/>
    <x v="1"/>
    <e v="#N/A"/>
    <x v="0"/>
    <s v="-"/>
    <x v="0"/>
    <m/>
  </r>
  <r>
    <x v="1"/>
    <s v="DP-258"/>
    <x v="1"/>
    <s v="E-Fatura&gt; Gönderilen Fatura İşlemleri&gt; 1163 Faturaları Hk."/>
    <x v="1"/>
    <e v="#N/A"/>
    <x v="0"/>
    <s v="-"/>
    <x v="0"/>
    <m/>
  </r>
  <r>
    <x v="1"/>
    <s v="DP-253"/>
    <x v="1"/>
    <s v="Raporlar Modülünde 2 Günden Fazla Günlerde Alınan Hata "/>
    <x v="1"/>
    <e v="#N/A"/>
    <x v="0"/>
    <s v="-"/>
    <x v="0"/>
    <m/>
  </r>
  <r>
    <x v="1"/>
    <s v="CRM-539"/>
    <x v="1"/>
    <s v="Toplu KEP IK Bireysel KEP Açılışlarında Rezerve Tablosunun Kontrolü"/>
    <x v="0"/>
    <e v="#N/A"/>
    <x v="0"/>
    <s v="-"/>
    <x v="0"/>
    <m/>
  </r>
  <r>
    <x v="1"/>
    <s v="CRM-523"/>
    <x v="1"/>
    <s v="Pazarama Bug Fix"/>
    <x v="0"/>
    <e v="#N/A"/>
    <x v="0"/>
    <s v="-"/>
    <x v="0"/>
    <m/>
  </r>
  <r>
    <x v="1"/>
    <s v="CRM-522"/>
    <x v="1"/>
    <s v="Teklif Onay Sayfasında Özel İndirim Alanı Hk."/>
    <x v="0"/>
    <e v="#N/A"/>
    <x v="0"/>
    <s v="-"/>
    <x v="0"/>
    <m/>
  </r>
  <r>
    <x v="1"/>
    <s v="CRM-516"/>
    <x v="1"/>
    <s v="Kısmen İade Tutar Bug"/>
    <x v="0"/>
    <e v="#N/A"/>
    <x v="0"/>
    <s v="-"/>
    <x v="0"/>
    <m/>
  </r>
  <r>
    <x v="0"/>
    <s v="CRM-718"/>
    <x v="1"/>
    <s v="Üretim Modülü Ek Geliştirme"/>
    <x v="0"/>
    <e v="#N/A"/>
    <x v="0"/>
    <s v="-"/>
    <x v="0"/>
    <n v="1"/>
  </r>
  <r>
    <x v="0"/>
    <s v="CRM-728"/>
    <x v="1"/>
    <s v="KEP Öneri Metodu Karakter Hatası"/>
    <x v="0"/>
    <e v="#N/A"/>
    <x v="0"/>
    <s v="-"/>
    <x v="0"/>
    <n v="1"/>
  </r>
  <r>
    <x v="0"/>
    <s v="CRM-732"/>
    <x v="1"/>
    <s v="Ödeme Altyapısının Servis ile UKDS ve MU ile Paylaşılması "/>
    <x v="0"/>
    <e v="#N/A"/>
    <x v="0"/>
    <s v="-"/>
    <x v="0"/>
    <n v="3"/>
  </r>
  <r>
    <x v="0"/>
    <s v="CRM-744"/>
    <x v="5"/>
    <s v="Datassist &amp; CRM Entegrasyonu - Kurumsal Müşteri ve Teklif Kayıtları Oluşturma "/>
    <x v="0"/>
    <e v="#N/A"/>
    <x v="0"/>
    <s v="-"/>
    <x v="0"/>
    <n v="3"/>
  </r>
  <r>
    <x v="0"/>
    <s v="CRM-747"/>
    <x v="1"/>
    <s v="Datassist &amp; CRM Entegrasyonu - Kurumsal Teklif İçin Sipariş Detayı ve Sözleşme Kayıtları Oluşturma"/>
    <x v="0"/>
    <e v="#N/A"/>
    <x v="0"/>
    <s v="-"/>
    <x v="0"/>
    <n v="3"/>
  </r>
  <r>
    <x v="0"/>
    <s v="CRM-748"/>
    <x v="5"/>
    <s v="Datassist &amp; CRM Entegrasyonu - Bireysel Sipariş Detayı Oluşturma"/>
    <x v="0"/>
    <e v="#N/A"/>
    <x v="0"/>
    <s v="-"/>
    <x v="0"/>
    <n v="3"/>
  </r>
  <r>
    <x v="0"/>
    <s v="CRM-740"/>
    <x v="1"/>
    <s v="KEP Adresi Açılışında UKDS’ye KEP ID Gönderimi"/>
    <x v="0"/>
    <e v="#N/A"/>
    <x v="0"/>
    <s v="-"/>
    <x v="0"/>
    <n v="2"/>
  </r>
  <r>
    <x v="0"/>
    <s v="CRM-742"/>
    <x v="1"/>
    <s v="UKDS Servisine API Access Token Gönderimi"/>
    <x v="0"/>
    <e v="#N/A"/>
    <x v="0"/>
    <s v="-"/>
    <x v="0"/>
    <n v="3"/>
  </r>
  <r>
    <x v="0"/>
    <s v="CRM-743"/>
    <x v="1"/>
    <s v="RezerveKEP Metoduna API Access Token Parametresi Eklenmesi"/>
    <x v="0"/>
    <e v="#N/A"/>
    <x v="0"/>
    <s v="-"/>
    <x v="0"/>
    <n v="2"/>
  </r>
  <r>
    <x v="0"/>
    <s v="CRM-745"/>
    <x v="1"/>
    <s v="UKDS Kontrol Otomasyonu - E-Devlet Onay İbaresi Alanı Ek Metin"/>
    <x v="0"/>
    <e v="#N/A"/>
    <x v="0"/>
    <s v="-"/>
    <x v="0"/>
    <n v="1"/>
  </r>
  <r>
    <x v="0"/>
    <s v="CRM-749"/>
    <x v="1"/>
    <s v="KEP Oluştur Butonu - Kuyruk Ayrımı"/>
    <x v="0"/>
    <e v="#N/A"/>
    <x v="0"/>
    <s v="-"/>
    <x v="0"/>
    <n v="1"/>
  </r>
  <r>
    <x v="0"/>
    <s v="IEU-278"/>
    <x v="1"/>
    <s v="UKDS Metodlarındaki Güncellemelerin Entegrasyon Suit Tarafında Uygulanması"/>
    <x v="5"/>
    <e v="#N/A"/>
    <x v="0"/>
    <s v="-"/>
    <x v="0"/>
    <n v="5"/>
  </r>
  <r>
    <x v="1"/>
    <s v="IEU-280"/>
    <x v="1"/>
    <s v="EYP 2.0 Paketine İkinci İmza Ekleme İşleminde &quot;Zaten İmzalıdır&quot; Hatası"/>
    <x v="5"/>
    <e v="#N/A"/>
    <x v="0"/>
    <s v="-"/>
    <x v="0"/>
    <n v="3"/>
  </r>
  <r>
    <x v="0"/>
    <s v="KA-1563"/>
    <x v="1"/>
    <s v="Word-PDF Dönüşümü APİ (Office + API) Test ve Doğrulaması"/>
    <x v="6"/>
    <s v="Done"/>
    <x v="0"/>
    <s v="-"/>
    <x v="0"/>
    <n v="5"/>
  </r>
  <r>
    <x v="0"/>
    <s v="KA-1564"/>
    <x v="1"/>
    <s v="EvoPDF ile Word → PDF Dönüşüm Aracı Değerlendirmesi"/>
    <x v="6"/>
    <e v="#N/A"/>
    <x v="0"/>
    <s v="-"/>
    <x v="0"/>
    <n v="2"/>
  </r>
  <r>
    <x v="0"/>
    <s v="MYS-817"/>
    <x v="1"/>
    <s v="Cevap Şablon Modülünün SEP Yanıt Süreç Akışının Sağlanması"/>
    <x v="12"/>
    <e v="#N/A"/>
    <x v="0"/>
    <s v="-"/>
    <x v="0"/>
    <n v="5"/>
  </r>
  <r>
    <x v="0"/>
    <s v="CRM-741"/>
    <x v="5"/>
    <s v="Tekliflerde İade Faturası Sonrası Eksik Fatura Kontrolü"/>
    <x v="0"/>
    <e v="#N/A"/>
    <x v="0"/>
    <s v="-"/>
    <x v="0"/>
    <n v="5"/>
  </r>
  <r>
    <x v="0"/>
    <s v="CRM-736"/>
    <x v="1"/>
    <s v="E-Belge Ürünleri Zorunlu Eşitlemeler"/>
    <x v="0"/>
    <e v="#N/A"/>
    <x v="0"/>
    <s v="-"/>
    <x v="0"/>
    <n v="3"/>
  </r>
  <r>
    <x v="0"/>
    <s v="IEU-282"/>
    <x v="1"/>
    <s v="Araştırma/ İmzalama Sürecinde Aynı Anda Gelen Çoklu İstek Akışının Belirlenmesi"/>
    <x v="5"/>
    <e v="#N/A"/>
    <x v="0"/>
    <s v="-"/>
    <x v="0"/>
    <n v="3"/>
  </r>
  <r>
    <x v="0"/>
    <s v="IEU-283"/>
    <x v="1"/>
    <s v="Araştırma KEP Gönderim Süreçlerinin Tek Metotta Birleştirilmesi ve Optimizasyonu"/>
    <x v="5"/>
    <e v="#N/A"/>
    <x v="0"/>
    <s v="-"/>
    <x v="0"/>
    <n v="3"/>
  </r>
  <r>
    <x v="0"/>
    <s v="MU-163"/>
    <x v="3"/>
    <s v="Paket Seçimi Sonrasında Kullanıcının Ödeme Alanına Yönlendirilmesi ve Ödeme Tamamlanmadan Sürece Devam Edilmemesi"/>
    <x v="9"/>
    <e v="#N/A"/>
    <x v="0"/>
    <s v="-"/>
    <x v="0"/>
    <n v="8"/>
  </r>
  <r>
    <x v="0"/>
    <s v="MU-176"/>
    <x v="1"/>
    <s v="CRM Onayı Bekleyen KEP Adresleri İçin Yönlendirme Sayfalarının Tasarım Güncellemesi"/>
    <x v="9"/>
    <e v="#N/A"/>
    <x v="0"/>
    <s v="-"/>
    <x v="0"/>
    <n v="2"/>
  </r>
  <r>
    <x v="0"/>
    <s v="MU-177"/>
    <x v="1"/>
    <s v="CRM Onayı Bekleyen KEP Adresleri İçin Yönlendirme Sayfalarının API Entegrasyonu"/>
    <x v="9"/>
    <e v="#N/A"/>
    <x v="0"/>
    <s v="-"/>
    <x v="0"/>
    <n v="2"/>
  </r>
  <r>
    <x v="0"/>
    <s v="MYS-821"/>
    <x v="1"/>
    <s v="TEST - E-Tebligat Metninde Satır Başı Sorunu"/>
    <x v="12"/>
    <e v="#N/A"/>
    <x v="0"/>
    <s v="-"/>
    <x v="0"/>
    <m/>
  </r>
  <r>
    <x v="0"/>
    <s v="MYS-820"/>
    <x v="1"/>
    <s v="KEP-Gelen İleti Listeleme Ekranında Giden İleti ID Gösterimi"/>
    <x v="12"/>
    <e v="#N/A"/>
    <x v="0"/>
    <s v="-"/>
    <x v="0"/>
    <n v="3"/>
  </r>
  <r>
    <x v="0"/>
    <s v="UKDS-198"/>
    <x v="1"/>
    <s v="UKDS ana servis ve önyüzde yeni tipe göre güncelleme"/>
    <x v="15"/>
    <e v="#N/A"/>
    <x v="0"/>
    <s v="-"/>
    <x v="0"/>
    <n v="2"/>
  </r>
  <r>
    <x v="0"/>
    <s v="UKDS-189"/>
    <x v="1"/>
    <s v="&quot;Entegrasyon Suit UKDS&quot; servisinin remake çalışması hk"/>
    <x v="15"/>
    <e v="#N/A"/>
    <x v="0"/>
    <s v="-"/>
    <x v="0"/>
    <n v="2"/>
  </r>
  <r>
    <x v="0"/>
    <s v="UKDS-191"/>
    <x v="1"/>
    <s v="Entegrasyon Suit Üzerinden UKDS Modülü Satıldığında UKDS’ye Bilgi Gönderilecek Yeni Methodun Oluşturulması"/>
    <x v="15"/>
    <e v="#N/A"/>
    <x v="0"/>
    <s v="-"/>
    <x v="0"/>
    <n v="2"/>
  </r>
  <r>
    <x v="0"/>
    <s v="UKDS-194"/>
    <x v="1"/>
    <s v="Ön Başvuru Oluşturma Metoduna kepid, producttype ve value Parametrelerinin Eklenmesi"/>
    <x v="15"/>
    <e v="#N/A"/>
    <x v="0"/>
    <s v="-"/>
    <x v="0"/>
    <n v="2"/>
  </r>
  <r>
    <x v="0"/>
    <s v="UKDS-195"/>
    <x v="1"/>
    <s v="Ön Başvuru Düzenleme Metoduna Yeni Parametrelerin Eklenmesi"/>
    <x v="15"/>
    <e v="#N/A"/>
    <x v="0"/>
    <s v="-"/>
    <x v="0"/>
    <n v="1"/>
  </r>
  <r>
    <x v="0"/>
    <s v="UKDS-197"/>
    <x v="1"/>
    <s v="Get Integration/application/{applicationId} Methodunun Response’una kepid Eklenmesi"/>
    <x v="15"/>
    <e v="#N/A"/>
    <x v="0"/>
    <s v="-"/>
    <x v="0"/>
    <n v="1"/>
  </r>
  <r>
    <x v="0"/>
    <s v="UKDS-196"/>
    <x v="1"/>
    <s v="Tüm Başvuruları Listeleme Metodunda kepid Zorunluluğunun Kaldırılması"/>
    <x v="15"/>
    <e v="#N/A"/>
    <x v="0"/>
    <s v="-"/>
    <x v="0"/>
    <n v="1"/>
  </r>
  <r>
    <x v="0"/>
    <s v="UKDS-193"/>
    <x v="1"/>
    <s v="Yeni Bir Başvuru Tipi Eklenmesi: IKENTEGRASYON"/>
    <x v="15"/>
    <e v="#N/A"/>
    <x v="0"/>
    <s v="-"/>
    <x v="0"/>
    <n v="1"/>
  </r>
  <r>
    <x v="0"/>
    <s v="UKDS-192"/>
    <x v="1"/>
    <s v="changestatuscrm Methoduna ‘kepid’ Parametresinin Eklenmesi"/>
    <x v="15"/>
    <e v="#N/A"/>
    <x v="0"/>
    <s v="-"/>
    <x v="0"/>
    <n v="1"/>
  </r>
  <r>
    <x v="0"/>
    <s v="YZCK-19"/>
    <x v="1"/>
    <s v="Ara Servis Katmanında IP Kontrolünün Yapılabilmesi"/>
    <x v="23"/>
    <e v="#N/A"/>
    <x v="0"/>
    <s v="-"/>
    <x v="0"/>
    <m/>
  </r>
  <r>
    <x v="0"/>
    <s v="YZCK-18"/>
    <x v="0"/>
    <s v="Araştırma- Chat Değerlendirme Workflow'da Ürün Bazlı Değerlendirme Sonucu"/>
    <x v="23"/>
    <e v="#N/A"/>
    <x v="0"/>
    <s v="-"/>
    <x v="0"/>
    <m/>
  </r>
  <r>
    <x v="0"/>
    <s v="UKDS-200"/>
    <x v="1"/>
    <s v="Kidos Ekranlarına Aktif/Pasif Statün Eklenmesi"/>
    <x v="15"/>
    <e v="#N/A"/>
    <x v="0"/>
    <s v="-"/>
    <x v="0"/>
    <m/>
  </r>
  <r>
    <x v="0"/>
    <s v="UKDS-199"/>
    <x v="0"/>
    <s v="UKDS Paket Seçimi Sonrası Ödeme Adımı Servis Entegrasyonunun Gerçekleştirilmesi"/>
    <x v="15"/>
    <e v="#N/A"/>
    <x v="0"/>
    <s v="-"/>
    <x v="0"/>
    <m/>
  </r>
  <r>
    <x v="0"/>
    <s v="MU-175"/>
    <x v="6"/>
    <s v="API Bağlantılarındaki Responselar için Model Düzenlemeleri"/>
    <x v="9"/>
    <e v="#N/A"/>
    <x v="0"/>
    <s v="-"/>
    <x v="0"/>
    <n v="5"/>
  </r>
  <r>
    <x v="2"/>
    <s v="EFT-2311"/>
    <x v="1"/>
    <s v="e-Fatura Portal"/>
    <x v="4"/>
    <e v="#N/A"/>
    <x v="0"/>
    <s v="-"/>
    <x v="0"/>
    <m/>
  </r>
  <r>
    <x v="0"/>
    <s v="EFT-2310"/>
    <x v="0"/>
    <s v="İlaçTıbbiAçıklama Alanın Tıklanabilir Input Tablosuna Dönüştürülmesi"/>
    <x v="4"/>
    <e v="#N/A"/>
    <x v="0"/>
    <s v="-"/>
    <x v="0"/>
    <m/>
  </r>
  <r>
    <x v="0"/>
    <s v="EFT-2309"/>
    <x v="0"/>
    <s v="e-Fatura - İlk Aktivasyon Esnasında Mükelleflerin İmza/Mali Mühür Sertifikasyon Başlangıç-Bitiş Tarih Loglama"/>
    <x v="4"/>
    <e v="#N/A"/>
    <x v="0"/>
    <s v="-"/>
    <x v="0"/>
    <m/>
  </r>
  <r>
    <x v="0"/>
    <s v="EFT-2298"/>
    <x v="1"/>
    <s v="GİB - &quot;CurrencyCodeList&quot; Güncellenmesi "/>
    <x v="4"/>
    <e v="#N/A"/>
    <x v="0"/>
    <s v="-"/>
    <x v="0"/>
    <m/>
  </r>
  <r>
    <x v="0"/>
    <s v="EFT-2297"/>
    <x v="1"/>
    <s v="GİB - ILAC_TIBBICIHAZ Profilinde &quot;AdditionalItemIdentification&quot; Kontrolü "/>
    <x v="4"/>
    <e v="#N/A"/>
    <x v="0"/>
    <s v="-"/>
    <x v="0"/>
    <m/>
  </r>
  <r>
    <x v="0"/>
    <s v="DP-288"/>
    <x v="1"/>
    <s v="KEP Assist - Hesap Hata Takibi Tablosu Eklenmesi"/>
    <x v="1"/>
    <e v="#N/A"/>
    <x v="0"/>
    <s v="-"/>
    <x v="0"/>
    <m/>
  </r>
  <r>
    <x v="0"/>
    <s v="CRM-746"/>
    <x v="0"/>
    <s v="Sipariş Detayı Sayfası – İyileştirme Çalışması"/>
    <x v="0"/>
    <e v="#N/A"/>
    <x v="0"/>
    <s v="-"/>
    <x v="0"/>
    <m/>
  </r>
  <r>
    <x v="0"/>
    <s v="CRM-739"/>
    <x v="1"/>
    <s v="KEP Zorunlu Eşitlemeler"/>
    <x v="0"/>
    <e v="#N/A"/>
    <x v="0"/>
    <s v="-"/>
    <x v="0"/>
    <n v="2"/>
  </r>
  <r>
    <x v="0"/>
    <s v="CRM-738"/>
    <x v="6"/>
    <s v="KEP Opsiyonel Eşitlemeler"/>
    <x v="0"/>
    <s v="TO TEST"/>
    <x v="1"/>
    <s v="Gelecek Sprint"/>
    <x v="1"/>
    <m/>
  </r>
  <r>
    <x v="0"/>
    <s v="CRM-737"/>
    <x v="5"/>
    <s v="Kurumsal Çözümler Zorunlu Eşitlemeler"/>
    <x v="0"/>
    <s v="In Test"/>
    <x v="1"/>
    <s v="Gelecek Sprint"/>
    <x v="1"/>
    <n v="2"/>
  </r>
  <r>
    <x v="0"/>
    <s v="CRM-734"/>
    <x v="0"/>
    <s v="KEP IK Başvuru Süreci CRM ve UKDS Sistemleri Arası Doğrulama"/>
    <x v="0"/>
    <e v="#N/A"/>
    <x v="0"/>
    <s v="-"/>
    <x v="0"/>
    <m/>
  </r>
  <r>
    <x v="0"/>
    <s v="CRM-733"/>
    <x v="0"/>
    <s v="UKDS Kaynaklı Başvuru Durumlarının CRM Sisteminde Görüntülenmesi"/>
    <x v="0"/>
    <e v="#N/A"/>
    <x v="0"/>
    <s v="-"/>
    <x v="0"/>
    <m/>
  </r>
  <r>
    <x v="0"/>
    <s v="CRM-729"/>
    <x v="0"/>
    <s v="Ent. Suit Sözleşme Bitiş Bildirimi"/>
    <x v="0"/>
    <e v="#N/A"/>
    <x v="0"/>
    <s v="-"/>
    <x v="0"/>
    <m/>
  </r>
  <r>
    <x v="0"/>
    <s v="UKDS-201"/>
    <x v="1"/>
    <s v="Toplu Çalışan Ekleme – Excel Format Doğrulama Akışındaki Tarih Formatının Kontrolü"/>
    <x v="15"/>
    <e v="#N/A"/>
    <x v="0"/>
    <s v="-"/>
    <x v="0"/>
    <n v="3"/>
  </r>
  <r>
    <x v="0"/>
    <s v="WIK-741"/>
    <x v="1"/>
    <s v="Çalışan Ekle Ekranında Ad–Soyad Bilgilerinin Tüm Fonksiyonlarda Görüntülenmesi ve Aranabilir Hale Getirilmesi"/>
    <x v="16"/>
    <e v="#N/A"/>
    <x v="0"/>
    <s v="-"/>
    <x v="0"/>
    <n v="5"/>
  </r>
  <r>
    <x v="0"/>
    <s v="WIK-743"/>
    <x v="1"/>
    <s v="Çalışanlar Ekranına Çalışan Grubu Kolonu Eklenmesi"/>
    <x v="16"/>
    <e v="#N/A"/>
    <x v="0"/>
    <s v="-"/>
    <x v="0"/>
    <n v="5"/>
  </r>
  <r>
    <x v="0"/>
    <s v="EFT-2307"/>
    <x v="1"/>
    <s v="e-Arşiv Fatura - Yatırım Teşvik Belgesi Faturası Oluşturulup Gönderilmesi"/>
    <x v="4"/>
    <e v="#N/A"/>
    <x v="0"/>
    <s v="-"/>
    <x v="0"/>
    <n v="8"/>
  </r>
  <r>
    <x v="0"/>
    <s v="EFT-2306"/>
    <x v="1"/>
    <s v="e-Fatura - Yatırım Teşvik Belgesi Faturası Oluşturulup Gönderilmesi"/>
    <x v="4"/>
    <e v="#N/A"/>
    <x v="0"/>
    <s v="-"/>
    <x v="0"/>
    <n v="8"/>
  </r>
  <r>
    <x v="0"/>
    <s v="EFT-791"/>
    <x v="0"/>
    <s v="Ondalık Birim Nokta Olduğu Defter XML'lerinin Düzeltilmesi"/>
    <x v="4"/>
    <e v="#N/A"/>
    <x v="0"/>
    <s v="-"/>
    <x v="0"/>
    <n v="2"/>
  </r>
  <r>
    <x v="0"/>
    <s v="EDF-788"/>
    <x v="1"/>
    <s v="Araştırma - e-Envanter Defterinin e-Defter Altında Konumlandırılması"/>
    <x v="3"/>
    <e v="#N/A"/>
    <x v="0"/>
    <s v="-"/>
    <x v="0"/>
    <n v="3"/>
  </r>
  <r>
    <x v="0"/>
    <s v="EFT-2300"/>
    <x v="1"/>
    <s v="GİB - e-Arşiv Paket Güncellemesi"/>
    <x v="4"/>
    <e v="#N/A"/>
    <x v="0"/>
    <s v="-"/>
    <x v="0"/>
    <n v="2"/>
  </r>
  <r>
    <x v="0"/>
    <s v="EFT-2299"/>
    <x v="1"/>
    <s v="GİB - e-Fatura Paketi Güncelleme"/>
    <x v="4"/>
    <e v="#N/A"/>
    <x v="0"/>
    <s v="-"/>
    <x v="0"/>
    <n v="1"/>
  </r>
  <r>
    <x v="0"/>
    <s v="EFT-2275"/>
    <x v="1"/>
    <s v="e- Belge “GIB” Ön Ek Düzenlemeleri"/>
    <x v="4"/>
    <e v="#N/A"/>
    <x v="0"/>
    <s v="-"/>
    <x v="0"/>
    <n v="5"/>
  </r>
  <r>
    <x v="1"/>
    <s v="IEU-287"/>
    <x v="1"/>
    <s v="Başarısız işlem hatası- api/v1/eyp/parser/v20/download/ek 401 başarısız işlem"/>
    <x v="5"/>
    <e v="#N/A"/>
    <x v="0"/>
    <s v="-"/>
    <x v="0"/>
    <n v="3"/>
  </r>
  <r>
    <x v="0"/>
    <s v="KA-1567"/>
    <x v="1"/>
    <s v="Güncelleme Paketi Hazırlanması"/>
    <x v="6"/>
    <e v="#N/A"/>
    <x v="0"/>
    <s v="-"/>
    <x v="0"/>
    <n v="3"/>
  </r>
  <r>
    <x v="1"/>
    <s v="KA-1571"/>
    <x v="1"/>
    <s v="Hesap Oluşturma Sırasında Statü Seçilmemesi Sonucu Hesap Ayarları Ekranında Hata Oluşumu"/>
    <x v="6"/>
    <e v="#N/A"/>
    <x v="0"/>
    <s v="-"/>
    <x v="0"/>
    <n v="1"/>
  </r>
  <r>
    <x v="0"/>
    <s v="MU-180"/>
    <x v="1"/>
    <s v="Ilk Onay Gerekiyor Surecinde Sms Doğrulama Adımı"/>
    <x v="9"/>
    <e v="#N/A"/>
    <x v="0"/>
    <s v="-"/>
    <x v="0"/>
    <n v="3"/>
  </r>
  <r>
    <x v="0"/>
    <s v="MU-179"/>
    <x v="1"/>
    <s v="Login Hata Mesajının Güncellenmesi"/>
    <x v="9"/>
    <e v="#N/A"/>
    <x v="0"/>
    <s v="-"/>
    <x v="0"/>
    <n v="1"/>
  </r>
  <r>
    <x v="0"/>
    <s v="MU-183"/>
    <x v="1"/>
    <s v="KEP İletisi Silme Servisi Geliştirme"/>
    <x v="9"/>
    <e v="#N/A"/>
    <x v="0"/>
    <s v="-"/>
    <x v="0"/>
    <n v="3"/>
  </r>
  <r>
    <x v="1"/>
    <s v="EFT-2332"/>
    <x v="1"/>
    <s v="Aselsan Geliştirmesi Sonucu Additional Item Alanında SchemeID Gelmemesi"/>
    <x v="4"/>
    <e v="#N/A"/>
    <x v="0"/>
    <s v="-"/>
    <x v="0"/>
    <n v="1"/>
  </r>
  <r>
    <x v="0"/>
    <s v="EFT-2331"/>
    <x v="1"/>
    <s v="MA3 API e-imza Lisans Güncelleme ve Testi"/>
    <x v="4"/>
    <e v="#N/A"/>
    <x v="0"/>
    <s v="-"/>
    <x v="0"/>
    <n v="1"/>
  </r>
  <r>
    <x v="0"/>
    <s v="EFT-2325"/>
    <x v="0"/>
    <s v="GİB Sicil Servis Test Entegresi"/>
    <x v="4"/>
    <e v="#N/A"/>
    <x v="0"/>
    <s v="-"/>
    <x v="0"/>
    <n v="8"/>
  </r>
  <r>
    <x v="0"/>
    <s v="EFT-2322"/>
    <x v="0"/>
    <s v="GİB Sicil Servis Canlı Entegresi"/>
    <x v="4"/>
    <e v="#N/A"/>
    <x v="0"/>
    <s v="-"/>
    <x v="0"/>
    <n v="13"/>
  </r>
  <r>
    <x v="1"/>
    <s v="WIK-749"/>
    <x v="1"/>
    <s v="Çalışan Grubunda Zorunlu Olan Alanların Boş Bırakılması Uyarı Bildirimi"/>
    <x v="16"/>
    <e v="#N/A"/>
    <x v="0"/>
    <s v="-"/>
    <x v="0"/>
    <n v="1"/>
  </r>
  <r>
    <x v="1"/>
    <s v="WIK-748"/>
    <x v="1"/>
    <s v="Belge Raporları Devam Eden Rapor İstekleri Türkçeleştirilmesi"/>
    <x v="16"/>
    <e v="#N/A"/>
    <x v="0"/>
    <s v="-"/>
    <x v="0"/>
    <n v="1"/>
  </r>
  <r>
    <x v="1"/>
    <s v="WIK-747"/>
    <x v="1"/>
    <s v="Belge Raporu Sayfasında Yeni Açılan Dönemlerin Gelmemesi"/>
    <x v="16"/>
    <e v="#N/A"/>
    <x v="0"/>
    <s v="-"/>
    <x v="0"/>
    <n v="2"/>
  </r>
  <r>
    <x v="0"/>
    <s v="WIK-754"/>
    <x v="1"/>
    <s v="Sol Menü Alt Menülerinin Görselleştirilmesinin Local Ortamda Test Edilmesi"/>
    <x v="16"/>
    <e v="#N/A"/>
    <x v="0"/>
    <s v="-"/>
    <x v="0"/>
    <n v="1"/>
  </r>
  <r>
    <x v="0"/>
    <s v="WIK-751"/>
    <x v="1"/>
    <s v="Belirlenen Kütüphanelerin Güncel Versiyonlarının Uygulanması"/>
    <x v="16"/>
    <e v="#N/A"/>
    <x v="0"/>
    <s v="-"/>
    <x v="0"/>
    <n v="3"/>
  </r>
  <r>
    <x v="0"/>
    <s v="WIK-753"/>
    <x v="1"/>
    <s v="Belirlenen Sorguların Güncellenmesi"/>
    <x v="16"/>
    <e v="#N/A"/>
    <x v="0"/>
    <s v="-"/>
    <x v="0"/>
    <n v="3"/>
  </r>
  <r>
    <x v="0"/>
    <s v="UKDS-203"/>
    <x v="1"/>
    <s v="Swagger Açıklamalarının Düzenlenmesi"/>
    <x v="15"/>
    <e v="#N/A"/>
    <x v="0"/>
    <s v="-"/>
    <x v="0"/>
    <n v="1"/>
  </r>
  <r>
    <x v="0"/>
    <s v="CRM-752"/>
    <x v="1"/>
    <s v="Kurumsal KEP Öneri Metodu - Ek Geliştirme"/>
    <x v="0"/>
    <e v="#N/A"/>
    <x v="0"/>
    <s v="-"/>
    <x v="0"/>
    <n v="1"/>
  </r>
  <r>
    <x v="0"/>
    <s v="CRM-753"/>
    <x v="6"/>
    <s v="Datassist &amp; CRM Entegrasyonu - Kurumsal Sözleşme Oluştur Metodu Tanımlanması"/>
    <x v="0"/>
    <e v="#N/A"/>
    <x v="0"/>
    <s v="-"/>
    <x v="0"/>
    <n v="1"/>
  </r>
  <r>
    <x v="0"/>
    <s v="CRM-754"/>
    <x v="6"/>
    <s v="Kurumsal KEP Oluştur Butonunun JOB'a Bağlanması"/>
    <x v="0"/>
    <s v="TO TEST"/>
    <x v="1"/>
    <s v="Gelecek Sprint"/>
    <x v="1"/>
    <n v="1"/>
  </r>
  <r>
    <x v="0"/>
    <s v="CRM-757"/>
    <x v="6"/>
    <s v="UKDS Otomasyonu - Ek Kontrol"/>
    <x v="0"/>
    <e v="#N/A"/>
    <x v="0"/>
    <s v="-"/>
    <x v="0"/>
    <n v="1"/>
  </r>
  <r>
    <x v="0"/>
    <s v="KA-1568"/>
    <x v="1"/>
    <s v="KEPAssist Testi (Paket Öncesi)"/>
    <x v="6"/>
    <e v="#N/A"/>
    <x v="0"/>
    <s v="-"/>
    <x v="0"/>
    <m/>
  </r>
  <r>
    <x v="0"/>
    <s v="MYS-825"/>
    <x v="1"/>
    <s v="E-Tebligat Metninde Satır Başı Sorunu"/>
    <x v="12"/>
    <e v="#N/A"/>
    <x v="0"/>
    <s v="-"/>
    <x v="0"/>
    <n v="3"/>
  </r>
  <r>
    <x v="0"/>
    <s v="MYS-822"/>
    <x v="1"/>
    <s v="Listeleme Ekranlarında Grid Yüksekliğinin Artırılması"/>
    <x v="12"/>
    <e v="#N/A"/>
    <x v="0"/>
    <s v="-"/>
    <x v="0"/>
    <n v="1"/>
  </r>
  <r>
    <x v="0"/>
    <s v="MYS-818"/>
    <x v="1"/>
    <s v="Gelen Basılı İletiler / Editör Alanının Eklenmesi"/>
    <x v="12"/>
    <e v="#N/A"/>
    <x v="0"/>
    <s v="-"/>
    <x v="0"/>
    <n v="5"/>
  </r>
  <r>
    <x v="0"/>
    <s v="MYS-819"/>
    <x v="1"/>
    <s v="Yeniden Çalıştır Akışının Güvercin Onayı Atlanarak Görev Kutusuna Düşmesi"/>
    <x v="12"/>
    <e v="#N/A"/>
    <x v="0"/>
    <s v="-"/>
    <x v="0"/>
    <n v="3"/>
  </r>
  <r>
    <x v="1"/>
    <s v="EFT-2326"/>
    <x v="1"/>
    <s v="GİB Mükellef Listesi Tarih Formatı Hatası Hk."/>
    <x v="4"/>
    <e v="#N/A"/>
    <x v="0"/>
    <s v="-"/>
    <x v="0"/>
    <n v="3"/>
  </r>
  <r>
    <x v="0"/>
    <s v="UKDS-179"/>
    <x v="1"/>
    <s v="Kullanıcı Bildirim Stratejisinin Analizi ve Uygulama Bazında Dokümantasyonu"/>
    <x v="15"/>
    <e v="#N/A"/>
    <x v="0"/>
    <s v="-"/>
    <x v="0"/>
    <n v="2"/>
  </r>
  <r>
    <x v="0"/>
    <s v="CRM-756"/>
    <x v="1"/>
    <s v="UKDS Otomasyon Manuel İşlemler - Rapor"/>
    <x v="0"/>
    <e v="#N/A"/>
    <x v="0"/>
    <s v="-"/>
    <x v="0"/>
    <n v="1"/>
  </r>
  <r>
    <x v="0"/>
    <s v="MYS-832"/>
    <x v="1"/>
    <s v="Güncelleme Paketi hazırlanması"/>
    <x v="12"/>
    <e v="#N/A"/>
    <x v="0"/>
    <s v="-"/>
    <x v="0"/>
    <n v="3"/>
  </r>
  <r>
    <x v="0"/>
    <s v="MYS-826"/>
    <x v="1"/>
    <s v="Haciz Ekleme ve Haciz Kaldırma Metni Alanlarına Karakter Sınırı Uyarısı Eklenmesi"/>
    <x v="12"/>
    <e v="#N/A"/>
    <x v="0"/>
    <s v="-"/>
    <x v="0"/>
    <n v="1"/>
  </r>
  <r>
    <x v="0"/>
    <s v="MYS-827"/>
    <x v="1"/>
    <s v="Haciz Ekleme ve Haciz Kaldırma Metni Alanlarının Default Satır Yüksekliği Düzenlenmesi"/>
    <x v="12"/>
    <e v="#N/A"/>
    <x v="0"/>
    <s v="-"/>
    <x v="0"/>
    <n v="1"/>
  </r>
  <r>
    <x v="0"/>
    <s v="MU-181"/>
    <x v="1"/>
    <s v="Mobil Uygulama / UKDS Süreçlerine Yeni Başvuru Tipi Eklenmesi"/>
    <x v="9"/>
    <e v="#N/A"/>
    <x v="0"/>
    <s v="-"/>
    <x v="0"/>
    <n v="1"/>
  </r>
  <r>
    <x v="0"/>
    <s v="IEU-292"/>
    <x v="1"/>
    <s v="MA3 API Mobil İmza Lisans Güncelleme Teknik Hazırlık ve Testleri"/>
    <x v="5"/>
    <e v="#N/A"/>
    <x v="0"/>
    <s v="-"/>
    <x v="0"/>
    <n v="1"/>
  </r>
  <r>
    <x v="0"/>
    <s v="IEU-294"/>
    <x v="1"/>
    <s v="MA3 API Ent Suit Güncellemeleri hk"/>
    <x v="5"/>
    <e v="#N/A"/>
    <x v="0"/>
    <s v="-"/>
    <x v="0"/>
    <n v="1"/>
  </r>
  <r>
    <x v="0"/>
    <s v="IEU-291"/>
    <x v="1"/>
    <s v="KEP Gönderim Sürecinin Tek Metot Altında Birleştirilmesi"/>
    <x v="5"/>
    <s v="Done"/>
    <x v="1"/>
    <s v="-"/>
    <x v="2"/>
    <n v="8"/>
  </r>
  <r>
    <x v="0"/>
    <s v="KA-1575"/>
    <x v="1"/>
    <s v="Docx Dönüşümü Windows Servis/Etys Entegrasyonu"/>
    <x v="6"/>
    <s v="Done"/>
    <x v="0"/>
    <s v="-"/>
    <x v="0"/>
    <n v="3"/>
  </r>
  <r>
    <x v="0"/>
    <s v="KA-1574"/>
    <x v="1"/>
    <s v="Docx Dönüşümü Portal Entegrasyonu"/>
    <x v="6"/>
    <s v="Done"/>
    <x v="0"/>
    <s v="-"/>
    <x v="0"/>
    <n v="3"/>
  </r>
  <r>
    <x v="0"/>
    <s v="MYS-833"/>
    <x v="1"/>
    <s v="MA3 API Lisans Güncelleme Testleri"/>
    <x v="12"/>
    <e v="#N/A"/>
    <x v="0"/>
    <s v="-"/>
    <x v="0"/>
    <n v="1"/>
  </r>
  <r>
    <x v="0"/>
    <s v="UKDS-206"/>
    <x v="1"/>
    <s v="MA3 API Lisans/DLL Güncelleme Test"/>
    <x v="15"/>
    <e v="#N/A"/>
    <x v="0"/>
    <s v="-"/>
    <x v="0"/>
    <n v="2"/>
  </r>
  <r>
    <x v="0"/>
    <s v="WIK-750"/>
    <x v="1"/>
    <s v="Araştırma- Mevcut Kütüphanelerin Güncellenmesi"/>
    <x v="16"/>
    <e v="#N/A"/>
    <x v="0"/>
    <s v="-"/>
    <x v="0"/>
    <m/>
  </r>
  <r>
    <x v="0"/>
    <s v="WIK-764"/>
    <x v="1"/>
    <s v="MA3 API Lisans/DLL Güncelleme Test"/>
    <x v="16"/>
    <e v="#N/A"/>
    <x v="0"/>
    <s v="-"/>
    <x v="0"/>
    <n v="2"/>
  </r>
  <r>
    <x v="0"/>
    <s v="TIM-455"/>
    <x v="1"/>
    <s v="MA3 API Lisans/DLL Güncelleme Test"/>
    <x v="13"/>
    <e v="#N/A"/>
    <x v="0"/>
    <s v="-"/>
    <x v="0"/>
    <n v="2"/>
  </r>
  <r>
    <x v="0"/>
    <s v="MUL-212"/>
    <x v="1"/>
    <s v="MA3 API Lisans/DLL Güncelleme Test"/>
    <x v="11"/>
    <e v="#N/A"/>
    <x v="0"/>
    <s v="-"/>
    <x v="0"/>
    <n v="3"/>
  </r>
  <r>
    <x v="0"/>
    <s v="KIK-156"/>
    <x v="1"/>
    <s v="MA3 API Lisans/DLL Güncelleme Test"/>
    <x v="16"/>
    <e v="#N/A"/>
    <x v="0"/>
    <s v="-"/>
    <x v="0"/>
    <n v="3"/>
  </r>
  <r>
    <x v="0"/>
    <s v="CRM-763"/>
    <x v="6"/>
    <s v="CRM Satış Raporuna Hatalı Yansıyan Kayıt Tiplerinin İncelenmesi"/>
    <x v="0"/>
    <s v="TO TEST"/>
    <x v="1"/>
    <s v="Gelecek Sprint"/>
    <x v="1"/>
    <n v="5"/>
  </r>
  <r>
    <x v="1"/>
    <s v="EFT-2344"/>
    <x v="1"/>
    <s v="İnternet Satış Faturalarnın e-Arşiv Raporunda Zorunlu Alanlar Hk."/>
    <x v="4"/>
    <e v="#N/A"/>
    <x v="0"/>
    <s v="-"/>
    <x v="0"/>
    <n v="2"/>
  </r>
  <r>
    <x v="1"/>
    <s v="EFT-2343"/>
    <x v="1"/>
    <s v="InternetDetail Portalda Taslaklara Kopyalandığında Bilgilerin Sıfırlanması"/>
    <x v="4"/>
    <e v="#N/A"/>
    <x v="0"/>
    <s v="-"/>
    <x v="0"/>
    <n v="1"/>
  </r>
  <r>
    <x v="1"/>
    <s v="EDF-794"/>
    <x v="1"/>
    <s v="Muvafakatname Beratların İmzalanması Hk."/>
    <x v="3"/>
    <e v="#N/A"/>
    <x v="0"/>
    <s v="-"/>
    <x v="0"/>
    <n v="2"/>
  </r>
  <r>
    <x v="1"/>
    <s v="EFT-2342"/>
    <x v="1"/>
    <s v="e-Arşiv Rapor İnternet Satış Bilgilerinde Gönderici VKN ile İlgili Düzeltme"/>
    <x v="4"/>
    <e v="#N/A"/>
    <x v="0"/>
    <s v="-"/>
    <x v="0"/>
    <n v="2"/>
  </r>
  <r>
    <x v="1"/>
    <s v="EFT-2341"/>
    <x v="1"/>
    <s v="XML Note alanında YatırımTesvik Faturalarda KDV'li Halini Yazıyor"/>
    <x v="4"/>
    <e v="#N/A"/>
    <x v="0"/>
    <s v="-"/>
    <x v="0"/>
    <n v="1"/>
  </r>
  <r>
    <x v="1"/>
    <s v="EFT-2340"/>
    <x v="1"/>
    <s v="Portalda Taslak Fatura Güncellemede BuyerCustomerParty'nin XML'e Eklenmesi"/>
    <x v="4"/>
    <e v="#N/A"/>
    <x v="0"/>
    <s v="-"/>
    <x v="0"/>
    <n v="1"/>
  </r>
  <r>
    <x v="0"/>
    <s v="EFT-2339"/>
    <x v="1"/>
    <s v="e-Arşiv Fatura - Schematron Paketinin Güncellenmesi"/>
    <x v="4"/>
    <e v="#N/A"/>
    <x v="0"/>
    <s v="-"/>
    <x v="0"/>
    <n v="1"/>
  </r>
  <r>
    <x v="0"/>
    <s v="KA-1573"/>
    <x v="1"/>
    <s v="EYP Oluşturma – Dağıtım Listesi Tablosunda Kolonların Genişletilmesi"/>
    <x v="6"/>
    <e v="#N/A"/>
    <x v="0"/>
    <s v="-"/>
    <x v="0"/>
    <n v="1"/>
  </r>
  <r>
    <x v="0"/>
    <s v="MU-184"/>
    <x v="1"/>
    <s v="KEP İletisi Yanıtla Fonksiyonun Eklenmesi"/>
    <x v="9"/>
    <e v="#N/A"/>
    <x v="0"/>
    <s v="-"/>
    <x v="0"/>
    <n v="5"/>
  </r>
  <r>
    <x v="0"/>
    <s v="MU-185"/>
    <x v="1"/>
    <s v="KEP İletisi İletme Fonksiyonun Eklenmesi"/>
    <x v="9"/>
    <e v="#N/A"/>
    <x v="0"/>
    <s v="-"/>
    <x v="0"/>
    <n v="5"/>
  </r>
  <r>
    <x v="1"/>
    <s v="WIK-760"/>
    <x v="1"/>
    <s v="KEP Delil Servisinde Yüksek Boyutların Servisten İndirilmesi"/>
    <x v="16"/>
    <e v="#N/A"/>
    <x v="0"/>
    <s v="-"/>
    <x v="0"/>
    <n v="3"/>
  </r>
  <r>
    <x v="1"/>
    <s v="WIK-759"/>
    <x v="1"/>
    <s v="KEP Delil Raporunda Silme İşleminin Başarısız Olması"/>
    <x v="16"/>
    <e v="#N/A"/>
    <x v="0"/>
    <s v="-"/>
    <x v="0"/>
    <n v="2"/>
  </r>
  <r>
    <x v="1"/>
    <s v="WIK-761"/>
    <x v="1"/>
    <s v="KEP İK Girişinde Pasif Hesapların Gözükmesi"/>
    <x v="16"/>
    <e v="#N/A"/>
    <x v="0"/>
    <s v="-"/>
    <x v="0"/>
    <n v="2"/>
  </r>
  <r>
    <x v="1"/>
    <s v="WIK-763"/>
    <x v="0"/>
    <s v="Toplu PDF Parçalama İçerisinde Kontrol Adımı"/>
    <x v="16"/>
    <e v="#N/A"/>
    <x v="0"/>
    <s v="-"/>
    <x v="0"/>
    <n v="2"/>
  </r>
  <r>
    <x v="0"/>
    <s v="WIK-765"/>
    <x v="1"/>
    <s v="Duyuru Raporlama Ekranında Filtreleme Alanlarının Düzenlenmesi"/>
    <x v="16"/>
    <s v="Done"/>
    <x v="1"/>
    <s v="-"/>
    <x v="2"/>
    <n v="3"/>
  </r>
  <r>
    <x v="0"/>
    <s v="WIK-767"/>
    <x v="0"/>
    <s v="Duyuru Modülünde Çalışan Grubu Bazlı Gönderim İlişki Kurulması"/>
    <x v="16"/>
    <e v="#N/A"/>
    <x v="0"/>
    <s v="-"/>
    <x v="0"/>
    <n v="3"/>
  </r>
  <r>
    <x v="0"/>
    <s v="WIK-768"/>
    <x v="5"/>
    <s v="Yeni Filtreleme Alanlarına Yönelik Excel Fonksiyon Güncellemeleri"/>
    <x v="16"/>
    <e v="#N/A"/>
    <x v="1"/>
    <s v="-"/>
    <x v="2"/>
    <n v="2"/>
  </r>
  <r>
    <x v="0"/>
    <s v="UKDS-205"/>
    <x v="1"/>
    <s v="şlem Belgesinin PAdES-LTV formatında oluşturulması"/>
    <x v="15"/>
    <e v="#N/A"/>
    <x v="0"/>
    <s v="-"/>
    <x v="0"/>
    <n v="1"/>
  </r>
  <r>
    <x v="0"/>
    <s v="CRM-766"/>
    <x v="6"/>
    <s v="E-Güven Servis"/>
    <x v="0"/>
    <s v="TO TEST"/>
    <x v="1"/>
    <s v="Gelecek Sprint"/>
    <x v="1"/>
    <n v="3"/>
  </r>
  <r>
    <x v="0"/>
    <s v="EFT-2324"/>
    <x v="5"/>
    <s v="e-İrsaliye - Web Portal - İnşaat Demiri İzleme Sistemi (IDIS) Faturası Oluşturulup Gönderilmesi"/>
    <x v="4"/>
    <e v="#N/A"/>
    <x v="0"/>
    <s v="-"/>
    <x v="0"/>
    <n v="2"/>
  </r>
  <r>
    <x v="0"/>
    <s v="EFT-2330"/>
    <x v="5"/>
    <s v="e-İrsaliye - Web Servis - İnşaat Demiri İzleme Sistemi (IDIS) Faturası Oluşturulup Gönderilmesi"/>
    <x v="4"/>
    <e v="#N/A"/>
    <x v="0"/>
    <s v="-"/>
    <x v="0"/>
    <n v="2"/>
  </r>
  <r>
    <x v="0"/>
    <s v="EFT-2329"/>
    <x v="6"/>
    <s v="e-İrsaliye - Konektör - İnşaat Demiri İzleme Sistemi (IDIS) Faturası Oluşturulup Gönderilmesi"/>
    <x v="4"/>
    <e v="#N/A"/>
    <x v="0"/>
    <s v="-"/>
    <x v="0"/>
    <n v="3"/>
  </r>
  <r>
    <x v="0"/>
    <s v="EFT-2328"/>
    <x v="5"/>
    <s v="e-Fatura - Web Servis - İnşaat Demiri İzleme Sistemi (IDIS) Faturası Oluşturulup Gönderilmesi"/>
    <x v="4"/>
    <e v="#N/A"/>
    <x v="0"/>
    <s v="-"/>
    <x v="0"/>
    <n v="2"/>
  </r>
  <r>
    <x v="0"/>
    <s v="EFT-2323"/>
    <x v="1"/>
    <s v="e-Fatura - Web Portal - İnşaat Demiri İzleme Sistemi (IDIS) Faturası Oluşturulup Gönderilmesi"/>
    <x v="4"/>
    <e v="#N/A"/>
    <x v="0"/>
    <s v="-"/>
    <x v="0"/>
    <n v="2"/>
  </r>
  <r>
    <x v="0"/>
    <s v="EFT-2327"/>
    <x v="5"/>
    <s v="e-Fatura - Konektör - İnşaat Demiri İzleme Sistemi (IDIS) Faturası Oluşturulup Gönderilmesi"/>
    <x v="4"/>
    <e v="#N/A"/>
    <x v="0"/>
    <s v="-"/>
    <x v="0"/>
    <n v="3"/>
  </r>
  <r>
    <x v="1"/>
    <s v="DP-290"/>
    <x v="1"/>
    <s v="Raporlar&gt;Kullanıcı Raporları&gt;e-Fatura Raporlarını Alırken Hata Yaşanması"/>
    <x v="1"/>
    <e v="#N/A"/>
    <x v="0"/>
    <s v="-"/>
    <x v="0"/>
    <n v="2"/>
  </r>
  <r>
    <x v="0"/>
    <s v="EFT-2346"/>
    <x v="1"/>
    <s v="IDIS-Schematron Paketinin Güncellenmesi"/>
    <x v="4"/>
    <e v="#N/A"/>
    <x v="0"/>
    <s v="-"/>
    <x v="0"/>
    <n v="1"/>
  </r>
  <r>
    <x v="0"/>
    <s v="EFT-2345"/>
    <x v="6"/>
    <s v="IDIS için DB, Model,Servis,XML Gösterim İşlemleri"/>
    <x v="4"/>
    <e v="#N/A"/>
    <x v="0"/>
    <s v="-"/>
    <x v="0"/>
    <n v="5"/>
  </r>
  <r>
    <x v="0"/>
    <s v="MU-186"/>
    <x v="1"/>
    <s v="Ayarlar Ekranının Menü Yapısına Dönüştürülmesi"/>
    <x v="9"/>
    <e v="#N/A"/>
    <x v="0"/>
    <s v="-"/>
    <x v="0"/>
    <n v="3"/>
  </r>
  <r>
    <x v="1"/>
    <s v="MU-193"/>
    <x v="3"/>
    <s v="Web üzerinden Çöp Kutusundan Gelen Kutusuna geri taşınan iletiler Mobil uygulamada listelenmiyor"/>
    <x v="9"/>
    <e v="#N/A"/>
    <x v="0"/>
    <s v="-"/>
    <x v="0"/>
    <n v="3"/>
  </r>
  <r>
    <x v="1"/>
    <s v="MU-192"/>
    <x v="1"/>
    <s v="İK e-postalarındaki HTML yönlendirme (&quot;Sayfaya Git&quot;) butonu görüntülenmiyo"/>
    <x v="9"/>
    <e v="#N/A"/>
    <x v="0"/>
    <s v="-"/>
    <x v="0"/>
    <n v="2"/>
  </r>
  <r>
    <x v="0"/>
    <s v="MU-190"/>
    <x v="1"/>
    <s v="KEP İletisi Silme Yetkisi ve Onay Akışı"/>
    <x v="9"/>
    <e v="#N/A"/>
    <x v="0"/>
    <s v="-"/>
    <x v="0"/>
    <n v="3"/>
  </r>
  <r>
    <x v="0"/>
    <s v="KA-1578"/>
    <x v="1"/>
    <s v="API v2.4 POC'un İncelemesi ve Olası Değişiklik Senaryolarının Değerlendirilmesi"/>
    <x v="6"/>
    <e v="#N/A"/>
    <x v="0"/>
    <s v="-"/>
    <x v="0"/>
    <m/>
  </r>
  <r>
    <x v="0"/>
    <s v="IEU-299"/>
    <x v="1"/>
    <s v="API v2.4 POC'un İncelemesi ve Olası Değişiklik Senaryolarının Değerlendirilmesi"/>
    <x v="5"/>
    <e v="#N/A"/>
    <x v="1"/>
    <s v="-"/>
    <x v="2"/>
    <n v="8"/>
  </r>
  <r>
    <x v="0"/>
    <s v="MU-188"/>
    <x v="0"/>
    <s v="Şifremi Unuttum/ KEP Adres Seçimine Göre Şifre Değişikliği"/>
    <x v="9"/>
    <e v="#N/A"/>
    <x v="1"/>
    <s v="Gelecek Sprint"/>
    <x v="1"/>
    <m/>
  </r>
  <r>
    <x v="0"/>
    <s v="MU-198"/>
    <x v="0"/>
    <s v="Uzaktan Kimlik Doğrulama Deeplink Akış Güncellemesi"/>
    <x v="9"/>
    <e v="#N/A"/>
    <x v="0"/>
    <s v="-"/>
    <x v="0"/>
    <n v="1"/>
  </r>
  <r>
    <x v="1"/>
    <s v="MU-197"/>
    <x v="1"/>
    <s v="Mobil ve Web Mail Geçmiş İleti Senkronizasyonu Kontrolü"/>
    <x v="9"/>
    <e v="#N/A"/>
    <x v="0"/>
    <s v="-"/>
    <x v="0"/>
    <m/>
  </r>
  <r>
    <x v="0"/>
    <s v="MU-200"/>
    <x v="0"/>
    <s v="Araştırma- Mobil Uygulamada KEP İletisin Çöp Kutusu Taşınması"/>
    <x v="9"/>
    <e v="#N/A"/>
    <x v="0"/>
    <s v="-"/>
    <x v="0"/>
    <n v="8"/>
  </r>
  <r>
    <x v="0"/>
    <s v="CRM-767"/>
    <x v="1"/>
    <s v="MA3 API Güncelleme - CRM"/>
    <x v="0"/>
    <e v="#N/A"/>
    <x v="0"/>
    <s v="-"/>
    <x v="0"/>
    <n v="2"/>
  </r>
  <r>
    <x v="0"/>
    <s v="EDF-795"/>
    <x v="1"/>
    <s v="Lisans XML Güncellemesi Sonrası Yeni İmza Client .jar Yüklemesi"/>
    <x v="3"/>
    <e v="#N/A"/>
    <x v="0"/>
    <s v="-"/>
    <x v="0"/>
    <n v="1"/>
  </r>
  <r>
    <x v="0"/>
    <s v="MYS-837"/>
    <x v="1"/>
    <s v="Toplu İmzalama İşleminde Buton İsim Kontrolünün Kaldırılması ve Akışın İyileştirilmesi"/>
    <x v="12"/>
    <e v="#N/A"/>
    <x v="0"/>
    <s v="-"/>
    <x v="0"/>
    <n v="1"/>
  </r>
  <r>
    <x v="0"/>
    <s v="KA-1579"/>
    <x v="1"/>
    <s v="Deliller Ekranı/ KEP İşlemleri Sütunu İçeriğinin Güncellenmesi"/>
    <x v="6"/>
    <e v="#N/A"/>
    <x v="0"/>
    <s v="-"/>
    <x v="0"/>
    <n v="1"/>
  </r>
  <r>
    <x v="0"/>
    <s v="CRM-769"/>
    <x v="0"/>
    <s v="Ent. Suit Sözleşme Ekranı - Tutar ve İlgili Kalem Alanları Düzeltme"/>
    <x v="0"/>
    <e v="#N/A"/>
    <x v="0"/>
    <s v="-"/>
    <x v="0"/>
    <n v="2"/>
  </r>
  <r>
    <x v="0"/>
    <s v="CRM-771"/>
    <x v="1"/>
    <s v="Halkbank Projesi – İptal Statüsü Servis Tetikleme"/>
    <x v="0"/>
    <e v="#N/A"/>
    <x v="0"/>
    <s v="-"/>
    <x v="0"/>
    <n v="2"/>
  </r>
  <r>
    <x v="0"/>
    <s v="CRM-775"/>
    <x v="1"/>
    <s v="Halkbank Projesi - Servis Statü Tetikleme"/>
    <x v="0"/>
    <e v="#N/A"/>
    <x v="0"/>
    <s v="-"/>
    <x v="0"/>
    <n v="2"/>
  </r>
  <r>
    <x v="0"/>
    <s v="CRM-764"/>
    <x v="6"/>
    <s v="KİDOS - Hesap Durum Bildirimi"/>
    <x v="0"/>
    <s v="TO TEST"/>
    <x v="1"/>
    <s v="Gelecek Sprint"/>
    <x v="1"/>
    <n v="3"/>
  </r>
  <r>
    <x v="0"/>
    <s v="CRM-765"/>
    <x v="1"/>
    <s v="Müşterek Müşterilerde Doküman Onay Tipi Sınırlandırması"/>
    <x v="0"/>
    <s v="Done"/>
    <x v="0"/>
    <s v="-"/>
    <x v="0"/>
    <m/>
  </r>
  <r>
    <x v="0"/>
    <s v="EDF-797"/>
    <x v="3"/>
    <s v="Araştırma-Büyük Boyutlu Defterlerin Şematron Kontrollerinin Hızlanması Hakkında "/>
    <x v="3"/>
    <e v="#N/A"/>
    <x v="0"/>
    <s v="-"/>
    <x v="0"/>
    <m/>
  </r>
  <r>
    <x v="0"/>
    <s v="YZCK-33"/>
    <x v="1"/>
    <s v="SonarQube Kod Analizi"/>
    <x v="23"/>
    <e v="#N/A"/>
    <x v="0"/>
    <s v="-"/>
    <x v="0"/>
    <m/>
  </r>
  <r>
    <x v="0"/>
    <s v="YZCK-28"/>
    <x v="0"/>
    <s v="Prompt Güncellemesi"/>
    <x v="23"/>
    <e v="#N/A"/>
    <x v="0"/>
    <s v="-"/>
    <x v="0"/>
    <m/>
  </r>
  <r>
    <x v="1"/>
    <s v="WIK-785"/>
    <x v="1"/>
    <s v="Gönderi Durum Raporu Tarih Aralığı Görüntülenmesi"/>
    <x v="16"/>
    <e v="#N/A"/>
    <x v="0"/>
    <s v="-"/>
    <x v="0"/>
    <m/>
  </r>
  <r>
    <x v="1"/>
    <s v="WIK-784"/>
    <x v="1"/>
    <s v="Çalışan Grubu Excel yükleme Adımı"/>
    <x v="16"/>
    <e v="#N/A"/>
    <x v="0"/>
    <s v="-"/>
    <x v="0"/>
    <m/>
  </r>
  <r>
    <x v="0"/>
    <s v="WIK-783"/>
    <x v="0"/>
    <s v="API v2.4 POC'un İncelemesi ve Olası Değişiklik Senaryolarının Değerlendirilmesi"/>
    <x v="16"/>
    <s v="To Do"/>
    <x v="1"/>
    <s v="Gelecek Sprint"/>
    <x v="1"/>
    <m/>
  </r>
  <r>
    <x v="0"/>
    <s v="WIK-782"/>
    <x v="1"/>
    <s v="Gönderi Durum Raporu Sayfasında Tamamlanan Raporların Listenin Başına Taşınması"/>
    <x v="16"/>
    <e v="#N/A"/>
    <x v="0"/>
    <s v="-"/>
    <x v="0"/>
    <m/>
  </r>
  <r>
    <x v="0"/>
    <s v="WIK-781"/>
    <x v="1"/>
    <s v="Gönderi Durumu Raporu Buton Başlığının Güncellenmesi"/>
    <x v="16"/>
    <e v="#N/A"/>
    <x v="0"/>
    <s v="-"/>
    <x v="0"/>
    <m/>
  </r>
  <r>
    <x v="0"/>
    <s v="WIK-780"/>
    <x v="1"/>
    <s v="Çoklu PDF Yükle Butonu Tooltip Ekleme"/>
    <x v="16"/>
    <e v="#N/A"/>
    <x v="0"/>
    <s v="-"/>
    <x v="0"/>
    <m/>
  </r>
  <r>
    <x v="0"/>
    <s v="WIK-779"/>
    <x v="0"/>
    <s v="Araştırma/ Ön Yüz Problemlerinin İncelenmesi"/>
    <x v="16"/>
    <e v="#N/A"/>
    <x v="0"/>
    <s v="-"/>
    <x v="0"/>
    <m/>
  </r>
  <r>
    <x v="1"/>
    <s v="WIK-778"/>
    <x v="1"/>
    <s v="Arama Alanı İngilizce Terim Düzenlemesi ve Gönder Tuşunun Pasif Edilmesi"/>
    <x v="16"/>
    <e v="#N/A"/>
    <x v="0"/>
    <s v="-"/>
    <x v="0"/>
    <m/>
  </r>
  <r>
    <x v="2"/>
    <s v="WIK-777"/>
    <x v="1"/>
    <s v="Toplu PDF Parçalama İçerisinde Kontrol Adımı-Önyüz"/>
    <x v="16"/>
    <e v="#N/A"/>
    <x v="0"/>
    <s v="-"/>
    <x v="0"/>
    <m/>
  </r>
  <r>
    <x v="2"/>
    <s v="WIK-776"/>
    <x v="1"/>
    <s v="Backend -Duyuru Raporlama Ekranında Filtreleme Alanlarının Düzenlenmesi"/>
    <x v="16"/>
    <e v="#N/A"/>
    <x v="0"/>
    <s v="-"/>
    <x v="0"/>
    <m/>
  </r>
  <r>
    <x v="2"/>
    <s v="WIK-775"/>
    <x v="1"/>
    <s v="Frontend- Duyuru Raporlama Ekranında Filtreleme Alanlarının Düzenlenmesi"/>
    <x v="16"/>
    <e v="#N/A"/>
    <x v="0"/>
    <s v="-"/>
    <x v="0"/>
    <m/>
  </r>
  <r>
    <x v="1"/>
    <s v="WIK-774"/>
    <x v="1"/>
    <s v="Arama Fonksiyonu Performansı"/>
    <x v="16"/>
    <e v="#N/A"/>
    <x v="0"/>
    <s v="-"/>
    <x v="0"/>
    <m/>
  </r>
  <r>
    <x v="0"/>
    <s v="WIK-773"/>
    <x v="1"/>
    <s v="Duyuru Raporlama Ekranında Filtreleme Alanlarının Düzenlenmesi"/>
    <x v="16"/>
    <e v="#N/A"/>
    <x v="0"/>
    <s v="-"/>
    <x v="0"/>
    <m/>
  </r>
  <r>
    <x v="0"/>
    <s v="WIK-766"/>
    <x v="0"/>
    <s v="Çalışan Grubu Alanının Duyuru Raporlama Filtreleme Ekranına Eklenmesi"/>
    <x v="16"/>
    <e v="#N/A"/>
    <x v="0"/>
    <s v="-"/>
    <x v="0"/>
    <m/>
  </r>
  <r>
    <x v="1"/>
    <s v="WIK-762"/>
    <x v="1"/>
    <s v="Belge Raporlarında Yeni Açılan Dönemlerin Gelmemesi"/>
    <x v="16"/>
    <e v="#N/A"/>
    <x v="0"/>
    <s v="-"/>
    <x v="0"/>
    <m/>
  </r>
  <r>
    <x v="0"/>
    <s v="WIK-726"/>
    <x v="0"/>
    <s v=" Kullanıcı Bildirim Stratejisinin Analizi ve Uygulama Bazında Dokümantasyonu"/>
    <x v="16"/>
    <e v="#N/A"/>
    <x v="0"/>
    <s v="-"/>
    <x v="0"/>
    <m/>
  </r>
  <r>
    <x v="1"/>
    <s v="UKDS-211"/>
    <x v="1"/>
    <s v="Mobil İmza Adımında Sürecin Tamamlanmaması"/>
    <x v="15"/>
    <e v="#N/A"/>
    <x v="0"/>
    <s v="-"/>
    <x v="0"/>
    <m/>
  </r>
  <r>
    <x v="1"/>
    <s v="UKDS-210"/>
    <x v="1"/>
    <s v="Başvuru adımında Mobil İmza ve Başvuru Sahibi TCKN Kontrolü"/>
    <x v="15"/>
    <e v="#N/A"/>
    <x v="0"/>
    <s v="-"/>
    <x v="0"/>
    <m/>
  </r>
  <r>
    <x v="0"/>
    <s v="UKDS-209"/>
    <x v="4"/>
    <s v="Analiz- Müşterek Senaryolarda UKDS Süreçlerinin Dijitalleştirilmesi"/>
    <x v="15"/>
    <e v="#N/A"/>
    <x v="0"/>
    <s v="-"/>
    <x v="0"/>
    <m/>
  </r>
  <r>
    <x v="1"/>
    <s v="UKDS-208"/>
    <x v="1"/>
    <s v="UKDS HSM İmza Kuyruk Yapısında Düzenleme"/>
    <x v="15"/>
    <e v="#N/A"/>
    <x v="0"/>
    <s v="-"/>
    <x v="0"/>
    <m/>
  </r>
  <r>
    <x v="0"/>
    <s v="UEP-14"/>
    <x v="1"/>
    <s v="Yeni satış/yenileme işlem kaydının iptali"/>
    <x v="14"/>
    <e v="#N/A"/>
    <x v="0"/>
    <s v="-"/>
    <x v="0"/>
    <m/>
  </r>
  <r>
    <x v="0"/>
    <s v="TIM-456"/>
    <x v="0"/>
    <s v="API v2.4 POC'un İncelemesi ve Olası Değişiklik Senaryolarının Değerlendirilmesi"/>
    <x v="13"/>
    <e v="#N/A"/>
    <x v="0"/>
    <s v="Gelecek Sprint"/>
    <x v="3"/>
    <m/>
  </r>
  <r>
    <x v="0"/>
    <s v="SMSGW-13"/>
    <x v="0"/>
    <s v="Admin Controller Altına SMS Detay Durum Sorgulama Metodu Eklenmesi"/>
    <x v="22"/>
    <e v="#N/A"/>
    <x v="0"/>
    <s v="-"/>
    <x v="0"/>
    <m/>
  </r>
  <r>
    <x v="0"/>
    <s v="SMSGW-5"/>
    <x v="0"/>
    <s v="Ortak sms servisi için kuyruk yapısı"/>
    <x v="22"/>
    <e v="#N/A"/>
    <x v="0"/>
    <s v="-"/>
    <x v="0"/>
    <m/>
  </r>
  <r>
    <x v="0"/>
    <s v="MYS-836"/>
    <x v="1"/>
    <s v="API v2.4 POC'un İncelemesi ve Olası Değişiklik Senaryolarının Değerlendirilmesi"/>
    <x v="12"/>
    <e v="#N/A"/>
    <x v="0"/>
    <s v="-"/>
    <x v="0"/>
    <m/>
  </r>
  <r>
    <x v="0"/>
    <s v="MUL-213"/>
    <x v="1"/>
    <s v="API v2.4 POC'un İncelemesi ve Olası Değişiklik Senaryolarının Değerlendirilmesi"/>
    <x v="11"/>
    <s v="Done"/>
    <x v="1"/>
    <s v="-"/>
    <x v="2"/>
    <m/>
  </r>
  <r>
    <x v="1"/>
    <s v="MU-196"/>
    <x v="1"/>
    <s v="Geçici Şifre Senkronizasyon ve Statü Kontrolü Test"/>
    <x v="9"/>
    <s v="Done"/>
    <x v="1"/>
    <s v="-"/>
    <x v="2"/>
    <m/>
  </r>
  <r>
    <x v="1"/>
    <s v="MU-195"/>
    <x v="0"/>
    <s v="Geçici Şifre Senkronizasyon Hatası"/>
    <x v="9"/>
    <e v="#N/A"/>
    <x v="0"/>
    <s v="-"/>
    <x v="0"/>
    <m/>
  </r>
  <r>
    <x v="1"/>
    <s v="MU-194"/>
    <x v="1"/>
    <s v="Geçmiş İletilerin Listelenmemesi"/>
    <x v="9"/>
    <e v="#N/A"/>
    <x v="0"/>
    <s v="-"/>
    <x v="0"/>
    <m/>
  </r>
  <r>
    <x v="0"/>
    <s v="MU-191"/>
    <x v="0"/>
    <s v="Çöp Kutusu Klasörü Eklenmesi"/>
    <x v="9"/>
    <e v="#N/A"/>
    <x v="0"/>
    <s v="-"/>
    <x v="0"/>
    <m/>
  </r>
  <r>
    <x v="0"/>
    <s v="MU-182"/>
    <x v="1"/>
    <s v="BE - Paket Seçimi Sonrasında Kullanıcının Ödeme Alanına Yönlendirilmesi ve Ödeme Tamamlanmadan Sürece Devam Edilmemesi"/>
    <x v="9"/>
    <e v="#N/A"/>
    <x v="0"/>
    <s v="-"/>
    <x v="0"/>
    <m/>
  </r>
  <r>
    <x v="0"/>
    <s v="KEP-315"/>
    <x v="3"/>
    <s v="API v2.4 POC'un İncelemesi ve Olası Değişiklik Senaryolarının Değerlendirilmesi"/>
    <x v="7"/>
    <s v="Development"/>
    <x v="1"/>
    <s v="Gelecek Sprint"/>
    <x v="1"/>
    <m/>
  </r>
  <r>
    <x v="0"/>
    <s v="KEP-313"/>
    <x v="1"/>
    <s v="KEP CORE MA3 API Versiyon ve Lisans güncellemesi"/>
    <x v="7"/>
    <e v="#N/A"/>
    <x v="0"/>
    <s v="-"/>
    <x v="0"/>
    <m/>
  </r>
  <r>
    <x v="0"/>
    <s v="KEP-310"/>
    <x v="1"/>
    <s v="Yeni Kepapi Versiyonunun Çıkarılması"/>
    <x v="7"/>
    <e v="#N/A"/>
    <x v="0"/>
    <s v="-"/>
    <x v="0"/>
    <m/>
  </r>
  <r>
    <x v="2"/>
    <s v="KA-1580"/>
    <x v="1"/>
    <s v="Sub-Task Kolon Düzenlemesi ve Controller Yapısı Hk."/>
    <x v="6"/>
    <e v="#N/A"/>
    <x v="0"/>
    <s v="-"/>
    <x v="0"/>
    <m/>
  </r>
  <r>
    <x v="0"/>
    <s v="KA-1572"/>
    <x v="1"/>
    <s v="MA3 API Lisans Güncelleme Testleri"/>
    <x v="6"/>
    <e v="#N/A"/>
    <x v="0"/>
    <s v="-"/>
    <x v="0"/>
    <m/>
  </r>
  <r>
    <x v="0"/>
    <s v="EFT-2351"/>
    <x v="3"/>
    <s v="API v2.4 POC'un İncelemesi ve Olası Değişiklik Senaryolarının Değerlendirilmesi"/>
    <x v="4"/>
    <e v="#N/A"/>
    <x v="1"/>
    <s v="Gelecek Sprint"/>
    <x v="1"/>
    <m/>
  </r>
  <r>
    <x v="0"/>
    <s v="EDF-796"/>
    <x v="0"/>
    <s v="API v2.4 POC'un İncelemesi ve Olası Değişiklik Senaryolarının Değerlendirilmesi"/>
    <x v="3"/>
    <e v="#N/A"/>
    <x v="0"/>
    <s v="-"/>
    <x v="0"/>
    <m/>
  </r>
  <r>
    <x v="0"/>
    <s v="CRM-777"/>
    <x v="0"/>
    <s v="Gri Liste - Ek Geliştirme"/>
    <x v="0"/>
    <s v="To Do"/>
    <x v="1"/>
    <s v="Gelecek Sprint"/>
    <x v="1"/>
    <m/>
  </r>
  <r>
    <x v="0"/>
    <s v="CRM-776"/>
    <x v="1"/>
    <s v="Cep Telefonu Alanında +90 Ülke Kodu Tanımlanması"/>
    <x v="0"/>
    <s v="Done"/>
    <x v="0"/>
    <s v="-"/>
    <x v="0"/>
    <m/>
  </r>
  <r>
    <x v="0"/>
    <s v="CRM-768"/>
    <x v="1"/>
    <s v="Müşteri Ekranı | E-posta Alanı Zorunluluk Kontrolü"/>
    <x v="0"/>
    <s v="Done"/>
    <x v="0"/>
    <s v="-"/>
    <x v="0"/>
    <m/>
  </r>
  <r>
    <x v="0"/>
    <s v="CRM-759"/>
    <x v="1"/>
    <s v="Datassist &amp; CRM Entegrasyon Özlük Numarası"/>
    <x v="0"/>
    <e v="#N/A"/>
    <x v="0"/>
    <s v="-"/>
    <x v="0"/>
    <m/>
  </r>
  <r>
    <x v="0"/>
    <s v="CRM-758"/>
    <x v="6"/>
    <s v="Kurumsal KEP - Ek İşlem Yetkilisi"/>
    <x v="0"/>
    <s v="TO TEST"/>
    <x v="1"/>
    <s v="Gelecek Sprint"/>
    <x v="1"/>
    <m/>
  </r>
  <r>
    <x v="0"/>
    <s v="CRM-698"/>
    <x v="1"/>
    <s v="E-Defter Finansal Yıl Alanı"/>
    <x v="0"/>
    <e v="#N/A"/>
    <x v="0"/>
    <s v="-"/>
    <x v="0"/>
    <m/>
  </r>
  <r>
    <x v="0"/>
    <s v="CRM-783"/>
    <x v="1"/>
    <s v="Halkbank Projesi - Firma Cep No Alanı"/>
    <x v="0"/>
    <e v="#N/A"/>
    <x v="0"/>
    <s v="-"/>
    <x v="0"/>
    <n v="1"/>
  </r>
  <r>
    <x v="0"/>
    <s v="CRM-784"/>
    <x v="1"/>
    <s v="Ent. Suit Modül Ekleme - İşlem Kaydı Sözleşme Zorunluluğu"/>
    <x v="0"/>
    <e v="#N/A"/>
    <x v="0"/>
    <s v="-"/>
    <x v="0"/>
    <n v="1"/>
  </r>
  <r>
    <x v="0"/>
    <s v="CRM-786"/>
    <x v="1"/>
    <s v="Üretim Modülü Ek Geliştirme - Tip Alanı"/>
    <x v="0"/>
    <e v="#N/A"/>
    <x v="0"/>
    <s v="-"/>
    <x v="0"/>
    <n v="2"/>
  </r>
  <r>
    <x v="0"/>
    <s v="CRM-787"/>
    <x v="1"/>
    <s v="Kısmi İade Fatura - Ek Düzenleme"/>
    <x v="0"/>
    <e v="#N/A"/>
    <x v="0"/>
    <s v="-"/>
    <x v="0"/>
    <n v="3"/>
  </r>
  <r>
    <x v="0"/>
    <s v="CRM-780"/>
    <x v="6"/>
    <s v="E-Güven Servis - İmza Yenileme Tarihi"/>
    <x v="0"/>
    <s v="TO TEST"/>
    <x v="1"/>
    <s v="Gelecek Sprint"/>
    <x v="1"/>
    <n v="5"/>
  </r>
  <r>
    <x v="1"/>
    <s v="WIK-790"/>
    <x v="1"/>
    <s v="Kullanıcı Yetkilendirme Modülü Kullanan Yetkisi Kısıtlı Müşterilerde Aynı Aya Ait Dönemlerin Birden Fazla Gözükmesi"/>
    <x v="16"/>
    <e v="#N/A"/>
    <x v="0"/>
    <s v="-"/>
    <x v="0"/>
    <m/>
  </r>
  <r>
    <x v="0"/>
    <s v="EDF-803"/>
    <x v="0"/>
    <s v="Envanter Defteri Sekmelerinin Eklenmesi"/>
    <x v="3"/>
    <e v="#N/A"/>
    <x v="0"/>
    <s v="-"/>
    <x v="0"/>
    <n v="5"/>
  </r>
  <r>
    <x v="0"/>
    <s v="EDF-802"/>
    <x v="4"/>
    <s v="e-Defter Paketi Güncellemesi"/>
    <x v="3"/>
    <s v="Publish"/>
    <x v="0"/>
    <s v="-"/>
    <x v="0"/>
    <n v="2"/>
  </r>
  <r>
    <x v="0"/>
    <s v="EDF-801"/>
    <x v="3"/>
    <s v="e-Defter Alanına Envanter Defteri Alanı"/>
    <x v="3"/>
    <s v="Development"/>
    <x v="0"/>
    <s v="-"/>
    <x v="0"/>
    <n v="13"/>
  </r>
  <r>
    <x v="1"/>
    <s v="EDF-799"/>
    <x v="1"/>
    <s v="Muvafakatnamede İmza Hatası Düzeltilmesi"/>
    <x v="3"/>
    <e v="#N/A"/>
    <x v="0"/>
    <s v="-"/>
    <x v="0"/>
    <n v="3"/>
  </r>
  <r>
    <x v="1"/>
    <s v="EFT-2362"/>
    <x v="1"/>
    <s v="Konnektörde Hata Bildir&gt;Hızlı Test Butonu Kaldırma"/>
    <x v="4"/>
    <e v="#N/A"/>
    <x v="0"/>
    <s v="-"/>
    <x v="0"/>
    <n v="1"/>
  </r>
  <r>
    <x v="0"/>
    <s v="EFT-2361"/>
    <x v="0"/>
    <s v="Portal - Excele Döviz Kuru Sütununun Eklenmesi"/>
    <x v="4"/>
    <e v="#N/A"/>
    <x v="0"/>
    <s v="-"/>
    <x v="0"/>
    <n v="1"/>
  </r>
  <r>
    <x v="0"/>
    <s v="EFT-2360"/>
    <x v="1"/>
    <s v="Web Servis - e-Fatura ve e-Arşiv Fatura Yatırım Teşvik Senaryosu ve Tiplerin Eklenmesi"/>
    <x v="4"/>
    <e v="#N/A"/>
    <x v="0"/>
    <s v="-"/>
    <x v="0"/>
    <n v="2"/>
  </r>
  <r>
    <x v="0"/>
    <s v="EFT-2359"/>
    <x v="1"/>
    <s v="Konektör - e-Fatura ve e-Arşiv Fatura Yatırım Teşvik Senaryosu ve Tiplerin Eklenmesi"/>
    <x v="4"/>
    <e v="#N/A"/>
    <x v="0"/>
    <s v="-"/>
    <x v="0"/>
    <n v="3"/>
  </r>
  <r>
    <x v="0"/>
    <s v="EFT-2358"/>
    <x v="1"/>
    <s v="YTB - XSLT Dosyalarının Güncellenmesi"/>
    <x v="4"/>
    <e v="#N/A"/>
    <x v="0"/>
    <s v="-"/>
    <x v="0"/>
    <n v="1"/>
  </r>
  <r>
    <x v="0"/>
    <s v="EFT-2357"/>
    <x v="1"/>
    <s v="GİB - e-Fatura Paketi Güncelleme"/>
    <x v="4"/>
    <e v="#N/A"/>
    <x v="0"/>
    <s v="-"/>
    <x v="0"/>
    <n v="2"/>
  </r>
  <r>
    <x v="0"/>
    <s v="EFT-2356"/>
    <x v="1"/>
    <s v="GİB - e-Arşiv Paket Güncellemesi (v1.1_7)"/>
    <x v="4"/>
    <e v="#N/A"/>
    <x v="0"/>
    <s v="-"/>
    <x v="0"/>
    <n v="2"/>
  </r>
  <r>
    <x v="0"/>
    <s v="CRM-789"/>
    <x v="6"/>
    <s v="CRM&amp;MultiKEP Ent. - Ek Geliştirme"/>
    <x v="0"/>
    <s v="TO TEST"/>
    <x v="1"/>
    <s v="Gelecek Sprint"/>
    <x v="1"/>
    <n v="5"/>
  </r>
  <r>
    <x v="0"/>
    <s v="CRM-788"/>
    <x v="0"/>
    <s v="Sipariş İptal - KEP Adresinin Boşa Çıkarılması"/>
    <x v="0"/>
    <e v="#N/A"/>
    <x v="0"/>
    <s v="-"/>
    <x v="0"/>
    <n v="3"/>
  </r>
  <r>
    <x v="0"/>
    <s v="CRM-782"/>
    <x v="0"/>
    <s v="14 Gün İçerisinde E-Devlet Onayı Verilmeyen Kayıtlar"/>
    <x v="0"/>
    <e v="#N/A"/>
    <x v="0"/>
    <s v="-"/>
    <x v="0"/>
    <n v="5"/>
  </r>
  <r>
    <x v="0"/>
    <s v="CRM-785"/>
    <x v="1"/>
    <s v="İK Entegrasyon Ürünleri - Ent. Suit Entegrasyonu"/>
    <x v="0"/>
    <s v="Done"/>
    <x v="1"/>
    <s v="-"/>
    <x v="2"/>
    <n v="3"/>
  </r>
  <r>
    <x v="0"/>
    <s v="CRM-790"/>
    <x v="1"/>
    <s v="Toplu Açılış - Ek Düzenleme"/>
    <x v="0"/>
    <s v="Done"/>
    <x v="0"/>
    <s v="-"/>
    <x v="0"/>
    <n v="2"/>
  </r>
  <r>
    <x v="0"/>
    <s v="MU-201"/>
    <x v="1"/>
    <s v="KEP İletisi Detay, Yanıtla ve İlet Akışlarında Eklerin Tıklanabilir, Görüntülenebilir ve Kaldırılabilir Olması"/>
    <x v="9"/>
    <e v="#N/A"/>
    <x v="0"/>
    <s v="-"/>
    <x v="0"/>
    <n v="3"/>
  </r>
  <r>
    <x v="0"/>
    <s v="MU-202"/>
    <x v="1"/>
    <s v="İleti/ Metin Sayfaya Sığmadığında Yatay Scroll Yapılabilir Alanın Kullanıcıya Gösterilmesi"/>
    <x v="9"/>
    <e v="#N/A"/>
    <x v="0"/>
    <s v="-"/>
    <x v="0"/>
    <n v="2"/>
  </r>
  <r>
    <x v="0"/>
    <s v="MU-203"/>
    <x v="1"/>
    <s v="Şifre Değişikliği Ekranında “Güncelle” Butonunun Tüm Cihaz ve Versiyonlarda Doğru Görüntülenmesi"/>
    <x v="9"/>
    <e v="#N/A"/>
    <x v="0"/>
    <s v="-"/>
    <x v="0"/>
    <n v="2"/>
  </r>
  <r>
    <x v="0"/>
    <s v="MU-204"/>
    <x v="1"/>
    <s v="Şifremi Unuttum Akışında UI/UX Düzenlemeleri ve Veri Tutarlılığı İyileştirmeleri"/>
    <x v="9"/>
    <e v="#N/A"/>
    <x v="0"/>
    <s v="-"/>
    <x v="0"/>
    <n v="3"/>
  </r>
  <r>
    <x v="0"/>
    <s v="MU-205"/>
    <x v="1"/>
    <s v="KEP Gönderme Ekranında Eklenen Eklerin İçeriklerinin İndirilmesi"/>
    <x v="9"/>
    <e v="#N/A"/>
    <x v="0"/>
    <s v="-"/>
    <x v="0"/>
    <n v="3"/>
  </r>
  <r>
    <x v="1"/>
    <s v="IEU-304"/>
    <x v="1"/>
    <s v="MA3 API imza-client-2.1.0.jar Entegrasyon Testleri"/>
    <x v="5"/>
    <e v="#N/A"/>
    <x v="0"/>
    <s v="-"/>
    <x v="0"/>
    <m/>
  </r>
  <r>
    <x v="1"/>
    <s v="IEU-303"/>
    <x v="1"/>
    <s v="Mobil İmza: İmza Tipinin &quot;Tümleşik&quot;ten &quot;Ayrık İmza&quot;ya Dönüştürülmesi"/>
    <x v="5"/>
    <e v="#N/A"/>
    <x v="0"/>
    <s v="-"/>
    <x v="0"/>
    <n v="5"/>
  </r>
  <r>
    <x v="1"/>
    <s v="IEU-306"/>
    <x v="1"/>
    <s v="/api/v1/sign/base64 Metodunda Çoklu E-İmza Seçim Sorunu"/>
    <x v="5"/>
    <e v="#N/A"/>
    <x v="0"/>
    <s v="-"/>
    <x v="0"/>
    <n v="3"/>
  </r>
  <r>
    <x v="1"/>
    <s v="IEU-305"/>
    <x v="1"/>
    <s v="cardType Parametresinin Eklenmesi (Çoklu E-İmza Desteği)"/>
    <x v="5"/>
    <e v="#N/A"/>
    <x v="0"/>
    <s v="-"/>
    <x v="0"/>
    <n v="3"/>
  </r>
  <r>
    <x v="1"/>
    <s v="IEU-307"/>
    <x v="0"/>
    <s v="İmzalama Metotlarında Farklı Formatlı Ardışık İmza Hatası"/>
    <x v="5"/>
    <e v="#N/A"/>
    <x v="0"/>
    <s v="-"/>
    <x v="0"/>
    <n v="3"/>
  </r>
  <r>
    <x v="1"/>
    <s v="IEU-310"/>
    <x v="0"/>
    <s v="Çoklu İmzalama Süreçlerinde PAdES ve XAdES Format Hataları / 500 Internal Error"/>
    <x v="5"/>
    <e v="#N/A"/>
    <x v="1"/>
    <s v="-"/>
    <x v="2"/>
    <n v="3"/>
  </r>
  <r>
    <x v="1"/>
    <s v="IEU-308"/>
    <x v="1"/>
    <s v="Entegrasyon Testleri"/>
    <x v="5"/>
    <e v="#N/A"/>
    <x v="0"/>
    <s v="-"/>
    <x v="0"/>
    <m/>
  </r>
  <r>
    <x v="1"/>
    <s v="IEU-309"/>
    <x v="1"/>
    <s v="HSM Sign Metotlarında Parametreden Bağımsız Sabit &quot;CAdES-BES&quot; İmza Atılması"/>
    <x v="5"/>
    <e v="#N/A"/>
    <x v="0"/>
    <s v="-"/>
    <x v="0"/>
    <n v="1"/>
  </r>
  <r>
    <x v="1"/>
    <s v="IEU-311"/>
    <x v="1"/>
    <s v="HSM Advanced Metodunda Yanlış Parametre İsmi ve Argument Type Hatası"/>
    <x v="5"/>
    <e v="#N/A"/>
    <x v="0"/>
    <s v="-"/>
    <x v="0"/>
    <n v="1"/>
  </r>
  <r>
    <x v="0"/>
    <s v="MU-207"/>
    <x v="1"/>
    <s v="KEP Arama-Filtreleme/ Sonuç Listesine Sağ Scroll Eklenmesi"/>
    <x v="9"/>
    <e v="#N/A"/>
    <x v="0"/>
    <s v="-"/>
    <x v="0"/>
    <n v="1"/>
  </r>
  <r>
    <x v="0"/>
    <s v="IEU-320"/>
    <x v="1"/>
    <s v="HSM Merkezi İmza Servisi: Linux Sunucu Kurulumu ve imza-client Uygulama Çalışması"/>
    <x v="5"/>
    <s v="Done"/>
    <x v="1"/>
    <s v="-"/>
    <x v="2"/>
    <n v="3"/>
  </r>
  <r>
    <x v="0"/>
    <s v="IEU-320"/>
    <x v="1"/>
    <s v="Akbank Haciz Gönderim Servisi Performans Sorunu ve Süre İyileştirmesi Talebi"/>
    <x v="5"/>
    <s v="Done"/>
    <x v="1"/>
    <s v="-"/>
    <x v="2"/>
    <n v="5"/>
  </r>
  <r>
    <x v="0"/>
    <s v="IEU-321"/>
    <x v="1"/>
    <s v="Akbank Haciz Gönderim Servisi Performans Sorunu ve Süre İyileştirmesi Talebi"/>
    <x v="5"/>
    <e v="#N/A"/>
    <x v="0"/>
    <s v="-"/>
    <x v="0"/>
    <n v="5"/>
  </r>
  <r>
    <x v="0"/>
    <s v="KA-1587"/>
    <x v="1"/>
    <s v="Client ve PDF Dönüşüm Sunucusu Arasındaki İletişimin Şifrelenmesi"/>
    <x v="6"/>
    <s v="Done"/>
    <x v="0"/>
    <s v="-"/>
    <x v="0"/>
    <n v="3"/>
  </r>
  <r>
    <x v="1"/>
    <s v="KA-1585"/>
    <x v="1"/>
    <s v="Bilgilendirme Mailinde Alıcı Kurum Adı #to Alanının Boş Gelmesi Testleri"/>
    <x v="6"/>
    <s v="Done"/>
    <x v="0"/>
    <s v="-"/>
    <x v="0"/>
    <m/>
  </r>
  <r>
    <x v="1"/>
    <s v="KA-1586"/>
    <x v="1"/>
    <s v="Bilgilendirme Mailinde Alıcı Kurum Adı (#to) Parametresinin Boş Gelmesi"/>
    <x v="6"/>
    <s v="Done"/>
    <x v="0"/>
    <s v="-"/>
    <x v="0"/>
    <n v="1"/>
  </r>
  <r>
    <x v="0"/>
    <s v="MU-209"/>
    <x v="1"/>
    <s v="Doğrulama Kodu Süresi Dolduğunda “Tekrar Kod Gönder” Akışının Eklenmesi"/>
    <x v="9"/>
    <e v="#N/A"/>
    <x v="0"/>
    <s v="-"/>
    <x v="0"/>
    <n v="5"/>
  </r>
  <r>
    <x v="0"/>
    <s v="MU-211"/>
    <x v="1"/>
    <s v="Desteklenmeyen Ekleri Görüntülenememesiyle ilgili Kullanıcılara Uyarı Gösterilmesi"/>
    <x v="9"/>
    <e v="#N/A"/>
    <x v="0"/>
    <s v="-"/>
    <x v="0"/>
    <n v="1"/>
  </r>
  <r>
    <x v="0"/>
    <s v="MU-210"/>
    <x v="1"/>
    <s v="Mobil İmzalama Akışında Seçim Yapılan Operatörün Tutulması"/>
    <x v="9"/>
    <e v="#N/A"/>
    <x v="0"/>
    <s v="-"/>
    <x v="0"/>
    <n v="1"/>
  </r>
  <r>
    <x v="1"/>
    <s v="MYS-843"/>
    <x v="1"/>
    <s v="Posta Kutuları- Excel Aktarım Hatası (Tarih Filtresi ve JS TypeError)"/>
    <x v="12"/>
    <e v="#N/A"/>
    <x v="0"/>
    <s v="-"/>
    <x v="0"/>
    <n v="3"/>
  </r>
  <r>
    <x v="1"/>
    <s v="MYS-844"/>
    <x v="0"/>
    <s v="Ekli Gönderimlerde &quot;500 Internal Server Error&quot; Hatası"/>
    <x v="12"/>
    <e v="#N/A"/>
    <x v="0"/>
    <s v="-"/>
    <x v="0"/>
    <n v="3"/>
  </r>
  <r>
    <x v="0"/>
    <s v="MYS-846"/>
    <x v="1"/>
    <s v="Ana Sayfa Görevlerimin Yetki Bazlı Kaldırılması"/>
    <x v="12"/>
    <e v="#N/A"/>
    <x v="0"/>
    <s v="-"/>
    <x v="0"/>
    <n v="3"/>
  </r>
  <r>
    <x v="1"/>
    <s v="IEU-322"/>
    <x v="0"/>
    <s v="EYP 1.3 Parser Controller: download/ek Metodunda 401 Unauthorized Hatası"/>
    <x v="5"/>
    <e v="#N/A"/>
    <x v="0"/>
    <s v="-"/>
    <x v="0"/>
    <n v="2"/>
  </r>
  <r>
    <x v="1"/>
    <s v="MYS-848"/>
    <x v="1"/>
    <s v="Giden Kutusu EYP Eklerini İndirme Hatası"/>
    <x v="12"/>
    <e v="#N/A"/>
    <x v="0"/>
    <s v="-"/>
    <x v="0"/>
    <m/>
  </r>
  <r>
    <x v="0"/>
    <s v="CRM-799"/>
    <x v="1"/>
    <s v="UKDS ve MU için Geliştirilen Ödeme Servisi - Hata Mesajları"/>
    <x v="0"/>
    <e v="#N/A"/>
    <x v="0"/>
    <s v="-"/>
    <x v="0"/>
    <n v="2"/>
  </r>
  <r>
    <x v="0"/>
    <s v="EDF-811"/>
    <x v="1"/>
    <s v="e-Envanter Defteri - Envanter İşlemleri"/>
    <x v="3"/>
    <e v="#N/A"/>
    <x v="0"/>
    <s v="-"/>
    <x v="0"/>
    <n v="3"/>
  </r>
  <r>
    <x v="0"/>
    <s v="EDF-813"/>
    <x v="4"/>
    <s v="e-Envanter Defteri - Şematron Kontrolü Alanı"/>
    <x v="3"/>
    <e v="#N/A"/>
    <x v="0"/>
    <s v="Gelecek Sprint"/>
    <x v="3"/>
    <n v="3"/>
  </r>
  <r>
    <x v="1"/>
    <s v="WIK-794"/>
    <x v="1"/>
    <s v="Duyuru Modülü Sayfası Düzenleme"/>
    <x v="16"/>
    <e v="#N/A"/>
    <x v="0"/>
    <s v="-"/>
    <x v="0"/>
    <n v="1"/>
  </r>
  <r>
    <x v="1"/>
    <s v="WIK-795"/>
    <x v="1"/>
    <s v="Kullanıcı Yetkilendirme Modül İsimlerinin İngilizce Gözükmesi"/>
    <x v="16"/>
    <e v="#N/A"/>
    <x v="0"/>
    <s v="-"/>
    <x v="0"/>
    <n v="1"/>
  </r>
  <r>
    <x v="1"/>
    <s v="WIK-796"/>
    <x v="0"/>
    <s v="E imzalıdır Logosu Bulanık Gelmesi"/>
    <x v="16"/>
    <e v="#N/A"/>
    <x v="0"/>
    <s v="-"/>
    <x v="0"/>
    <n v="1"/>
  </r>
  <r>
    <x v="0"/>
    <s v="WIK-793"/>
    <x v="6"/>
    <s v="Belge Üzerine Eklenen Doğrulama Kodu için Ölçeklendirme"/>
    <x v="16"/>
    <e v="#N/A"/>
    <x v="1"/>
    <s v="Gelecek Sprint"/>
    <x v="1"/>
    <n v="3"/>
  </r>
  <r>
    <x v="0"/>
    <s v="UKDS-214"/>
    <x v="0"/>
    <s v="Ana Servis Sunucusunda DB Performans Çalışması"/>
    <x v="15"/>
    <e v="#N/A"/>
    <x v="0"/>
    <s v="-"/>
    <x v="0"/>
    <n v="5"/>
  </r>
  <r>
    <x v="1"/>
    <s v="IEU-316"/>
    <x v="0"/>
    <s v="Klasör İsim Güncelleme Sorunu"/>
    <x v="5"/>
    <e v="#N/A"/>
    <x v="0"/>
    <s v="-"/>
    <x v="0"/>
    <n v="5"/>
  </r>
  <r>
    <x v="1"/>
    <s v="IEU-317"/>
    <x v="0"/>
    <s v="Türkçe Karakter ve UID Getirme Hatası"/>
    <x v="5"/>
    <e v="#N/A"/>
    <x v="0"/>
    <s v="-"/>
    <x v="0"/>
    <n v="5"/>
  </r>
  <r>
    <x v="1"/>
    <s v="IEU-318"/>
    <x v="0"/>
    <s v="Silinen Klasör Verisinin API Üzerinden Erişilebilir Olması"/>
    <x v="5"/>
    <e v="#N/A"/>
    <x v="0"/>
    <s v="-"/>
    <x v="0"/>
    <n v="5"/>
  </r>
  <r>
    <x v="0"/>
    <s v="IEU-324"/>
    <x v="0"/>
    <s v="Analiz- On-Prem Uygulama Otomatik Deploy Edilebilmesi"/>
    <x v="5"/>
    <e v="#N/A"/>
    <x v="1"/>
    <s v="Gelecek Sprint"/>
    <x v="1"/>
    <m/>
  </r>
  <r>
    <x v="0"/>
    <s v="KA-1588"/>
    <x v="3"/>
    <s v="Prod ortamda Türkçe olmayan kelimelerin tespit edilmesi ve Türkçeleştirilmesi"/>
    <x v="6"/>
    <s v="Development"/>
    <x v="1"/>
    <s v="Gelecek Sprint"/>
    <x v="1"/>
    <m/>
  </r>
  <r>
    <x v="0"/>
    <s v="CRM-801"/>
    <x v="1"/>
    <s v="Password Alanı Güncelleme"/>
    <x v="0"/>
    <s v="Done"/>
    <x v="0"/>
    <s v="-"/>
    <x v="0"/>
    <n v="2"/>
  </r>
  <r>
    <x v="0"/>
    <s v="CRM-800"/>
    <x v="0"/>
    <s v="İK Entegrasyon Ürünleri - Ent. Suit Entegrasyonu Yenileme"/>
    <x v="0"/>
    <e v="#N/A"/>
    <x v="1"/>
    <s v="-"/>
    <x v="2"/>
    <n v="3"/>
  </r>
  <r>
    <x v="0"/>
    <s v="CRM-798"/>
    <x v="0"/>
    <s v="RezervKEP Metoduna Order ID Parametresinin Eklenmesi"/>
    <x v="0"/>
    <e v="#N/A"/>
    <x v="0"/>
    <s v="-"/>
    <x v="0"/>
    <n v="1"/>
  </r>
  <r>
    <x v="0"/>
    <s v="CRM-795"/>
    <x v="0"/>
    <s v="E-Ödeme Servisi - Ek Geliştirme"/>
    <x v="0"/>
    <e v="#N/A"/>
    <x v="0"/>
    <s v="-"/>
    <x v="0"/>
    <n v="3"/>
  </r>
  <r>
    <x v="0"/>
    <s v="CRM-762"/>
    <x v="6"/>
    <s v="CRM Satış Raporu – Müşteri İlgi Seviyesi Tanımlama Kuralları"/>
    <x v="0"/>
    <s v="TO TEST"/>
    <x v="1"/>
    <s v="Gelecek Sprint"/>
    <x v="1"/>
    <n v="2"/>
  </r>
  <r>
    <x v="0"/>
    <s v="CRM-791"/>
    <x v="0"/>
    <s v="Müşteri Ticari Sicil No Alanı"/>
    <x v="0"/>
    <e v="#N/A"/>
    <x v="0"/>
    <s v="-"/>
    <x v="0"/>
    <n v="2"/>
  </r>
  <r>
    <x v="0"/>
    <s v="EDF-815"/>
    <x v="0"/>
    <s v="e-Envanter Defteri - Client İmzalama İşlemleri"/>
    <x v="3"/>
    <e v="#N/A"/>
    <x v="0"/>
    <s v="Gelecek Sprint"/>
    <x v="3"/>
    <n v="5"/>
  </r>
  <r>
    <x v="1"/>
    <s v="EDF-814"/>
    <x v="0"/>
    <s v="e-Defter Sözleşme Ekranında Link Güncellenmesi"/>
    <x v="3"/>
    <s v="To Do"/>
    <x v="0"/>
    <s v="-"/>
    <x v="0"/>
    <n v="1"/>
  </r>
  <r>
    <x v="0"/>
    <s v="EDF-812"/>
    <x v="0"/>
    <s v="Anasayfa - Envanter Defteri Berat Widget Alanı"/>
    <x v="3"/>
    <s v="To Do"/>
    <x v="0"/>
    <s v="-"/>
    <x v="0"/>
    <n v="2"/>
  </r>
  <r>
    <x v="0"/>
    <s v="EDF-809"/>
    <x v="0"/>
    <s v="Rapor - Envanter Berat Durum Alanının Eklenmesi"/>
    <x v="3"/>
    <s v="To Do"/>
    <x v="0"/>
    <s v="-"/>
    <x v="0"/>
    <n v="3"/>
  </r>
  <r>
    <x v="0"/>
    <s v="EDF-808"/>
    <x v="0"/>
    <s v="Anasayfa - Envanter Defteri Widget Alanı"/>
    <x v="3"/>
    <s v="To Do"/>
    <x v="0"/>
    <s v="-"/>
    <x v="0"/>
    <n v="3"/>
  </r>
  <r>
    <x v="0"/>
    <s v="EFT-2367"/>
    <x v="1"/>
    <s v="Giden Fatura Kalemleri Raporu Benzeri Bir e-Arşiv Fatura Alanı Açılması"/>
    <x v="4"/>
    <s v="Done"/>
    <x v="0"/>
    <s v="-"/>
    <x v="0"/>
    <n v="5"/>
  </r>
  <r>
    <x v="0"/>
    <s v="EFT-2368"/>
    <x v="1"/>
    <s v="GİB Şematron Paketi Birleştirme Sistemi"/>
    <x v="4"/>
    <s v="Done"/>
    <x v="1"/>
    <s v="-"/>
    <x v="2"/>
    <n v="5"/>
  </r>
  <r>
    <x v="0"/>
    <s v="UKDS-215"/>
    <x v="3"/>
    <s v="Servis Katmanı Refactor Çalışması"/>
    <x v="15"/>
    <e v="#N/A"/>
    <x v="0"/>
    <s v="-"/>
    <x v="0"/>
    <n v="5"/>
  </r>
  <r>
    <x v="0"/>
    <s v="WIK-803"/>
    <x v="0"/>
    <s v="Belirli Filtre Seçimlerinde “Tekrar Gönder” Butonunun Gösterilmemesi"/>
    <x v="16"/>
    <e v="#N/A"/>
    <x v="0"/>
    <s v="-"/>
    <x v="0"/>
    <n v="1"/>
  </r>
  <r>
    <x v="0"/>
    <s v="WIK-800"/>
    <x v="0"/>
    <s v="Çalışan Gönderim Detaylarında 3 aydan Eski Kayıtlar için Bilgilendirme Uyarısı Eklenmesi"/>
    <x v="16"/>
    <e v="#N/A"/>
    <x v="0"/>
    <s v="-"/>
    <x v="0"/>
    <n v="2"/>
  </r>
  <r>
    <x v="0"/>
    <s v="WIK-791"/>
    <x v="3"/>
    <s v="Duyuru Modülünde Çoklu Grup Seçimi ve Grup Dışı Çalışanları Ekleme Özelliği"/>
    <x v="16"/>
    <s v="Development"/>
    <x v="1"/>
    <s v="Gelecek Sprint"/>
    <x v="1"/>
    <n v="3"/>
  </r>
  <r>
    <x v="0"/>
    <s v="MU-215"/>
    <x v="1"/>
    <s v="Mobil Uygulama UKDS Süreç ve Ödeme Akış Event'lerinin Entegrasyonu"/>
    <x v="9"/>
    <s v="Done"/>
    <x v="1"/>
    <s v="-"/>
    <x v="2"/>
    <n v="3"/>
  </r>
  <r>
    <x v="0"/>
    <s v="KA-1591"/>
    <x v="0"/>
    <s v="Kullanıcı Tanımlamalarının Log İnceleme Talebi"/>
    <x v="6"/>
    <e v="#N/A"/>
    <x v="0"/>
    <s v="-"/>
    <x v="0"/>
    <n v="1"/>
  </r>
  <r>
    <x v="0"/>
    <s v="CRM-807"/>
    <x v="0"/>
    <s v="KEP İK - Toplu PDF Parçalama Modül Tanımı"/>
    <x v="0"/>
    <e v="#N/A"/>
    <x v="0"/>
    <s v="-"/>
    <x v="0"/>
    <n v="5"/>
  </r>
  <r>
    <x v="1"/>
    <s v="MU-217"/>
    <x v="1"/>
    <s v="Mailbox Menü Geçişlerinde Index Hatası"/>
    <x v="9"/>
    <s v="Done"/>
    <x v="1"/>
    <s v="-"/>
    <x v="2"/>
    <n v="3"/>
  </r>
  <r>
    <x v="1"/>
    <s v="MU-216"/>
    <x v="1"/>
    <s v="Bildirim İzni Fonksiyonunun Çift Tetiklenmesi"/>
    <x v="9"/>
    <s v="Done"/>
    <x v="1"/>
    <s v="-"/>
    <x v="2"/>
    <n v="3"/>
  </r>
  <r>
    <x v="1"/>
    <s v="MU-218"/>
    <x v="1"/>
    <s v="Şifremi Unuttum Ekranı &quot;Devam Et&quot; Butonu Null Hatası"/>
    <x v="9"/>
    <s v="Done"/>
    <x v="1"/>
    <s v="-"/>
    <x v="2"/>
    <n v="3"/>
  </r>
  <r>
    <x v="0"/>
    <s v="IEU-323"/>
    <x v="1"/>
    <s v="Araştırma- KEP Gönderim Metotlarında İstek Seviyelerinin Tanımlanabilir Olması"/>
    <x v="5"/>
    <e v="#N/A"/>
    <x v="1"/>
    <s v="-"/>
    <x v="2"/>
    <n v="5"/>
  </r>
  <r>
    <x v="0"/>
    <s v="KA-1595"/>
    <x v="1"/>
    <s v="UETS İletilerinin “Görevlerim” Ekranına Düşmeden Otomatik Olarak Tamamlanması"/>
    <x v="6"/>
    <s v="Done"/>
    <x v="1"/>
    <s v="-"/>
    <x v="2"/>
    <n v="2"/>
  </r>
  <r>
    <x v="0"/>
    <s v="KA-1594"/>
    <x v="1"/>
    <s v="KEP İletilerinin “Görevlerim” Ekranına Düşmeden Otomatik Olarak Tamamlanması"/>
    <x v="6"/>
    <s v="Done"/>
    <x v="1"/>
    <s v="-"/>
    <x v="2"/>
    <n v="2"/>
  </r>
  <r>
    <x v="0"/>
    <s v="CRM-806"/>
    <x v="1"/>
    <s v="ENTEGRASYONBIREYSEL ve ENTEGRASYONKURUMSAL - UKDS Sistemine Ödeme Bilgisinin Gönderilmesi"/>
    <x v="0"/>
    <e v="#N/A"/>
    <x v="1"/>
    <s v="Gelecek Sprint"/>
    <x v="1"/>
    <n v="2"/>
  </r>
  <r>
    <x v="0"/>
    <s v="CRM-810"/>
    <x v="5"/>
    <s v="Yeni Ödeme Servisi Kayıt Tipleri – Fatura ve Tahsilat Otomasyon Entegrasyonu"/>
    <x v="0"/>
    <e v="#N/A"/>
    <x v="1"/>
    <s v="Gelecek Sprint"/>
    <x v="1"/>
    <n v="5"/>
  </r>
  <r>
    <x v="0"/>
    <s v="CRM-813"/>
    <x v="1"/>
    <s v="UKDS Modülü Uygulama Öncesi Ödeme Tipi Seçim Kontrolü"/>
    <x v="0"/>
    <e v="#N/A"/>
    <x v="1"/>
    <s v="Gelecek Sprint"/>
    <x v="1"/>
    <n v="3"/>
  </r>
  <r>
    <x v="0"/>
    <s v="CRM-815"/>
    <x v="3"/>
    <s v="ENTEGRASYONBIREYSEL ve ENTEGRASYONKURUMSAL - Ent. Suit Akışı"/>
    <x v="0"/>
    <e v="#N/A"/>
    <x v="1"/>
    <s v="Gelecek Sprint"/>
    <x v="1"/>
    <n v="5"/>
  </r>
  <r>
    <x v="0"/>
    <s v="CRM-774"/>
    <x v="6"/>
    <s v="SMM ve MM Sözleşmeleri Uzatma"/>
    <x v="0"/>
    <s v="TO TEST"/>
    <x v="1"/>
    <s v="Gelecek Sprint"/>
    <x v="1"/>
    <n v="3"/>
  </r>
  <r>
    <x v="0"/>
    <s v="CRM-812"/>
    <x v="6"/>
    <s v="E-Fatura - Aynı VKN İçin Aktivasyon Etiketi Tekilleştirme"/>
    <x v="0"/>
    <s v="TO TEST"/>
    <x v="1"/>
    <s v="Gelecek Sprint"/>
    <x v="1"/>
    <n v="3"/>
  </r>
  <r>
    <x v="0"/>
    <s v="UKDS-223"/>
    <x v="6"/>
    <s v="Özel Müşteri Seçiminde CRM rezerv metotuna id gönderilmemesi"/>
    <x v="24"/>
    <e v="#N/A"/>
    <x v="1"/>
    <s v="Gelecek Sprint"/>
    <x v="1"/>
    <n v="1"/>
  </r>
  <r>
    <x v="0"/>
    <s v="UKDS-219"/>
    <x v="3"/>
    <s v="Sonradan sisteme dahil olan müşterilerin CRM’den UKDS’ye gelmesi için metot geliştirilmesi"/>
    <x v="24"/>
    <s v="Development"/>
    <x v="1"/>
    <s v="Gelecek Sprint"/>
    <x v="1"/>
    <n v="3"/>
  </r>
  <r>
    <x v="0"/>
    <s v="UKDS-221"/>
    <x v="6"/>
    <s v="Yeni başvuru ekleme adımına ‘’Özel Müşteri’’ parametresinin eklemesi."/>
    <x v="24"/>
    <e v="#N/A"/>
    <x v="1"/>
    <s v="Gelecek Sprint"/>
    <x v="1"/>
    <n v="2"/>
  </r>
  <r>
    <x v="0"/>
    <s v="UKDS-220"/>
    <x v="6"/>
    <s v="Ön ödemeli/Müşteri Ödemeli seçimleri için metot güncellenmesi"/>
    <x v="24"/>
    <e v="#N/A"/>
    <x v="1"/>
    <s v="Gelecek Sprint"/>
    <x v="1"/>
    <n v="1"/>
  </r>
  <r>
    <x v="0"/>
    <s v="UKDS-222"/>
    <x v="6"/>
    <s v="Varsayılan olarak ‘’Ön Ödemeli’’ seçeneği tanımının gelmesi"/>
    <x v="24"/>
    <e v="#N/A"/>
    <x v="1"/>
    <s v="Gelecek Sprint"/>
    <x v="1"/>
    <n v="1"/>
  </r>
  <r>
    <x v="1"/>
    <s v="WIK-815"/>
    <x v="1"/>
    <s v="Çalışanlar Modülünün Kullanıcı Yetkilendirme Adımında Sayfanın Açılmaması"/>
    <x v="16"/>
    <s v="Done"/>
    <x v="1"/>
    <s v="-"/>
    <x v="2"/>
    <n v="2"/>
  </r>
  <r>
    <x v="0"/>
    <s v="WIK-810"/>
    <x v="1"/>
    <s v="Çalışan Ekle Sayfası – Örnek Excel Formatındaki e-Posta Alanlarının Düzenlenmesi"/>
    <x v="16"/>
    <s v="Done"/>
    <x v="1"/>
    <s v="-"/>
    <x v="2"/>
    <n v="1"/>
  </r>
  <r>
    <x v="0"/>
    <s v="WIK-812"/>
    <x v="1"/>
    <s v="Çalışanlar Ekranı – Çalışan Grubu Alanında “i” Bilgi İkonu Gösterim Kuralı"/>
    <x v="16"/>
    <s v="Done"/>
    <x v="1"/>
    <s v="-"/>
    <x v="2"/>
    <n v="2"/>
  </r>
  <r>
    <x v="1"/>
    <s v="KEP-317"/>
    <x v="6"/>
    <s v="Webmail Erişim Yetkisi Kısıtlı Kullanıcılarda Şifre Değiştirme Adımı"/>
    <x v="7"/>
    <e v="#N/A"/>
    <x v="1"/>
    <s v="Gelecek Sprint"/>
    <x v="1"/>
    <n v="2"/>
  </r>
  <r>
    <x v="0"/>
    <s v="KEP-318"/>
    <x v="6"/>
    <s v="Şifremi Unuttum Akışı – TCKN ve Cep Telefonu ile Adres Listeleme Servisi Geliştirilmesi"/>
    <x v="7"/>
    <e v="#N/A"/>
    <x v="1"/>
    <s v="Gelecek Sprint"/>
    <x v="1"/>
    <n v="3"/>
  </r>
  <r>
    <x v="1"/>
    <s v="UKDS-217"/>
    <x v="0"/>
    <s v="Entegrasyon Servisi Süresi Geçen Başvuruları Sürece Dahil Edilmesi"/>
    <x v="24"/>
    <e v="#N/A"/>
    <x v="0"/>
    <s v="-"/>
    <x v="0"/>
    <n v="1"/>
  </r>
  <r>
    <x v="1"/>
    <s v="EFT-2381"/>
    <x v="1"/>
    <s v="Konnektör YTBISTISNA Faturalarda İstisna Kodu Yazmaması"/>
    <x v="4"/>
    <e v="#N/A"/>
    <x v="1"/>
    <s v="-"/>
    <x v="2"/>
    <m/>
  </r>
  <r>
    <x v="0"/>
    <s v="EFT-2380"/>
    <x v="1"/>
    <s v="Konnektör İrsaliye Oluşturma Sayfası Kalem Kopyalama Özelliği"/>
    <x v="4"/>
    <e v="#N/A"/>
    <x v="1"/>
    <s v="-"/>
    <x v="2"/>
    <m/>
  </r>
  <r>
    <x v="1"/>
    <s v="EFT-2379"/>
    <x v="1"/>
    <s v="Konnektör IDIS Fatura Taslaklara Kopyalama"/>
    <x v="4"/>
    <e v="#N/A"/>
    <x v="1"/>
    <s v="-"/>
    <x v="2"/>
    <m/>
  </r>
  <r>
    <x v="1"/>
    <s v="EFT-2378"/>
    <x v="1"/>
    <s v="Portalda İhraç Kayıtlı Faturada Muafiyet Nedeni Hatası Hk."/>
    <x v="4"/>
    <e v="#N/A"/>
    <x v="1"/>
    <s v="-"/>
    <x v="2"/>
    <m/>
  </r>
  <r>
    <x v="1"/>
    <s v="EFT-2377"/>
    <x v="1"/>
    <s v="İrsaliye oluşturma sayfası adres alanları mapping ve kopyalama hatası"/>
    <x v="4"/>
    <e v="#N/A"/>
    <x v="1"/>
    <s v="-"/>
    <x v="2"/>
    <m/>
  </r>
  <r>
    <x v="1"/>
    <s v="EFT-2376"/>
    <x v="1"/>
    <s v="Tevkifatlı fatura tipinde satır bazlı tevkifat zorunluluğu hatası"/>
    <x v="4"/>
    <e v="#N/A"/>
    <x v="1"/>
    <s v="-"/>
    <x v="2"/>
    <m/>
  </r>
  <r>
    <x v="0"/>
    <s v="KA-1596"/>
    <x v="6"/>
    <s v="UETS ve KEP Alım Servislerinin Ayrıştırılması"/>
    <x v="6"/>
    <s v="TO TEST"/>
    <x v="1"/>
    <s v="Gelecek Sprint"/>
    <x v="1"/>
    <m/>
  </r>
  <r>
    <x v="0"/>
    <s v="KA-1597"/>
    <x v="0"/>
    <s v="Güncelleme Paketi hazırlanması"/>
    <x v="6"/>
    <s v="To Do"/>
    <x v="1"/>
    <s v="Gelecek Sprint"/>
    <x v="1"/>
    <m/>
  </r>
  <r>
    <x v="1"/>
    <s v="KA-1602"/>
    <x v="1"/>
    <s v="İleti Raporu Sayfasında 500 Internal Server Error"/>
    <x v="6"/>
    <e v="#N/A"/>
    <x v="1"/>
    <s v="Gelecek Sprint"/>
    <x v="1"/>
    <m/>
  </r>
  <r>
    <x v="1"/>
    <s v="KA-1603"/>
    <x v="1"/>
    <s v="Miat&quot; Alanı Boş Olduğunda Oluşan Log Şişmesi"/>
    <x v="6"/>
    <e v="#N/A"/>
    <x v="1"/>
    <s v="Gelecek Sprint"/>
    <x v="1"/>
    <m/>
  </r>
  <r>
    <x v="1"/>
    <s v="MU-128"/>
    <x v="1"/>
    <s v="Cihazlarda FCM Token Alma Sürecinde Zaman Zaman Oluşan Hata"/>
    <x v="9"/>
    <s v="Done"/>
    <x v="0"/>
    <s v="-"/>
    <x v="0"/>
    <m/>
  </r>
  <r>
    <x v="0"/>
    <s v="CRM-809"/>
    <x v="1"/>
    <s v="Halkbank Projesi - Statü Tetikleme Ek Geliştirme"/>
    <x v="0"/>
    <s v="Done"/>
    <x v="1"/>
    <s v="-"/>
    <x v="2"/>
    <m/>
  </r>
  <r>
    <x v="0"/>
    <s v="CRM-821"/>
    <x v="1"/>
    <s v="Halkbank Projesi - Productlist Ürün Tanımları"/>
    <x v="0"/>
    <s v="Done"/>
    <x v="1"/>
    <s v="-"/>
    <x v="2"/>
    <m/>
  </r>
  <r>
    <x v="0"/>
    <s v="ES-306"/>
    <x v="1"/>
    <s v="e-Saklama Code Refactoring"/>
    <x v="21"/>
    <e v="#N/A"/>
    <x v="1"/>
    <s v="Gelecek Sprint"/>
    <x v="1"/>
    <m/>
  </r>
  <r>
    <x v="0"/>
    <s v="EDF-824"/>
    <x v="3"/>
    <s v="e-Defter Code Refactoring"/>
    <x v="3"/>
    <e v="#N/A"/>
    <x v="1"/>
    <s v="Gelecek Sprint"/>
    <x v="1"/>
    <m/>
  </r>
  <r>
    <x v="0"/>
    <s v="ES-305"/>
    <x v="3"/>
    <s v="2FA Fonksiyonun Güncellenmesi"/>
    <x v="21"/>
    <e v="#N/A"/>
    <x v="1"/>
    <s v="Gelecek Sprint"/>
    <x v="1"/>
    <m/>
  </r>
  <r>
    <x v="0"/>
    <s v="EDF-822"/>
    <x v="3"/>
    <s v="Defter Ürünü için 2FA Fonksiyonun Güncellenmesi"/>
    <x v="3"/>
    <e v="#N/A"/>
    <x v="1"/>
    <s v="Gelecek Sprint"/>
    <x v="1"/>
    <m/>
  </r>
  <r>
    <x v="0"/>
    <s v="EDF-821"/>
    <x v="1"/>
    <s v="Defter Ürünü için 2FA Fonksiyonun Aktifleştirilmesi"/>
    <x v="3"/>
    <e v="#N/A"/>
    <x v="1"/>
    <s v="-"/>
    <x v="2"/>
    <m/>
  </r>
  <r>
    <x v="1"/>
    <s v="IMC-1"/>
    <x v="0"/>
    <s v="İmza Client Jar Test Bulguları"/>
    <x v="25"/>
    <s v="To Do"/>
    <x v="0"/>
    <s v="Gelecek Sprint"/>
    <x v="3"/>
    <m/>
  </r>
  <r>
    <x v="0"/>
    <s v="MU-223"/>
    <x v="0"/>
    <s v="Başvuru ve Ödeme Adımının Parametrik Yönetimi"/>
    <x v="9"/>
    <e v="#N/A"/>
    <x v="0"/>
    <s v="Gelecek Sprint"/>
    <x v="3"/>
    <m/>
  </r>
  <r>
    <x v="0"/>
    <s v="x"/>
    <x v="0"/>
    <s v=" 2FA uygulama içi araştırma- Geliştirme öncesi madde"/>
    <x v="6"/>
    <e v="#N/A"/>
    <x v="0"/>
    <s v="Gelecek Sprint"/>
    <x v="3"/>
    <m/>
  </r>
  <r>
    <x v="0"/>
    <s v="y"/>
    <x v="0"/>
    <s v=" 2FA uygulama içi araştırma- Geliştirme öncesi madde"/>
    <x v="12"/>
    <e v="#N/A"/>
    <x v="0"/>
    <s v="Gelecek Sprint"/>
    <x v="3"/>
    <m/>
  </r>
  <r>
    <x v="0"/>
    <s v="CRM-817"/>
    <x v="0"/>
    <s v="UKDS Entegrasyonu Kapsamında Mevcut Müşteri Verilerinin CRM Üzerinden Aktarımı"/>
    <x v="0"/>
    <e v="#N/A"/>
    <x v="0"/>
    <s v="Gelecek Sprint"/>
    <x v="3"/>
    <m/>
  </r>
  <r>
    <x v="0"/>
    <s v="CRM-811"/>
    <x v="0"/>
    <s v="KEPIK Hesap Açılışında Mükerrerlik ve Sipariş Durumu Kontrolleri"/>
    <x v="0"/>
    <e v="#N/A"/>
    <x v="0"/>
    <s v="Gelecek Sprint"/>
    <x v="3"/>
    <m/>
  </r>
  <r>
    <x v="0"/>
    <s v="CRM-805"/>
    <x v="0"/>
    <s v="UKDS Otomasyonu - Bireysel Otomasyon Ek Kurallar"/>
    <x v="0"/>
    <e v="#N/A"/>
    <x v="0"/>
    <s v="Gelecek Sprint"/>
    <x v="3"/>
    <m/>
  </r>
  <r>
    <x v="0"/>
    <s v="CRM-822"/>
    <x v="0"/>
    <s v="CRM Sistemine Chat Bot Eklenmesi"/>
    <x v="0"/>
    <e v="#N/A"/>
    <x v="0"/>
    <s v="Gelecek Sprint"/>
    <x v="3"/>
    <m/>
  </r>
  <r>
    <x v="0"/>
    <s v="CRM-814"/>
    <x v="0"/>
    <s v="KEPIK Entegrasyon Sözleşme Tipli ERP Alanı"/>
    <x v="0"/>
    <e v="#N/A"/>
    <x v="0"/>
    <s v="Gelecek Sprint"/>
    <x v="3"/>
    <m/>
  </r>
  <r>
    <x v="0"/>
    <s v="EFT-2389"/>
    <x v="0"/>
    <s v="Fatura Ürünü için 2FA Fonksiyonun Aktifleştirilmesi"/>
    <x v="4"/>
    <e v="#N/A"/>
    <x v="0"/>
    <s v="Gelecek Sprint"/>
    <x v="3"/>
    <m/>
  </r>
  <r>
    <x v="3"/>
    <s v="EFT-2388"/>
    <x v="0"/>
    <s v="Araştırma - Fatura Ürünü için 2FA Fonksiyonunun Araştırılması"/>
    <x v="4"/>
    <e v="#N/A"/>
    <x v="0"/>
    <s v="Gelecek Sprint"/>
    <x v="3"/>
    <m/>
  </r>
  <r>
    <x v="0"/>
    <s v="EFT-2390"/>
    <x v="0"/>
    <s v="INVOICEHISTORYID Kolon Kapasite İyileştirme Çalışması"/>
    <x v="4"/>
    <e v="#N/A"/>
    <x v="0"/>
    <s v="Gelecek Sprint"/>
    <x v="3"/>
    <m/>
  </r>
  <r>
    <x v="4"/>
    <m/>
    <x v="7"/>
    <m/>
    <x v="26"/>
    <m/>
    <x v="2"/>
    <m/>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8">
  <r>
    <s v="Story"/>
    <s v="CRM-281"/>
    <x v="0"/>
    <s v="Türkkep -E-Güven CRM entegrasyonu Faz 2 "/>
    <x v="0"/>
    <e v="#N/A"/>
    <x v="0"/>
    <s v="-"/>
    <s v="Ürün İş Listesi"/>
    <m/>
  </r>
  <r>
    <s v="Story"/>
    <s v="CRM-497"/>
    <x v="1"/>
    <s v="Saklama Kota Yükleme İşlemleri "/>
    <x v="0"/>
    <e v="#N/A"/>
    <x v="0"/>
    <s v="-"/>
    <s v="Ürün İş Listesi"/>
    <m/>
  </r>
  <r>
    <s v="Story"/>
    <s v="CRM-533"/>
    <x v="1"/>
    <s v="KEP IK Mahremiyet &amp; CRM Entegrasyonu"/>
    <x v="0"/>
    <e v="#N/A"/>
    <x v="0"/>
    <s v="-"/>
    <s v="Ürün İş Listesi"/>
    <m/>
  </r>
  <r>
    <s v="Story"/>
    <s v="CRM-535"/>
    <x v="1"/>
    <s v="KEP IK Blulut NVİ Tamamlanan Çalışanların QR Kodlu Islak İmza Taahhütnamelerinin Üretilmesi"/>
    <x v="0"/>
    <e v="#N/A"/>
    <x v="0"/>
    <s v="-"/>
    <s v="Ürün İş Listesi"/>
    <m/>
  </r>
  <r>
    <s v="Story"/>
    <s v="CRM-541_x0009_"/>
    <x v="1"/>
    <s v="Üretim Modülü için Tablo Modellenmesi"/>
    <x v="0"/>
    <e v="#N/A"/>
    <x v="0"/>
    <s v="-"/>
    <s v="Ürün İş Listesi"/>
    <m/>
  </r>
  <r>
    <s v="Story"/>
    <s v="CRM-542"/>
    <x v="1"/>
    <s v="Üretim Modülü için Anasayfa Filtre Ekranı"/>
    <x v="0"/>
    <e v="#N/A"/>
    <x v="0"/>
    <s v="-"/>
    <s v="Ürün İş Listesi"/>
    <n v="3"/>
  </r>
  <r>
    <s v="Story"/>
    <s v="CRM-543"/>
    <x v="1"/>
    <s v="Üretim Modülü Liste Sayfasının Geliştirmesi"/>
    <x v="0"/>
    <e v="#N/A"/>
    <x v="0"/>
    <s v="-"/>
    <s v="Ürün İş Listesi"/>
    <n v="5"/>
  </r>
  <r>
    <s v="Story"/>
    <s v="CRM-544"/>
    <x v="1"/>
    <s v="Üretim Modülü Mütabakat Sürecinin Geliştirmesi"/>
    <x v="0"/>
    <e v="#N/A"/>
    <x v="0"/>
    <s v="-"/>
    <s v="Ürün İş Listesi"/>
    <m/>
  </r>
  <r>
    <s v="Story"/>
    <s v="CRM-545"/>
    <x v="1"/>
    <s v="KEP IK Bulut NVİ Tamamlanmayan Çalışanların QR Kodlu Islak İmza Taahhütnamelerinin Üretilmesi için Servis Geliştirmesi"/>
    <x v="0"/>
    <e v="#N/A"/>
    <x v="0"/>
    <s v="-"/>
    <s v="Ürün İş Listesi"/>
    <m/>
  </r>
  <r>
    <s v="Story"/>
    <s v="CRM-546"/>
    <x v="1"/>
    <s v="KEP IK Bulut Çalışanların QR Kodlu Islak İmza Taahhütnamelerinin Uygulama İçerisinden Toplu İndirilmesi"/>
    <x v="0"/>
    <e v="#N/A"/>
    <x v="0"/>
    <s v="-"/>
    <s v="Ürün İş Listesi"/>
    <m/>
  </r>
  <r>
    <s v="Story"/>
    <s v="CRM-550"/>
    <x v="1"/>
    <s v="Multikep Müşteri Bilgilerinin CRM Sözleşmeden Aktarılması"/>
    <x v="0"/>
    <e v="#N/A"/>
    <x v="0"/>
    <s v="-"/>
    <s v="Ürün İş Listesi"/>
    <m/>
  </r>
  <r>
    <s v="Story"/>
    <s v="CRM-551"/>
    <x v="1"/>
    <s v="Multikep Modüllerinin CRM İşlem Kaydından Aktif Edilmesi"/>
    <x v="0"/>
    <e v="#N/A"/>
    <x v="0"/>
    <s v="-"/>
    <s v="Ürün İş Listesi"/>
    <m/>
  </r>
  <r>
    <s v="Story"/>
    <s v="CRM-553"/>
    <x v="1"/>
    <s v="Multikep Aktarılan Kullanıcılarının Update Edilmesi"/>
    <x v="0"/>
    <e v="#N/A"/>
    <x v="0"/>
    <s v="-"/>
    <s v="Ürün İş Listesi"/>
    <m/>
  </r>
  <r>
    <s v="Story"/>
    <s v="CRM-554"/>
    <x v="1"/>
    <s v="CRM Kurumsal Müşteri Oluşturma MERSİS Entegrasyonu"/>
    <x v="0"/>
    <e v="#N/A"/>
    <x v="0"/>
    <s v="-"/>
    <s v="Ürün İş Listesi"/>
    <n v="5"/>
  </r>
  <r>
    <s v="Story"/>
    <s v="CRM-555"/>
    <x v="1"/>
    <s v="KEP IK Toplu Açılış için CRM den Çalışan Listesini Insert Etme"/>
    <x v="0"/>
    <e v="#N/A"/>
    <x v="0"/>
    <s v="-"/>
    <s v="Ürün İş Listesi"/>
    <m/>
  </r>
  <r>
    <s v="Story"/>
    <s v="CRM-558"/>
    <x v="1"/>
    <s v="KEP IK Kullanıcı için İşlem Yetkilisi Değişiklikleri"/>
    <x v="0"/>
    <e v="#N/A"/>
    <x v="0"/>
    <s v="-"/>
    <s v="Ürün İş Listesi"/>
    <m/>
  </r>
  <r>
    <s v="Story"/>
    <s v="CRM-559"/>
    <x v="1"/>
    <s v="e-İmza UKDS Bilgilendirme Hk."/>
    <x v="0"/>
    <e v="#N/A"/>
    <x v="0"/>
    <s v="-"/>
    <s v="Ürün İş Listesi"/>
    <m/>
  </r>
  <r>
    <s v="Story"/>
    <s v="CRM-560"/>
    <x v="1"/>
    <s v="MultiKEP Ek Kullanıcı Aktarılması"/>
    <x v="0"/>
    <e v="#N/A"/>
    <x v="0"/>
    <s v="-"/>
    <s v="Ürün İş Listesi"/>
    <m/>
  </r>
  <r>
    <s v="Story"/>
    <s v="CRM-562"/>
    <x v="1"/>
    <s v="Yenileme Hatırlatma Maili Akışına Pasif Kullanıcı Kuralının Eklenmesi"/>
    <x v="0"/>
    <e v="#N/A"/>
    <x v="0"/>
    <s v="-"/>
    <s v="Ürün İş Listesi"/>
    <n v="3"/>
  </r>
  <r>
    <s v="Story"/>
    <s v="CRM-565"/>
    <x v="1"/>
    <s v="Toplu Teklif Oluşturma İşlemi"/>
    <x v="0"/>
    <e v="#N/A"/>
    <x v="0"/>
    <s v="-"/>
    <s v="Ürün İş Listesi"/>
    <m/>
  </r>
  <r>
    <s v="Story"/>
    <s v="CRM-568"/>
    <x v="1"/>
    <s v="MERSİS Ek Geliştirme"/>
    <x v="0"/>
    <e v="#N/A"/>
    <x v="0"/>
    <s v="-"/>
    <s v="Ürün İş Listesi"/>
    <n v="3"/>
  </r>
  <r>
    <s v="Story"/>
    <s v="CRM-569"/>
    <x v="1"/>
    <s v="Satış Rapor Yeni Müşteri Statüsü"/>
    <x v="0"/>
    <e v="#N/A"/>
    <x v="0"/>
    <s v="-"/>
    <s v="Ürün İş Listesi"/>
    <n v="2"/>
  </r>
  <r>
    <s v="Bug"/>
    <s v="CRM-570"/>
    <x v="1"/>
    <s v="Duplicate Teklif Numarası Hatası"/>
    <x v="0"/>
    <e v="#N/A"/>
    <x v="0"/>
    <s v="-"/>
    <s v="Ürün İş Listesi"/>
    <n v="3"/>
  </r>
  <r>
    <s v="Bug"/>
    <s v="CRM-571"/>
    <x v="1"/>
    <s v="İş Bankası Sanal POS Api User Değişikliği"/>
    <x v="0"/>
    <e v="#N/A"/>
    <x v="0"/>
    <s v="-"/>
    <s v="Ürün İş Listesi"/>
    <n v="1"/>
  </r>
  <r>
    <s v="Bug"/>
    <s v="CRM-572"/>
    <x v="1"/>
    <s v="Pazarama Bundle Hatası"/>
    <x v="0"/>
    <e v="#N/A"/>
    <x v="0"/>
    <s v="-"/>
    <s v="Ürün İş Listesi"/>
    <n v="3"/>
  </r>
  <r>
    <s v="Story"/>
    <s v="CRM-573"/>
    <x v="1"/>
    <s v="Müşteri Modülünde Mail Adresi İle Müşteri Listeleme"/>
    <x v="0"/>
    <e v="#N/A"/>
    <x v="0"/>
    <s v="-"/>
    <s v="Ürün İş Listesi"/>
    <n v="3"/>
  </r>
  <r>
    <s v="Story"/>
    <s v="CRM-574"/>
    <x v="1"/>
    <s v="Güvenlik Grubu Değişiklik Tarihçesi Hk."/>
    <x v="0"/>
    <e v="#N/A"/>
    <x v="0"/>
    <s v="-"/>
    <s v="Ürün İş Listesi"/>
    <n v="3"/>
  </r>
  <r>
    <s v="Story"/>
    <s v="CRM-577"/>
    <x v="1"/>
    <s v="Dijikolay Potansiyel Müşteri Entegrasyonu Hk."/>
    <x v="0"/>
    <e v="#N/A"/>
    <x v="0"/>
    <s v="-"/>
    <s v="Ürün İş Listesi"/>
    <n v="1"/>
  </r>
  <r>
    <s v="Story"/>
    <s v="CRM-580"/>
    <x v="1"/>
    <s v="KEP IK Toplu Açılış için CRM den Çalışan Listesini Insert Etme Ek Geliştirme"/>
    <x v="0"/>
    <e v="#N/A"/>
    <x v="0"/>
    <s v="-"/>
    <s v="Ürün İş Listesi"/>
    <n v="8"/>
  </r>
  <r>
    <s v="Story"/>
    <s v="CRM-581"/>
    <x v="1"/>
    <s v="Toplu IK Excel Yüklemede Hatalı Excelin Export Edilmesi"/>
    <x v="0"/>
    <e v="#N/A"/>
    <x v="0"/>
    <s v="-"/>
    <s v="Ürün İş Listesi"/>
    <n v="3"/>
  </r>
  <r>
    <s v="Bug"/>
    <s v="CRM-582"/>
    <x v="1"/>
    <s v="Toplu KEP IK Açılış Excelinde Güvenlik Kelimesi"/>
    <x v="0"/>
    <e v="#N/A"/>
    <x v="0"/>
    <s v="-"/>
    <s v="Ürün İş Listesi"/>
    <n v="2"/>
  </r>
  <r>
    <s v="Story"/>
    <s v="CRM-583"/>
    <x v="1"/>
    <s v="Toplu KEP IK Açılışlarında Bildirim Gönderilmesi"/>
    <x v="0"/>
    <e v="#N/A"/>
    <x v="0"/>
    <s v="-"/>
    <s v="Ürün İş Listesi"/>
    <n v="3"/>
  </r>
  <r>
    <s v="Story"/>
    <s v="CRM-584"/>
    <x v="1"/>
    <s v="KEP Adresi ile Arama"/>
    <x v="0"/>
    <e v="#N/A"/>
    <x v="0"/>
    <s v="-"/>
    <s v="Ürün İş Listesi"/>
    <n v="3"/>
  </r>
  <r>
    <s v="Story"/>
    <s v="CRM-587"/>
    <x v="0"/>
    <s v="e-İmza Başvuruları için Dış Servis Yazılması "/>
    <x v="0"/>
    <e v="#N/A"/>
    <x v="0"/>
    <s v="-"/>
    <s v="Ürün İş Listesi"/>
    <m/>
  </r>
  <r>
    <s v="Story"/>
    <s v="CRM-588"/>
    <x v="1"/>
    <s v="Üretim Modülü Fatura Tahsilatların İşlenmesi"/>
    <x v="0"/>
    <e v="#N/A"/>
    <x v="0"/>
    <s v="-"/>
    <s v="Ürün İş Listesi"/>
    <n v="3"/>
  </r>
  <r>
    <s v="Story"/>
    <s v="CRM-589"/>
    <x v="1"/>
    <s v="Duplicate Teklif Numarası için Alarm Maili Oluşturulması"/>
    <x v="0"/>
    <e v="#N/A"/>
    <x v="0"/>
    <s v="-"/>
    <s v="Ürün İş Listesi"/>
    <n v="1"/>
  </r>
  <r>
    <s v="Story"/>
    <s v="CRM-590"/>
    <x v="1"/>
    <s v="Aynı TCKN ye Ait Birden Fazla KEP Adresinin KEP IK Aktarım Süreci "/>
    <x v="0"/>
    <e v="#N/A"/>
    <x v="0"/>
    <s v="-"/>
    <s v="Ürün İş Listesi"/>
    <m/>
  </r>
  <r>
    <s v="Story"/>
    <s v="CRM-591"/>
    <x v="1"/>
    <s v="Pasif Olan KEP Adresin Tekrar Aktif Edilmesi (UKDS)"/>
    <x v="0"/>
    <e v="#N/A"/>
    <x v="0"/>
    <s v="-"/>
    <s v="Ürün İş Listesi"/>
    <m/>
  </r>
  <r>
    <s v="Story"/>
    <s v="CRM-592"/>
    <x v="1"/>
    <s v="Pasif Olan KEP Hesabın Tekrar Aktif Edilmesi (CRM)"/>
    <x v="0"/>
    <e v="#N/A"/>
    <x v="0"/>
    <s v="-"/>
    <s v="Ürün İş Listesi"/>
    <m/>
  </r>
  <r>
    <s v="Story"/>
    <s v="CRM-593"/>
    <x v="1"/>
    <s v="Mersis sorgu sonucunda dönen NACE kodu bilgisinin alınması"/>
    <x v="0"/>
    <e v="#N/A"/>
    <x v="0"/>
    <s v="-"/>
    <s v="Ürün İş Listesi"/>
    <n v="1"/>
  </r>
  <r>
    <s v="Story"/>
    <s v="CRM-594"/>
    <x v="0"/>
    <s v="KEP Assist ürün kullanım raporu"/>
    <x v="0"/>
    <e v="#N/A"/>
    <x v="0"/>
    <s v="-"/>
    <s v="Ürün İş Listesi"/>
    <n v="5"/>
  </r>
  <r>
    <s v="Story"/>
    <s v="CRM-597"/>
    <x v="1"/>
    <s v="Sipariş detayında MERSİS sorgu sonucu başarılı dönmemesi"/>
    <x v="0"/>
    <e v="#N/A"/>
    <x v="0"/>
    <s v="-"/>
    <s v="Ürün İş Listesi"/>
    <n v="1"/>
  </r>
  <r>
    <s v="Story"/>
    <s v="CRM-598"/>
    <x v="1"/>
    <s v="Kamu/Oda/Vakıf/Dernek müşteri tipi için KEP hesap oluşturulabilmesi"/>
    <x v="0"/>
    <e v="#N/A"/>
    <x v="0"/>
    <s v="-"/>
    <s v="Ürün İş Listesi"/>
    <n v="1"/>
  </r>
  <r>
    <s v="Story"/>
    <s v="CRM-599"/>
    <x v="1"/>
    <s v="Manuel müşteri kaydı oluşturma"/>
    <x v="0"/>
    <e v="#N/A"/>
    <x v="0"/>
    <s v="-"/>
    <s v="Ürün İş Listesi"/>
    <n v="1"/>
  </r>
  <r>
    <s v="Story"/>
    <s v="CRM-600"/>
    <x v="1"/>
    <s v="MERSİS sonucunda eşleşme sağlanamaması"/>
    <x v="0"/>
    <e v="#N/A"/>
    <x v="0"/>
    <s v="-"/>
    <s v="Ürün İş Listesi"/>
    <n v="1"/>
  </r>
  <r>
    <s v="Story"/>
    <s v="CRM-601"/>
    <x v="1"/>
    <s v="KEP Assist rapor servisine entegrasyon sağlanması"/>
    <x v="0"/>
    <e v="#N/A"/>
    <x v="0"/>
    <s v="-"/>
    <s v="Ürün İş Listesi"/>
    <n v="1"/>
  </r>
  <r>
    <s v="Story"/>
    <s v="CRM-602"/>
    <x v="1"/>
    <s v="KEP Assist organizasyon ID bilgisinin kaydedilmesi"/>
    <x v="0"/>
    <e v="#N/A"/>
    <x v="0"/>
    <s v="-"/>
    <s v="Ürün İş Listesi"/>
    <n v="1"/>
  </r>
  <r>
    <s v="Story"/>
    <s v="CRM-603"/>
    <x v="1"/>
    <s v="Sözleşmeler sayfasına kullanım bilgilerinin kaydedilmesi"/>
    <x v="0"/>
    <e v="#N/A"/>
    <x v="0"/>
    <s v="-"/>
    <s v="Ürün İş Listesi"/>
    <n v="5"/>
  </r>
  <r>
    <s v="Story"/>
    <s v="CRM-604"/>
    <x v="1"/>
    <s v="Kullanım bilgilerinin güncellenmesi için job yazılması"/>
    <x v="0"/>
    <e v="#N/A"/>
    <x v="0"/>
    <s v="-"/>
    <s v="Ürün İş Listesi"/>
    <n v="2"/>
  </r>
  <r>
    <s v="Story"/>
    <s v="CRM-605"/>
    <x v="1"/>
    <s v="Belirli tarih aralığındaki kullanım bilgilerinin gösterilmesi"/>
    <x v="0"/>
    <e v="#N/A"/>
    <x v="0"/>
    <s v="-"/>
    <s v="Ürün İş Listesi"/>
    <n v="3"/>
  </r>
  <r>
    <s v="Story"/>
    <s v="CRM-608"/>
    <x v="1"/>
    <s v="Duplicate Fatura Numaraları için Düzenleme"/>
    <x v="0"/>
    <e v="#N/A"/>
    <x v="0"/>
    <s v="-"/>
    <s v="Ürün İş Listesi"/>
    <n v="2"/>
  </r>
  <r>
    <s v="Story"/>
    <s v="CRM-609"/>
    <x v="1"/>
    <s v="Müşterinin Oluşturulma Tarihi Düzenlemesi"/>
    <x v="0"/>
    <e v="#N/A"/>
    <x v="0"/>
    <s v="-"/>
    <s v="Ürün İş Listesi"/>
    <n v="1"/>
  </r>
  <r>
    <s v="Story"/>
    <s v="CRM-610"/>
    <x v="1"/>
    <s v="Test ortamı MERSİS entegrasyonu kontrol adımları"/>
    <x v="0"/>
    <e v="#N/A"/>
    <x v="0"/>
    <s v="-"/>
    <s v="Ürün İş Listesi"/>
    <n v="2"/>
  </r>
  <r>
    <s v="Story"/>
    <s v="CRM-613"/>
    <x v="1"/>
    <s v="Test ortamında NACE kodu bilgisi alanının getirilmesi"/>
    <x v="0"/>
    <e v="#N/A"/>
    <x v="0"/>
    <s v="-"/>
    <s v="Ürün İş Listesi"/>
    <n v="1"/>
  </r>
  <r>
    <s v="Story"/>
    <s v="CRM-614"/>
    <x v="1"/>
    <s v="Tobb Mersis servisi bakiye kontrolü için bildirim maili gönderilmesi"/>
    <x v="0"/>
    <e v="#N/A"/>
    <x v="0"/>
    <s v="-"/>
    <s v="Ürün İş Listesi"/>
    <n v="2"/>
  </r>
  <r>
    <s v="Story"/>
    <s v="CRM-616"/>
    <x v="1"/>
    <s v="Turmob servis tüketim bilgilerinin kaydedilmesi"/>
    <x v="0"/>
    <e v="#N/A"/>
    <x v="0"/>
    <s v="-"/>
    <s v="Ürün İş Listesi"/>
    <n v="3"/>
  </r>
  <r>
    <s v="Story"/>
    <s v="CRM-617"/>
    <x v="1"/>
    <s v="Turmob servis tüketim verilerinin Fatura bakiyesinden düşülmesi"/>
    <x v="0"/>
    <e v="#N/A"/>
    <x v="0"/>
    <s v="-"/>
    <s v="Ürün İş Listesi"/>
    <n v="1"/>
  </r>
  <r>
    <s v="Story"/>
    <s v="CRM-618"/>
    <x v="1"/>
    <s v="Fatura tüketim verileri içeren raporların güncellenmesi"/>
    <x v="0"/>
    <e v="#N/A"/>
    <x v="0"/>
    <s v="-"/>
    <s v="Ürün İş Listesi"/>
    <n v="1"/>
  </r>
  <r>
    <s v="Story"/>
    <s v="DP-266"/>
    <x v="1"/>
    <s v="İptal Firmaların Veri Teslimi İçin Sorgu Ekranı Eklenmesi"/>
    <x v="1"/>
    <e v="#N/A"/>
    <x v="0"/>
    <s v="-"/>
    <s v="Ürün İş Listesi"/>
    <n v="2"/>
  </r>
  <r>
    <s v="Bug"/>
    <s v="DP-267"/>
    <x v="1"/>
    <s v="E-Defter Firma Raporu Excelinin Güncellenmesi"/>
    <x v="1"/>
    <e v="#N/A"/>
    <x v="0"/>
    <s v="-"/>
    <s v="Ürün İş Listesi"/>
    <n v="2"/>
  </r>
  <r>
    <s v="Story"/>
    <s v="DP-268"/>
    <x v="1"/>
    <s v="KEP Utility Servisi Evidence-controller metotlarının eklenmesi"/>
    <x v="1"/>
    <e v="#N/A"/>
    <x v="0"/>
    <s v="-"/>
    <s v="Ürün İş Listesi"/>
    <n v="2"/>
  </r>
  <r>
    <s v="Story"/>
    <s v="DP-269"/>
    <x v="1"/>
    <s v="KEP Utility Servisi Mailbox-controller metotlarının eklenmesi"/>
    <x v="1"/>
    <e v="#N/A"/>
    <x v="0"/>
    <s v="-"/>
    <s v="Ürün İş Listesi"/>
    <n v="2"/>
  </r>
  <r>
    <s v="Story"/>
    <s v="DP-270"/>
    <x v="1"/>
    <s v="KEP Utility Servisi Original-controller metotlarının eklenmesi"/>
    <x v="1"/>
    <e v="#N/A"/>
    <x v="0"/>
    <s v="-"/>
    <s v="Ürün İş Listesi"/>
    <n v="5"/>
  </r>
  <r>
    <s v="Story"/>
    <s v="DP-271"/>
    <x v="1"/>
    <s v="KEP Utility Servisi quota-controller metotlarının eklenmesi"/>
    <x v="1"/>
    <e v="#N/A"/>
    <x v="0"/>
    <s v="-"/>
    <s v="Ürün İş Listesi"/>
    <n v="2"/>
  </r>
  <r>
    <s v="Story"/>
    <s v="DP-272"/>
    <x v="1"/>
    <s v=" KEP Utility Servisi Rem-q-controller metotlarının eklenmesi"/>
    <x v="1"/>
    <e v="#N/A"/>
    <x v="0"/>
    <s v="-"/>
    <s v="Ürün İş Listesi"/>
    <n v="2"/>
  </r>
  <r>
    <s v="Story"/>
    <s v="DP-273"/>
    <x v="1"/>
    <s v=" KEP Utility Servisi Web-hr-controller metotlarının eklenmesi"/>
    <x v="1"/>
    <e v="#N/A"/>
    <x v="0"/>
    <s v="-"/>
    <s v="Ürün İş Listesi"/>
    <n v="2"/>
  </r>
  <r>
    <s v="Story"/>
    <s v="DS-10"/>
    <x v="1"/>
    <s v="Hata loglarının LogSign üzerinden bildirim olarak gönderilmesi"/>
    <x v="2"/>
    <e v="#N/A"/>
    <x v="0"/>
    <s v="-"/>
    <s v="Ürün İş Listesi"/>
    <n v="3"/>
  </r>
  <r>
    <s v="Story"/>
    <s v="EDF-748"/>
    <x v="1"/>
    <s v="e-Defter Kebir Dosyalarının Ocak 2025 Dönemi İtibarı ile GİB Sistemlerine Yüklenmemesi İçin Değişiklik"/>
    <x v="3"/>
    <e v="#N/A"/>
    <x v="0"/>
    <s v="-"/>
    <s v="Ürün İş Listesi"/>
    <m/>
  </r>
  <r>
    <s v="Story"/>
    <s v="EDF-750"/>
    <x v="1"/>
    <s v="E-Defter Client Defter İmzalama İçin .jar Dosyasının Güncellenmesi"/>
    <x v="3"/>
    <e v="#N/A"/>
    <x v="0"/>
    <s v="-"/>
    <s v="Ürün İş Listesi"/>
    <m/>
  </r>
  <r>
    <s v="Story"/>
    <s v="EDF-751"/>
    <x v="1"/>
    <s v="Büyük Parçalı Firma (LOFT) Portalde İşlem Yapabilmesi İçin Exe Yazılması"/>
    <x v="3"/>
    <e v="#N/A"/>
    <x v="0"/>
    <s v="-"/>
    <s v="Ürün İş Listesi"/>
    <n v="3"/>
  </r>
  <r>
    <s v="Story"/>
    <s v="EDF-752"/>
    <x v="1"/>
    <s v="CST_Contract Tablosunda Yer Almayan Müşterinin Portale Girişinin Engellediği Geliştirmenin Geri Alınması"/>
    <x v="3"/>
    <e v="#N/A"/>
    <x v="0"/>
    <s v="-"/>
    <s v="Ürün İş Listesi"/>
    <n v="2"/>
  </r>
  <r>
    <s v="Story"/>
    <s v="EDF-755"/>
    <x v="1"/>
    <s v="Sözleşmesi Dolacak Müşteriler İçin Portalde Uyarı Metni Gösterimi"/>
    <x v="3"/>
    <e v="#N/A"/>
    <x v="0"/>
    <s v="-"/>
    <s v="Ürün İş Listesi"/>
    <n v="13"/>
  </r>
  <r>
    <s v="Story"/>
    <s v="EFT-1669"/>
    <x v="2"/>
    <s v="Şifreli Tutulan Verilerin SHA-2 Algoritması İle Hashlenmesi"/>
    <x v="4"/>
    <e v="#N/A"/>
    <x v="0"/>
    <s v="-"/>
    <s v="Ürün İş Listesi"/>
    <m/>
  </r>
  <r>
    <s v="Story"/>
    <s v="EFT-1934"/>
    <x v="1"/>
    <s v="Sözleşme ve aktivasyon süreçlerinin istemci ile gerçekleştirilmesi"/>
    <x v="4"/>
    <e v="#N/A"/>
    <x v="0"/>
    <s v="-"/>
    <s v="Ürün İş Listesi"/>
    <n v="3"/>
  </r>
  <r>
    <s v="Story"/>
    <s v="EFT-2043"/>
    <x v="1"/>
    <s v="Kamu Faturaları Düzenlemeleri"/>
    <x v="4"/>
    <e v="#N/A"/>
    <x v="0"/>
    <s v="-"/>
    <s v="Ürün İş Listesi"/>
    <n v="2"/>
  </r>
  <r>
    <s v="Story"/>
    <s v="EFT-2068"/>
    <x v="1"/>
    <s v="Portalde Excel İle Fatura Yükleme "/>
    <x v="4"/>
    <e v="#N/A"/>
    <x v="0"/>
    <s v="-"/>
    <s v="Ürün İş Listesi"/>
    <m/>
  </r>
  <r>
    <s v="Story"/>
    <s v="EFT-2085"/>
    <x v="1"/>
    <s v="İlaç ve Tıbbi Cihaz Fatura Tipinde Fatura Oluşturulup Gönderilmesi"/>
    <x v="4"/>
    <e v="#N/A"/>
    <x v="0"/>
    <s v="-"/>
    <s v="Ürün İş Listesi"/>
    <n v="13"/>
  </r>
  <r>
    <s v="Story"/>
    <s v="EFT-2087"/>
    <x v="1"/>
    <s v="DeliveryCustomerParty Alanında TCKN Giriliyorsa Ad Soyad Girme Zorunluluğu Ekleme"/>
    <x v="4"/>
    <e v="#N/A"/>
    <x v="0"/>
    <s v="-"/>
    <s v="Ürün İş Listesi"/>
    <n v="3"/>
  </r>
  <r>
    <s v="Story"/>
    <s v="EFT-2094"/>
    <x v="1"/>
    <s v="Portal İlaç ve Tıbbi Cihaz Fatura Tipinde Fatura Oluşturulup Gönderilmesi"/>
    <x v="4"/>
    <e v="#N/A"/>
    <x v="0"/>
    <s v="-"/>
    <s v="Ürün İş Listesi"/>
    <n v="5"/>
  </r>
  <r>
    <s v="Bug"/>
    <s v="EFT-2095"/>
    <x v="1"/>
    <s v="Ef-Admin Portalde Şifremi Unuttum Alanının Çalışmaması"/>
    <x v="4"/>
    <e v="#N/A"/>
    <x v="0"/>
    <s v="-"/>
    <s v="Ürün İş Listesi"/>
    <n v="3"/>
  </r>
  <r>
    <s v="Story"/>
    <s v="EFT-2100"/>
    <x v="1"/>
    <s v="IHRACKAYITLI fatura tipi için GTİP ve Satır Kodu Zorunluluğu"/>
    <x v="4"/>
    <e v="#N/A"/>
    <x v="0"/>
    <s v="-"/>
    <s v="Ürün İş Listesi"/>
    <n v="5"/>
  </r>
  <r>
    <s v="Story"/>
    <s v="EFT-2101"/>
    <x v="1"/>
    <s v="İade ve Tevkifatiade Fatura Tiplerinde İadeye Konu Olan Fatura Numarası ve Tarihi Boş Olmaması"/>
    <x v="4"/>
    <e v="#N/A"/>
    <x v="0"/>
    <s v="-"/>
    <s v="Ürün İş Listesi"/>
    <n v="5"/>
  </r>
  <r>
    <s v="Story"/>
    <s v="EFT-2102"/>
    <x v="1"/>
    <s v="TaxExemptionReasonCodeType Güncellenmesi"/>
    <x v="4"/>
    <e v="#N/A"/>
    <x v="0"/>
    <s v="-"/>
    <s v="Ürün İş Listesi"/>
    <n v="1"/>
  </r>
  <r>
    <s v="Story"/>
    <s v="EFT-2108"/>
    <x v="1"/>
    <s v="ERP Binding Müşterilerine GİB Zorunlulukları İçin Geliştirme"/>
    <x v="4"/>
    <e v="#N/A"/>
    <x v="0"/>
    <s v="-"/>
    <s v="Ürün İş Listesi"/>
    <n v="3"/>
  </r>
  <r>
    <s v="Story"/>
    <s v="EFT-2109"/>
    <x v="1"/>
    <s v="MLP İade Faturası Geliştirmesi"/>
    <x v="4"/>
    <e v="#N/A"/>
    <x v="0"/>
    <s v="-"/>
    <s v="Ürün İş Listesi"/>
    <n v="2"/>
  </r>
  <r>
    <s v="Story"/>
    <s v="EFT-2114"/>
    <x v="1"/>
    <s v="HSM Lisans Süresini Uzatılması"/>
    <x v="4"/>
    <e v="#N/A"/>
    <x v="0"/>
    <s v="-"/>
    <s v="Ürün İş Listesi"/>
    <n v="1"/>
  </r>
  <r>
    <s v="Story"/>
    <s v="EFT-2116"/>
    <x v="1"/>
    <s v="Yapılan Türmob sorgularının veri tablosuna kaydedilmesi"/>
    <x v="4"/>
    <e v="#N/A"/>
    <x v="0"/>
    <s v="-"/>
    <s v="Ürün İş Listesi"/>
    <n v="3"/>
  </r>
  <r>
    <s v="Story"/>
    <s v="EFT-2117"/>
    <x v="1"/>
    <s v="Konnektör VKN/TCKN Alanı Minimum 10 Hane ve Ücretlendirme Uyarısı"/>
    <x v="4"/>
    <e v="#N/A"/>
    <x v="0"/>
    <s v="-"/>
    <s v="Ürün İş Listesi"/>
    <n v="1"/>
  </r>
  <r>
    <s v="Story"/>
    <s v="EFT-2118"/>
    <x v="1"/>
    <s v="Proxy Servis Metot Geliştirmeleri"/>
    <x v="4"/>
    <e v="#N/A"/>
    <x v="0"/>
    <s v="-"/>
    <s v="Ürün İş Listesi"/>
    <n v="2"/>
  </r>
  <r>
    <s v="Story"/>
    <s v="EFT-2119"/>
    <x v="1"/>
    <s v="CRM-Fatura Entegrasyonu Sağlanması"/>
    <x v="4"/>
    <e v="#N/A"/>
    <x v="0"/>
    <s v="-"/>
    <s v="Ürün İş Listesi"/>
    <n v="2"/>
  </r>
  <r>
    <s v="Story"/>
    <s v="EFT-2120"/>
    <x v="1"/>
    <s v="Portal VKN/TCKN Alanına Minimum 10 haneli Giriş Zorunluluğu ve Ücretlendirme Uyarısı"/>
    <x v="4"/>
    <e v="#N/A"/>
    <x v="0"/>
    <s v="-"/>
    <s v="Ürün İş Listesi"/>
    <n v="1"/>
  </r>
  <r>
    <s v="Story"/>
    <s v="EFT-2121"/>
    <x v="1"/>
    <s v="Portalda Dashboard da TÜRMOB Sorgu Sayısı"/>
    <x v="4"/>
    <e v="#N/A"/>
    <x v="0"/>
    <s v="-"/>
    <s v="Ürün İş Listesi"/>
    <n v="3"/>
  </r>
  <r>
    <s v="Bug"/>
    <s v="EFT-2122"/>
    <x v="1"/>
    <s v="İrsaliye Web Metotlarında Mersis No ve Ticaret No Zorunluluğu Kaldırma "/>
    <x v="4"/>
    <e v="#N/A"/>
    <x v="0"/>
    <s v="-"/>
    <s v="Ürün İş Listesi"/>
    <n v="1"/>
  </r>
  <r>
    <s v="Bug"/>
    <s v="EFT-2127"/>
    <x v="1"/>
    <s v="GİB Zorunlulukları Sonrası Konnektörde Harici Excel İle Yüklemede Hata"/>
    <x v="4"/>
    <e v="#N/A"/>
    <x v="0"/>
    <s v="-"/>
    <s v="Ürün İş Listesi"/>
    <n v="2"/>
  </r>
  <r>
    <s v="Story"/>
    <s v="EFT-2129"/>
    <x v="1"/>
    <s v="Türmob Geliştirmelerinde Connector Uygulamasının Proxy Servisine Entegre Edilmesi"/>
    <x v="4"/>
    <e v="#N/A"/>
    <x v="0"/>
    <s v="-"/>
    <s v="Ürün İş Listesi"/>
    <n v="1"/>
  </r>
  <r>
    <s v="Bug"/>
    <s v="EFT-2136"/>
    <x v="1"/>
    <s v="MLP İade Fatura İadeye Konu Fatura Düzeltmesi"/>
    <x v="4"/>
    <e v="#N/A"/>
    <x v="0"/>
    <s v="-"/>
    <s v="Ürün İş Listesi"/>
    <n v="1"/>
  </r>
  <r>
    <s v="Story"/>
    <s v="EFT-2137"/>
    <x v="1"/>
    <s v="Ücretlendirme Uyarısının Gösterimi "/>
    <x v="4"/>
    <e v="#N/A"/>
    <x v="0"/>
    <s v="-"/>
    <s v="Ürün İş Listesi"/>
    <n v="1"/>
  </r>
  <r>
    <s v="Bug"/>
    <s v="EFT-2138"/>
    <x v="1"/>
    <s v="Portalda İade ve Tevkifat İade Faturalarında İadeye Konu Olan Fatura Numarasının Seri Numarası Tarihi Hatası"/>
    <x v="4"/>
    <e v="#N/A"/>
    <x v="0"/>
    <s v="-"/>
    <s v="Ürün İş Listesi"/>
    <n v="1"/>
  </r>
  <r>
    <s v="Story"/>
    <s v="EFT-2140"/>
    <x v="1"/>
    <s v="Portal uygulumasına &quot;TEKNOLOJIDESTEK” fatura tipinin eklenmesi._x0009_"/>
    <x v="4"/>
    <e v="#N/A"/>
    <x v="0"/>
    <s v="-"/>
    <s v="Ürün İş Listesi"/>
    <n v="3"/>
  </r>
  <r>
    <s v="Story"/>
    <s v="EFT-2141"/>
    <x v="1"/>
    <s v="Konnektör uygulumasına &quot;TEKNOLOJIDESTEK” fatura tipinin eklenmesi."/>
    <x v="4"/>
    <e v="#N/A"/>
    <x v="0"/>
    <s v="-"/>
    <s v="Ürün İş Listesi"/>
    <n v="2"/>
  </r>
  <r>
    <s v="Story"/>
    <s v="EFT-2142"/>
    <x v="1"/>
    <s v="Webservis uygulumasına &quot;TEKNOLOJIDESTEK” fatura tipinin eklenmesi."/>
    <x v="4"/>
    <e v="#N/A"/>
    <x v="0"/>
    <s v="-"/>
    <s v="Ürün İş Listesi"/>
    <n v="3"/>
  </r>
  <r>
    <s v="Story"/>
    <s v="EFT-2143"/>
    <x v="1"/>
    <s v="Modellerin, servislerin ve SPlerin oluşması "/>
    <x v="4"/>
    <e v="#N/A"/>
    <x v="0"/>
    <s v="-"/>
    <s v="Ürün İş Listesi"/>
    <n v="3"/>
  </r>
  <r>
    <s v="Story"/>
    <s v="IEU-114"/>
    <x v="1"/>
    <s v="Pdf hash imza - client"/>
    <x v="5"/>
    <e v="#N/A"/>
    <x v="0"/>
    <s v="-"/>
    <s v="Ürün İş Listesi"/>
    <m/>
  </r>
  <r>
    <s v="Story"/>
    <s v="IEU-115"/>
    <x v="1"/>
    <s v="PDF Dosyasının Hash Değerini Alma"/>
    <x v="5"/>
    <e v="#N/A"/>
    <x v="0"/>
    <s v="-"/>
    <s v="Ürün İş Listesi"/>
    <n v="5"/>
  </r>
  <r>
    <s v="Story"/>
    <s v="IEU-122"/>
    <x v="1"/>
    <s v="Veritabanının farklı sunucuya taşınması (Hubtest)"/>
    <x v="5"/>
    <e v="#N/A"/>
    <x v="0"/>
    <s v="-"/>
    <s v="Ürün İş Listesi"/>
    <n v="3"/>
  </r>
  <r>
    <s v="Bug"/>
    <s v="IEU-127"/>
    <x v="0"/>
    <s v="XAdES çoklu imza doğrulama hatası"/>
    <x v="5"/>
    <e v="#N/A"/>
    <x v="0"/>
    <s v="-"/>
    <s v="Ürün İş Listesi"/>
    <m/>
  </r>
  <r>
    <s v="Bug"/>
    <s v="IEU-128"/>
    <x v="1"/>
    <s v="XAdES çoklu imzalama hatası hakkında"/>
    <x v="5"/>
    <e v="#N/A"/>
    <x v="0"/>
    <s v="-"/>
    <s v="Ürün İş Listesi"/>
    <m/>
  </r>
  <r>
    <s v="Story"/>
    <s v="IEU-13"/>
    <x v="1"/>
    <s v="Mobil İmza modülüne XAdES imzalama özelliği eklenmesi"/>
    <x v="5"/>
    <e v="#N/A"/>
    <x v="0"/>
    <s v="-"/>
    <s v="Ürün İş Listesi"/>
    <n v="5"/>
  </r>
  <r>
    <s v="Story"/>
    <s v="IEU-149"/>
    <x v="1"/>
    <s v="UETS servisinin Hubtest'e alınması"/>
    <x v="5"/>
    <e v="#N/A"/>
    <x v="0"/>
    <s v="-"/>
    <s v="Ürün İş Listesi"/>
    <m/>
  </r>
  <r>
    <s v="Story"/>
    <s v="IEU-151"/>
    <x v="1"/>
    <s v="Webmail ile Mobil İmza Entegrasyonu"/>
    <x v="5"/>
    <e v="#N/A"/>
    <x v="0"/>
    <s v="-"/>
    <s v="Ürün İş Listesi"/>
    <m/>
  </r>
  <r>
    <s v="Story"/>
    <s v="IEU-153"/>
    <x v="1"/>
    <s v="/api/v1/crg/search/account-info Metodunun Yeniden Yapılandırılması"/>
    <x v="5"/>
    <e v="#N/A"/>
    <x v="0"/>
    <s v="-"/>
    <s v="Ürün İş Listesi"/>
    <m/>
  </r>
  <r>
    <s v="Story"/>
    <s v="IEU-154"/>
    <x v="1"/>
    <s v="Son Ui Getiren Metotların Hubtest'e Alınması"/>
    <x v="5"/>
    <e v="#N/A"/>
    <x v="0"/>
    <s v="-"/>
    <s v="Ürün İş Listesi"/>
    <n v="3"/>
  </r>
  <r>
    <s v="Story"/>
    <s v="IEU-155"/>
    <x v="0"/>
    <s v="İmzalama servislerinde toplu imzalama imkanı"/>
    <x v="5"/>
    <e v="#N/A"/>
    <x v="0"/>
    <s v="-"/>
    <s v="Ürün İş Listesi"/>
    <m/>
  </r>
  <r>
    <s v="Story"/>
    <s v="IEU-158"/>
    <x v="1"/>
    <s v="KEP Rehber - Genel Adres Doğrulama Metodunun Eklenmesi"/>
    <x v="5"/>
    <e v="#N/A"/>
    <x v="0"/>
    <s v="-"/>
    <s v="Ürün İş Listesi"/>
    <n v="3"/>
  </r>
  <r>
    <s v="Story"/>
    <s v="IEU-159"/>
    <x v="1"/>
    <s v="Merkezi KEP Rehberi Metodunda Hatalı Dönüşün Açıklamasının Eklenmesi"/>
    <x v="5"/>
    <e v="#N/A"/>
    <x v="0"/>
    <s v="-"/>
    <s v="Ürün İş Listesi"/>
    <n v="3"/>
  </r>
  <r>
    <s v="Story"/>
    <s v="IEU-160"/>
    <x v="1"/>
    <s v="İmzaClient Güncellemesi"/>
    <x v="5"/>
    <e v="#N/A"/>
    <x v="0"/>
    <s v="-"/>
    <s v="Ürün İş Listesi"/>
    <n v="3"/>
  </r>
  <r>
    <s v="Bug"/>
    <s v="IEU-162"/>
    <x v="1"/>
    <s v="Mobil imza cades tipinde imzalanan belgenin imzalı datasını çağırma hk."/>
    <x v="5"/>
    <e v="#N/A"/>
    <x v="0"/>
    <s v="-"/>
    <s v="Ürün İş Listesi"/>
    <n v="3"/>
  </r>
  <r>
    <s v="Story"/>
    <s v="IEU-164"/>
    <x v="1"/>
    <s v="TCKN ve VKN ile Kep Adresi Sorgulama"/>
    <x v="5"/>
    <e v="#N/A"/>
    <x v="0"/>
    <s v="-"/>
    <s v="Ürün İş Listesi"/>
    <m/>
  </r>
  <r>
    <s v="Story"/>
    <s v="IEU-165"/>
    <x v="1"/>
    <s v="/api/v1/sign/multi metoduna api-access-token parametresi eklenmesi"/>
    <x v="5"/>
    <e v="#N/A"/>
    <x v="0"/>
    <s v="-"/>
    <s v="Ürün İş Listesi"/>
    <m/>
  </r>
  <r>
    <s v="Bug"/>
    <s v="IEU-166"/>
    <x v="1"/>
    <s v="list-by-folder-name metodu hk."/>
    <x v="5"/>
    <e v="#N/A"/>
    <x v="0"/>
    <s v="-"/>
    <s v="Ürün İş Listesi"/>
    <n v="3"/>
  </r>
  <r>
    <s v="Story"/>
    <s v="IEU-171"/>
    <x v="1"/>
    <s v="İmzalı Hash Değeri ile Orijinal PDF'yi Birleştirme Metodu Geliştirilmesi"/>
    <x v="5"/>
    <e v="#N/A"/>
    <x v="0"/>
    <s v="-"/>
    <s v="Ürün İş Listesi"/>
    <n v="5"/>
  </r>
  <r>
    <s v="Bug"/>
    <s v="IEU-172"/>
    <x v="1"/>
    <s v="Hubtest metotlardaki hatalar hk."/>
    <x v="5"/>
    <e v="#N/A"/>
    <x v="0"/>
    <s v="-"/>
    <s v="Ürün İş Listesi"/>
    <n v="3"/>
  </r>
  <r>
    <s v="Bug"/>
    <s v="IEU-174"/>
    <x v="1"/>
    <s v="İmza Client - E-Fatura"/>
    <x v="5"/>
    <e v="#N/A"/>
    <x v="0"/>
    <s v="-"/>
    <s v="Ürün İş Listesi"/>
    <n v="3"/>
  </r>
  <r>
    <s v="Bug"/>
    <s v="IEU-176"/>
    <x v="3"/>
    <s v="Pades Es-A İmzalarda Çift Zaman Damgası Basılması"/>
    <x v="5"/>
    <e v="#N/A"/>
    <x v="0"/>
    <s v="-"/>
    <s v="Ürün İş Listesi"/>
    <n v="3"/>
  </r>
  <r>
    <s v="Bug"/>
    <s v="IEU-177"/>
    <x v="1"/>
    <s v="Hubtest /api/v1/eyp/composer/v13/paket/imza/ekle metodu hk."/>
    <x v="5"/>
    <e v="#N/A"/>
    <x v="0"/>
    <s v="-"/>
    <s v="Ürün İş Listesi"/>
    <n v="2"/>
  </r>
  <r>
    <s v="Story"/>
    <s v="IEU-181"/>
    <x v="1"/>
    <s v="Metotlardan Dönen Hata Yanıtlarının Kontrol Edilmesi ve Listelenmesi"/>
    <x v="5"/>
    <e v="#N/A"/>
    <x v="0"/>
    <s v="-"/>
    <s v="Ürün İş Listesi"/>
    <n v="3"/>
  </r>
  <r>
    <s v="Story"/>
    <s v="IEU-182"/>
    <x v="1"/>
    <s v="Entegrasyon Suit Servis (Rest Api) Dokümanı Güncelleme"/>
    <x v="5"/>
    <e v="#N/A"/>
    <x v="0"/>
    <s v="-"/>
    <s v="Ürün İş Listesi"/>
    <n v="5"/>
  </r>
  <r>
    <s v="Bug"/>
    <s v="IEU-183"/>
    <x v="1"/>
    <s v="rems-by-folder-name metodu hk."/>
    <x v="5"/>
    <e v="#N/A"/>
    <x v="0"/>
    <s v="-"/>
    <s v="Ürün İş Listesi"/>
    <n v="3"/>
  </r>
  <r>
    <s v="Story"/>
    <s v="KA-1359"/>
    <x v="0"/>
    <s v="Mobil İmza Servis Entegrasyonu"/>
    <x v="6"/>
    <e v="#N/A"/>
    <x v="0"/>
    <s v="-"/>
    <s v="Ürün İş Listesi"/>
    <m/>
  </r>
  <r>
    <s v="Story"/>
    <s v="KA-1445"/>
    <x v="1"/>
    <s v="Organizasyon kullanıcılarının customerAdmin tarafından tanımlanması"/>
    <x v="6"/>
    <e v="#N/A"/>
    <x v="0"/>
    <s v="-"/>
    <s v="Ürün İş Listesi"/>
    <m/>
  </r>
  <r>
    <s v="Story"/>
    <s v="KA-1447"/>
    <x v="1"/>
    <s v="Otomatik yanıtlanan iletilerin eklerine ek dosya eklenmesi"/>
    <x v="6"/>
    <e v="#N/A"/>
    <x v="0"/>
    <s v="-"/>
    <s v="Ürün İş Listesi"/>
    <m/>
  </r>
  <r>
    <s v="Story"/>
    <s v="KA-1448"/>
    <x v="1"/>
    <s v="Kep iletisi oluşturan kişinin gönderimin sınırlandırılması"/>
    <x v="6"/>
    <e v="#N/A"/>
    <x v="0"/>
    <s v="-"/>
    <s v="Ürün İş Listesi"/>
    <m/>
  </r>
  <r>
    <s v="Story"/>
    <s v="KA-1452"/>
    <x v="1"/>
    <s v="Pasife alınan kullanıcı yerine kullanıcı eklenebilmesi"/>
    <x v="6"/>
    <e v="#N/A"/>
    <x v="0"/>
    <s v="-"/>
    <s v="Ürün İş Listesi"/>
    <m/>
  </r>
  <r>
    <s v="Story"/>
    <s v="KA-1453"/>
    <x v="1"/>
    <s v="Update sorgusu hazırlanması EYP_SECURITYCODE tablosu"/>
    <x v="6"/>
    <e v="#N/A"/>
    <x v="0"/>
    <s v="-"/>
    <s v="Ürün İş Listesi"/>
    <m/>
  </r>
  <r>
    <s v="Story"/>
    <s v="KA-1454"/>
    <x v="1"/>
    <s v="Kullanım Raporu (Faz-1)"/>
    <x v="6"/>
    <e v="#N/A"/>
    <x v="0"/>
    <s v="-"/>
    <s v="Ürün İş Listesi"/>
    <m/>
  </r>
  <r>
    <s v="Bug"/>
    <s v="KA-1455"/>
    <x v="1"/>
    <s v="Eyp Şablon Yetkili Sorunu Hk."/>
    <x v="6"/>
    <e v="#N/A"/>
    <x v="0"/>
    <s v="-"/>
    <s v="Ürün İş Listesi"/>
    <m/>
  </r>
  <r>
    <s v="Story"/>
    <s v="KA-1456"/>
    <x v="1"/>
    <s v="Kullanım Raporu (Faz-2)"/>
    <x v="6"/>
    <e v="#N/A"/>
    <x v="0"/>
    <s v="-"/>
    <s v="Ürün İş Listesi"/>
    <m/>
  </r>
  <r>
    <s v="Story"/>
    <s v="KA-1465x"/>
    <x v="1"/>
    <s v="CRM Entegrasyonu İçin Organizasyonları Listeleyen Servis Geliştirilmesi"/>
    <x v="6"/>
    <e v="#N/A"/>
    <x v="0"/>
    <s v="-"/>
    <s v="Ürün İş Listesi"/>
    <m/>
  </r>
  <r>
    <s v="Story"/>
    <s v="KA-1469"/>
    <x v="1"/>
    <s v="CRM Entegrasyonu İçin Kullanım Raporu Metodu Geliştirilmesi - Faz 1"/>
    <x v="6"/>
    <e v="#N/A"/>
    <x v="0"/>
    <s v="-"/>
    <s v="Ürün İş Listesi"/>
    <m/>
  </r>
  <r>
    <s v="Story"/>
    <s v="KA-1470"/>
    <x v="1"/>
    <s v="CRM Entegrasyonu İçin Kullanım Raporu Metodu Geliştirilmesi - Faz 2"/>
    <x v="6"/>
    <e v="#N/A"/>
    <x v="0"/>
    <s v="-"/>
    <s v="Ürün İş Listesi"/>
    <m/>
  </r>
  <r>
    <s v="Story"/>
    <s v="KA-1471"/>
    <x v="1"/>
    <s v="Gelen KEP İletileri Excel Raporunda EYP Belge Numaralarının Eklenmesi"/>
    <x v="6"/>
    <e v="#N/A"/>
    <x v="0"/>
    <s v="-"/>
    <s v="Ürün İş Listesi"/>
    <m/>
  </r>
  <r>
    <s v="Story"/>
    <s v="KA-1472"/>
    <x v="1"/>
    <s v="Güncelleme Paketi Hazırlanması"/>
    <x v="6"/>
    <e v="#N/A"/>
    <x v="0"/>
    <s v="-"/>
    <s v="Ürün İş Listesi"/>
    <n v="3"/>
  </r>
  <r>
    <s v="Story"/>
    <s v="KA-1476"/>
    <x v="1"/>
    <s v="UETS Gelen Kutusu İşlem Statüsü ve Süreçteki Adım Sütunları Hk."/>
    <x v="6"/>
    <e v="#N/A"/>
    <x v="0"/>
    <s v="-"/>
    <s v="Ürün İş Listesi"/>
    <n v="1"/>
  </r>
  <r>
    <s v="Bug"/>
    <s v="KA-1482"/>
    <x v="1"/>
    <s v="Etys Süreçlerinde Veritabanı Deadlock Hatası hk."/>
    <x v="6"/>
    <e v="#N/A"/>
    <x v="0"/>
    <s v="-"/>
    <s v="Ürün İş Listesi"/>
    <n v="5"/>
  </r>
  <r>
    <s v="Story"/>
    <s v="KA-1485"/>
    <x v="1"/>
    <s v="Hatalı delillerin tekrar tetiklenmesi için sorgu hazırlanması"/>
    <x v="6"/>
    <e v="#N/A"/>
    <x v="0"/>
    <s v="-"/>
    <s v="Ürün İş Listesi"/>
    <n v="1"/>
  </r>
  <r>
    <s v="Story"/>
    <s v="KA-1488"/>
    <x v="1"/>
    <s v="Hatalı Delillerin Tekrar Tetiklenmesi İçin Worker Çalışması"/>
    <x v="6"/>
    <e v="#N/A"/>
    <x v="0"/>
    <s v="-"/>
    <s v="Ürün İş Listesi"/>
    <n v="3"/>
  </r>
  <r>
    <s v="Story"/>
    <s v="KA-1491"/>
    <x v="1"/>
    <s v="Kep Assist - Crm Kullanım Raporu Servisi Kullanım Alanları Birim Değişikliği"/>
    <x v="6"/>
    <e v="#N/A"/>
    <x v="0"/>
    <s v="-"/>
    <s v="Ürün İş Listesi"/>
    <n v="1"/>
  </r>
  <r>
    <s v="Story"/>
    <s v="KEP-101"/>
    <x v="1"/>
    <s v="Dovecot DB geçişi"/>
    <x v="7"/>
    <e v="#N/A"/>
    <x v="0"/>
    <s v="-"/>
    <s v="Ürün İş Listesi"/>
    <m/>
  </r>
  <r>
    <s v="Story"/>
    <s v="KEP-113"/>
    <x v="1"/>
    <s v="Webmail E-Tebligat Kutusu Belge İndirme ve Okundu Sayılma"/>
    <x v="7"/>
    <e v="#N/A"/>
    <x v="0"/>
    <s v="-"/>
    <s v="Ürün İş Listesi"/>
    <n v="3"/>
  </r>
  <r>
    <s v="Story"/>
    <s v="KEP-132"/>
    <x v="1"/>
    <s v="Teslim Edilemedi Delili Mail Bildirimi"/>
    <x v="7"/>
    <e v="#N/A"/>
    <x v="0"/>
    <s v="-"/>
    <s v="Ürün İş Listesi"/>
    <n v="5"/>
  </r>
  <r>
    <s v="Story"/>
    <s v="KEP-251"/>
    <x v="1"/>
    <s v="Log kayıtlarının kolay erişilebilir yapıda tutulması"/>
    <x v="7"/>
    <e v="#N/A"/>
    <x v="0"/>
    <s v="-"/>
    <s v="Ürün İş Listesi"/>
    <m/>
  </r>
  <r>
    <s v="Story"/>
    <s v="KEP-258"/>
    <x v="1"/>
    <s v="Merkezi KEP Rehberi Servis Geliştirmesi"/>
    <x v="7"/>
    <e v="#N/A"/>
    <x v="0"/>
    <s v="-"/>
    <s v="Ürün İş Listesi"/>
    <m/>
  </r>
  <r>
    <s v="Story"/>
    <s v="KEP-259"/>
    <x v="1"/>
    <s v="CRM Servisi Geliştirmesi"/>
    <x v="7"/>
    <e v="#N/A"/>
    <x v="0"/>
    <s v="-"/>
    <s v="Ürün İş Listesi"/>
    <n v="13"/>
  </r>
  <r>
    <s v="Story"/>
    <s v="KEP-260"/>
    <x v="1"/>
    <s v="Lisans Güncellemesi Hk."/>
    <x v="7"/>
    <e v="#N/A"/>
    <x v="0"/>
    <s v="-"/>
    <s v="Ürün İş Listesi"/>
    <m/>
  </r>
  <r>
    <s v="Story"/>
    <s v="KEP-261"/>
    <x v="1"/>
    <s v="Webmail PDF Görüntüleme İşlemi "/>
    <x v="7"/>
    <e v="#N/A"/>
    <x v="0"/>
    <s v="-"/>
    <s v="Ürün İş Listesi"/>
    <n v="3"/>
  </r>
  <r>
    <s v="Bug"/>
    <s v="KEP-262"/>
    <x v="1"/>
    <s v="Webmail Giden Kutusu Listeleme "/>
    <x v="7"/>
    <e v="#N/A"/>
    <x v="0"/>
    <s v="-"/>
    <s v="Ürün İş Listesi"/>
    <n v="3"/>
  </r>
  <r>
    <s v="Story"/>
    <s v="KEP-263"/>
    <x v="1"/>
    <s v="Webmail CTRL Tuşu İle Birden Fazla İleti Seçme"/>
    <x v="7"/>
    <e v="#N/A"/>
    <x v="0"/>
    <s v="-"/>
    <s v="Ürün İş Listesi"/>
    <m/>
  </r>
  <r>
    <s v="Story"/>
    <s v="KEP-264"/>
    <x v="1"/>
    <s v="UETS Mail bildirim kayıtlarının Utility servis üzerinden sorgulanması"/>
    <x v="7"/>
    <e v="#N/A"/>
    <x v="0"/>
    <s v="-"/>
    <s v="Ürün İş Listesi"/>
    <m/>
  </r>
  <r>
    <s v="Story"/>
    <s v="KEP-265"/>
    <x v="1"/>
    <s v="UETS SMS bildirim kayıtlarının Utility servis üzerinden sorgulanması"/>
    <x v="7"/>
    <e v="#N/A"/>
    <x v="0"/>
    <s v="-"/>
    <s v="Ürün İş Listesi"/>
    <m/>
  </r>
  <r>
    <s v="Bug"/>
    <s v="KEP-266"/>
    <x v="1"/>
    <s v="Web mail dosya boyut sınırı"/>
    <x v="7"/>
    <e v="#N/A"/>
    <x v="0"/>
    <s v="-"/>
    <s v="Ürün İş Listesi"/>
    <m/>
  </r>
  <r>
    <s v="Story"/>
    <s v="KEP-267"/>
    <x v="1"/>
    <s v="Vodafone mobil imza seçeneğinin eklenmesi"/>
    <x v="7"/>
    <e v="#N/A"/>
    <x v="0"/>
    <s v="-"/>
    <s v="Ürün İş Listesi"/>
    <n v="5"/>
  </r>
  <r>
    <s v="Story"/>
    <s v="KEP-268"/>
    <x v="1"/>
    <s v="Mobil İmza Entegrasyonlarının Değiştirmesi Hk"/>
    <x v="7"/>
    <e v="#N/A"/>
    <x v="0"/>
    <s v="-"/>
    <s v="Ürün İş Listesi"/>
    <n v="8"/>
  </r>
  <r>
    <s v="Story"/>
    <s v="KEP-269"/>
    <x v="1"/>
    <s v="Yeni Açılan KEP Adreslerinin Yeni Altyapı Tarafında Açılması Hk (CRM Geliştirmesi)"/>
    <x v="7"/>
    <e v="#N/A"/>
    <x v="0"/>
    <s v="-"/>
    <s v="Ürün İş Listesi"/>
    <n v="3"/>
  </r>
  <r>
    <s v="Story"/>
    <s v="KEP-270"/>
    <x v="1"/>
    <s v="e-Saklama Modulü Tarih Filtresi Alanında Sorguya Ait Değerin Getirilmesi"/>
    <x v="7"/>
    <e v="#N/A"/>
    <x v="0"/>
    <s v="-"/>
    <s v="Ürün İş Listesi"/>
    <n v="2"/>
  </r>
  <r>
    <s v="Story"/>
    <s v="KEP-271"/>
    <x v="1"/>
    <s v="Delil Arşiv Sunucusu Taşınması "/>
    <x v="7"/>
    <e v="#N/A"/>
    <x v="0"/>
    <s v="-"/>
    <s v="Ürün İş Listesi"/>
    <n v="5"/>
  </r>
  <r>
    <s v="Story"/>
    <s v="KEP-272"/>
    <x v="1"/>
    <s v="İşlem Yetkilisi Bilgi Güncelle Ekranında Yapılan Yetki Kısıtlamaları Çalışmıyor"/>
    <x v="7"/>
    <e v="#N/A"/>
    <x v="0"/>
    <s v="-"/>
    <s v="Ürün İş Listesi"/>
    <n v="5"/>
  </r>
  <r>
    <s v="Story"/>
    <s v="KEP-273"/>
    <x v="1"/>
    <s v="BTK Sorgulamalarında Bir Yerine Birden Fazla Kuyruk Oluşturma"/>
    <x v="7"/>
    <e v="#N/A"/>
    <x v="0"/>
    <s v="-"/>
    <s v="Ürün İş Listesi"/>
    <m/>
  </r>
  <r>
    <s v="Story"/>
    <s v="KEP-274"/>
    <x v="1"/>
    <s v="BTK Rehber Servisine Rehber Bildirimlerinin Aylık Yerine Anlık Yapılması"/>
    <x v="7"/>
    <e v="#N/A"/>
    <x v="0"/>
    <s v="-"/>
    <s v="Ürün İş Listesi"/>
    <n v="13"/>
  </r>
  <r>
    <s v="Story"/>
    <s v="KEP-275"/>
    <x v="1"/>
    <s v="Eliptik Eğri Güncel Sürümün Test Edilmesi"/>
    <x v="7"/>
    <e v="#N/A"/>
    <x v="0"/>
    <s v="-"/>
    <s v="Ürün İş Listesi"/>
    <n v="5"/>
  </r>
  <r>
    <s v="Story"/>
    <s v="KEP-277"/>
    <x v="1"/>
    <s v="KEP Webmail Yetkilerinin Düzenlenmesi"/>
    <x v="7"/>
    <e v="#N/A"/>
    <x v="0"/>
    <s v="-"/>
    <s v="Ürün İş Listesi"/>
    <m/>
  </r>
  <r>
    <s v="Story"/>
    <s v="KEP-278"/>
    <x v="1"/>
    <s v="Adalet Bakanlığı'na Gönderilen KEP'lerde Detsis Numarası Eksik Olanlar için Verilen Uyarı Mesajında Detsis Güncellemesi"/>
    <x v="7"/>
    <e v="#N/A"/>
    <x v="0"/>
    <s v="-"/>
    <s v="Ürün İş Listesi"/>
    <n v="1"/>
  </r>
  <r>
    <s v="Story"/>
    <s v="KW-1"/>
    <x v="1"/>
    <s v="SSL/TLS SERTİFİKA DEĞİŞİKLİĞİ"/>
    <x v="8"/>
    <e v="#N/A"/>
    <x v="0"/>
    <s v="-"/>
    <s v="Ürün İş Listesi"/>
    <n v="1"/>
  </r>
  <r>
    <s v="Story"/>
    <s v="KW-2"/>
    <x v="1"/>
    <s v="Utility - Delil İndirme Servisi Hk."/>
    <x v="8"/>
    <e v="#N/A"/>
    <x v="0"/>
    <s v="-"/>
    <s v="Ürün İş Listesi"/>
    <n v="3"/>
  </r>
  <r>
    <s v="Story"/>
    <s v="KW-3"/>
    <x v="3"/>
    <s v="Akbank KEP hesap mutabakatlarının gerçekleştirilmesi"/>
    <x v="8"/>
    <e v="#N/A"/>
    <x v="0"/>
    <s v="-"/>
    <s v="Ürün İş Listesi"/>
    <n v="3"/>
  </r>
  <r>
    <s v="Story"/>
    <s v="KW-4"/>
    <x v="1"/>
    <s v="evidence ve original controller altındaki metotlarda güncelleme talebi"/>
    <x v="8"/>
    <e v="#N/A"/>
    <x v="0"/>
    <s v="-"/>
    <s v="Ürün İş Listesi"/>
    <n v="3"/>
  </r>
  <r>
    <s v="Story"/>
    <s v="MU-44"/>
    <x v="1"/>
    <s v="Bildirim servisi geliştirmesi"/>
    <x v="9"/>
    <e v="#N/A"/>
    <x v="0"/>
    <s v="-"/>
    <s v="Ürün İş Listesi"/>
    <m/>
  </r>
  <r>
    <s v="Story"/>
    <s v="MU-50"/>
    <x v="1"/>
    <s v="UKDS yeni KİDOS entegrasyon tipinin başvuru ekranlarının düzenlenmesi"/>
    <x v="9"/>
    <e v="#N/A"/>
    <x v="0"/>
    <s v="-"/>
    <s v="Ürün İş Listesi"/>
    <m/>
  </r>
  <r>
    <s v="Story"/>
    <s v="MU-51"/>
    <x v="1"/>
    <s v="Bildirim servisi entegrasyonu"/>
    <x v="9"/>
    <e v="#N/A"/>
    <x v="0"/>
    <s v="-"/>
    <s v="Ürün İş Listesi"/>
    <m/>
  </r>
  <r>
    <s v="Story"/>
    <s v="MU-52"/>
    <x v="1"/>
    <s v="Bildirim onay ekranı geliştirilmesi"/>
    <x v="9"/>
    <e v="#N/A"/>
    <x v="0"/>
    <s v="-"/>
    <s v="Ürün İş Listesi"/>
    <m/>
  </r>
  <r>
    <s v="Story"/>
    <s v="MU-53"/>
    <x v="1"/>
    <s v="Geçmiş bildirimler sayfası geliştirilmesi"/>
    <x v="9"/>
    <e v="#N/A"/>
    <x v="0"/>
    <s v="-"/>
    <s v="Ürün İş Listesi"/>
    <m/>
  </r>
  <r>
    <s v="Story"/>
    <s v="MU-54"/>
    <x v="1"/>
    <s v="Pazarama senaryosu için ekran düzenlemeleri"/>
    <x v="9"/>
    <e v="#N/A"/>
    <x v="0"/>
    <s v="-"/>
    <s v="Ürün İş Listesi"/>
    <m/>
  </r>
  <r>
    <s v="Story"/>
    <s v="MU-55"/>
    <x v="1"/>
    <s v="UKDS ekranlarında parametre kontrolü eklenmesi"/>
    <x v="9"/>
    <e v="#N/A"/>
    <x v="0"/>
    <s v="-"/>
    <s v="Ürün İş Listesi"/>
    <m/>
  </r>
  <r>
    <s v="Story"/>
    <s v="MU-56"/>
    <x v="0"/>
    <s v="Senaryo değişikliklerinde son kullanıcı yönlendirmesi"/>
    <x v="9"/>
    <e v="#N/A"/>
    <x v="0"/>
    <s v="-"/>
    <s v="Ürün İş Listesi"/>
    <m/>
  </r>
  <r>
    <s v="Story"/>
    <s v="MU-57"/>
    <x v="1"/>
    <s v="Uygulama Başlangıç Ekranı ve Ayarlar Ekranında Dil Seçeneği Eklenmesi (Türkçe/İngilizce)"/>
    <x v="9"/>
    <e v="#N/A"/>
    <x v="0"/>
    <s v="-"/>
    <s v="Ürün İş Listesi"/>
    <n v="8"/>
  </r>
  <r>
    <s v="Story"/>
    <s v="MU-58"/>
    <x v="1"/>
    <s v="Uygulama Bildirim Ekranında Gönderim Tarihini Gösterme"/>
    <x v="9"/>
    <e v="#N/A"/>
    <x v="0"/>
    <s v="-"/>
    <s v="Ürün İş Listesi"/>
    <m/>
  </r>
  <r>
    <s v="Story"/>
    <s v="MU-59"/>
    <x v="4"/>
    <s v="Bildirimi kapalı olan kullanıcılara gönderilen mesajların failed-messages tablosunda tutulması"/>
    <x v="9"/>
    <e v="#N/A"/>
    <x v="0"/>
    <s v="-"/>
    <s v="Ürün İş Listesi"/>
    <n v="8"/>
  </r>
  <r>
    <s v="Story"/>
    <s v="MU-60"/>
    <x v="1"/>
    <s v="Mobil bildirim açma/kapama hk."/>
    <x v="9"/>
    <e v="#N/A"/>
    <x v="0"/>
    <s v="-"/>
    <s v="Ürün İş Listesi"/>
    <m/>
  </r>
  <r>
    <s v="Bug"/>
    <s v="MU-61"/>
    <x v="1"/>
    <s v="Siyah Ekran Hatası Hk."/>
    <x v="9"/>
    <e v="#N/A"/>
    <x v="0"/>
    <s v="-"/>
    <s v="Ürün İş Listesi"/>
    <n v="3"/>
  </r>
  <r>
    <s v="Bug"/>
    <s v="MUL-146"/>
    <x v="1"/>
    <s v="Grup oluşturmada arama düzenlemesi"/>
    <x v="10"/>
    <e v="#N/A"/>
    <x v="0"/>
    <s v="-"/>
    <s v="Ürün İş Listesi"/>
    <m/>
  </r>
  <r>
    <s v="Story"/>
    <s v="MUL-176"/>
    <x v="1"/>
    <s v="MKR modülüne firma bazlı kota geliştirmesi"/>
    <x v="10"/>
    <e v="#N/A"/>
    <x v="0"/>
    <s v="-"/>
    <s v="Ürün İş Listesi"/>
    <m/>
  </r>
  <r>
    <s v="Story"/>
    <s v="MUL-184"/>
    <x v="1"/>
    <s v="Yeni KEP iletisi oluştur ekranı alıcı arama geliştirmesi"/>
    <x v="10"/>
    <e v="#N/A"/>
    <x v="0"/>
    <s v="-"/>
    <s v="Ürün İş Listesi"/>
    <m/>
  </r>
  <r>
    <s v="Story"/>
    <s v="MUL-197"/>
    <x v="1"/>
    <s v="Windows Delil Servis geliştirmesi"/>
    <x v="10"/>
    <e v="#N/A"/>
    <x v="0"/>
    <s v="-"/>
    <s v="Ürün İş Listesi"/>
    <m/>
  </r>
  <r>
    <s v="Story"/>
    <s v="MUL-198"/>
    <x v="1"/>
    <s v="MKR Kullanım Kısıtlama Hk."/>
    <x v="10"/>
    <e v="#N/A"/>
    <x v="0"/>
    <s v="-"/>
    <s v="Ürün İş Listesi"/>
    <n v="5"/>
  </r>
  <r>
    <s v="Story"/>
    <s v="MUL-199"/>
    <x v="1"/>
    <s v="Müşteri Sözleşme Tanımı Hk"/>
    <x v="10"/>
    <e v="#N/A"/>
    <x v="0"/>
    <s v="-"/>
    <s v="Ürün İş Listesi"/>
    <n v="8"/>
  </r>
  <r>
    <s v="Story"/>
    <s v="MUL-200"/>
    <x v="1"/>
    <s v="Yüksek Boyutlu PDF Parçalama İşlemi Hk"/>
    <x v="10"/>
    <e v="#N/A"/>
    <x v="0"/>
    <s v="-"/>
    <s v="Ürün İş Listesi"/>
    <n v="8"/>
  </r>
  <r>
    <s v="Story"/>
    <s v="MUL-201"/>
    <x v="1"/>
    <s v="Merkezi KEP Sorgulama Kayıtlarının Silinmesi"/>
    <x v="10"/>
    <e v="#N/A"/>
    <x v="0"/>
    <s v="-"/>
    <s v="Ürün İş Listesi"/>
    <n v="5"/>
  </r>
  <r>
    <s v="Story"/>
    <s v="MUL-202"/>
    <x v="1"/>
    <s v="Yeni KEP İletisi Oluştur Ekranı Gönder Düğmesi Simgesinin Değiştirilmesi "/>
    <x v="10"/>
    <e v="#N/A"/>
    <x v="0"/>
    <s v="-"/>
    <s v="Ürün İş Listesi"/>
    <n v="1"/>
  </r>
  <r>
    <s v="Story"/>
    <s v="MUL-203"/>
    <x v="1"/>
    <s v="Excel ile KEP Gönderim Ekranında Ek Dosya Eklendikten Sonra Dosyanın Silinebilmesi "/>
    <x v="10"/>
    <e v="#N/A"/>
    <x v="0"/>
    <s v="-"/>
    <s v="Ürün İş Listesi"/>
    <n v="3"/>
  </r>
  <r>
    <s v="Story"/>
    <s v="MUL-204"/>
    <x v="1"/>
    <s v="Refactor Çalışması Hk"/>
    <x v="10"/>
    <e v="#N/A"/>
    <x v="0"/>
    <s v="-"/>
    <s v="Ürün İş Listesi"/>
    <n v="5"/>
  </r>
  <r>
    <s v="Story"/>
    <s v="MUL-205"/>
    <x v="1"/>
    <s v="Taslaklar üzerinde Simge (icon) Değişikliği"/>
    <x v="10"/>
    <e v="#N/A"/>
    <x v="0"/>
    <s v="-"/>
    <s v="Ürün İş Listesi"/>
    <n v="2"/>
  </r>
  <r>
    <s v="Story"/>
    <s v="MUL-206"/>
    <x v="1"/>
    <s v="Jar Güncellemesi Hk."/>
    <x v="10"/>
    <e v="#N/A"/>
    <x v="0"/>
    <s v="-"/>
    <s v="Ürün İş Listesi"/>
    <n v="2"/>
  </r>
  <r>
    <s v="Story"/>
    <s v="MUL-207"/>
    <x v="1"/>
    <s v="MultiKEP Dashboard Çalışması"/>
    <x v="11"/>
    <e v="#N/A"/>
    <x v="0"/>
    <s v="-"/>
    <s v="Ürün İş Listesi"/>
    <n v="8"/>
  </r>
  <r>
    <s v="Story"/>
    <s v="MUL-208"/>
    <x v="1"/>
    <s v="MKR modülünde Süreç İyileştirme"/>
    <x v="11"/>
    <e v="#N/A"/>
    <x v="0"/>
    <s v="-"/>
    <s v="Ürün İş Listesi"/>
    <m/>
  </r>
  <r>
    <s v="Story"/>
    <s v="MUL-209"/>
    <x v="1"/>
    <s v="Alıcıları Listeleyen Süreçte Performans Geliştirmesi"/>
    <x v="11"/>
    <e v="#N/A"/>
    <x v="0"/>
    <s v="-"/>
    <s v="Ürün İş Listesi"/>
    <m/>
  </r>
  <r>
    <s v="Bug"/>
    <s v="MYS-401"/>
    <x v="1"/>
    <s v="Güncel Olmayan JavaScript Kütüphanesi Kullanımı"/>
    <x v="12"/>
    <e v="#N/A"/>
    <x v="0"/>
    <s v="-"/>
    <s v="Ürün İş Listesi"/>
    <m/>
  </r>
  <r>
    <s v="Story"/>
    <s v="MYS-739"/>
    <x v="1"/>
    <s v="Sep Gelen Kutusuna Süreç No Bilgisinin Getirilmesi"/>
    <x v="12"/>
    <e v="#N/A"/>
    <x v="0"/>
    <s v="-"/>
    <s v="Ürün İş Listesi"/>
    <n v="1"/>
  </r>
  <r>
    <s v="Story"/>
    <s v="MYS-740"/>
    <x v="1"/>
    <s v="Sep Giden Kutusuna Süreç No Bilgisinin Getirilmesi"/>
    <x v="12"/>
    <e v="#N/A"/>
    <x v="0"/>
    <s v="-"/>
    <s v="Ürün İş Listesi"/>
    <n v="1"/>
  </r>
  <r>
    <s v="Bug"/>
    <s v="MYS-741"/>
    <x v="1"/>
    <s v="Hatalı Süreçler Ekranı Kayıt Listeleme Sorunu"/>
    <x v="12"/>
    <e v="#N/A"/>
    <x v="0"/>
    <s v="-"/>
    <s v="Ürün İş Listesi"/>
    <n v="1"/>
  </r>
  <r>
    <s v="Story"/>
    <s v="MYS-744"/>
    <x v="1"/>
    <s v="İşlem yetkilisi ayarları sayfası"/>
    <x v="12"/>
    <e v="#N/A"/>
    <x v="0"/>
    <s v="-"/>
    <s v="Ürün İş Listesi"/>
    <n v="3"/>
  </r>
  <r>
    <s v="Story"/>
    <s v="MYS-745"/>
    <x v="1"/>
    <s v="UETS Gelen Kutusuna Süreçteki Adım kolonu eklenmesi"/>
    <x v="12"/>
    <e v="#N/A"/>
    <x v="0"/>
    <s v="-"/>
    <s v="Ürün İş Listesi"/>
    <n v="1"/>
  </r>
  <r>
    <s v="Story"/>
    <s v="MYS-746"/>
    <x v="1"/>
    <s v="Profil Ekranına Cep Numarası Girilmesi"/>
    <x v="12"/>
    <e v="#N/A"/>
    <x v="0"/>
    <s v="-"/>
    <s v="Ürün İş Listesi"/>
    <n v="1"/>
  </r>
  <r>
    <s v="Story"/>
    <s v="MYS-747"/>
    <x v="1"/>
    <s v="Profil Ekranına Kimlik Numarası Girilmesi"/>
    <x v="12"/>
    <e v="#N/A"/>
    <x v="0"/>
    <s v="-"/>
    <s v="Ürün İş Listesi"/>
    <n v="1"/>
  </r>
  <r>
    <s v="Story"/>
    <s v="MYS-748"/>
    <x v="1"/>
    <s v="Profil Ekranına E-Posta Girilmesi"/>
    <x v="12"/>
    <e v="#N/A"/>
    <x v="0"/>
    <s v="-"/>
    <s v="Ürün İş Listesi"/>
    <n v="1"/>
  </r>
  <r>
    <s v="Bug"/>
    <s v="MYS-749"/>
    <x v="1"/>
    <s v="Şifre Güncellenmesi Hk."/>
    <x v="12"/>
    <e v="#N/A"/>
    <x v="0"/>
    <s v="-"/>
    <s v="Ürün İş Listesi"/>
    <n v="1"/>
  </r>
  <r>
    <s v="Bug"/>
    <s v="MYS-752"/>
    <x v="1"/>
    <s v="Basılı İleti Güncelleme Sorunu Hk."/>
    <x v="12"/>
    <e v="#N/A"/>
    <x v="0"/>
    <s v="-"/>
    <s v="Ürün İş Listesi"/>
    <n v="1"/>
  </r>
  <r>
    <s v="Story"/>
    <s v="MYS-753"/>
    <x v="1"/>
    <s v="Sep İletilerinin Statüsünün Güncellenmesi İçin Worker Çalışması Hk."/>
    <x v="12"/>
    <e v="#N/A"/>
    <x v="0"/>
    <s v="-"/>
    <s v="Ürün İş Listesi"/>
    <n v="3"/>
  </r>
  <r>
    <s v="Bug"/>
    <s v="MYS-756"/>
    <x v="1"/>
    <s v="Sütunlardaki Filtreleme Sorunu"/>
    <x v="12"/>
    <e v="#N/A"/>
    <x v="0"/>
    <s v="-"/>
    <s v="Ürün İş Listesi"/>
    <n v="1"/>
  </r>
  <r>
    <s v="Bug"/>
    <s v="MYS-757"/>
    <x v="1"/>
    <s v="SEP İleti -&gt; Taslaklar ekranındaki sütunların kaldırılması"/>
    <x v="12"/>
    <e v="#N/A"/>
    <x v="0"/>
    <s v="-"/>
    <s v="Ürün İş Listesi"/>
    <n v="1"/>
  </r>
  <r>
    <s v="Story"/>
    <s v="MYS-759"/>
    <x v="1"/>
    <s v="Hatalı Delillerin Tekrar Tetiklenmesi İçin Worker Çalışması"/>
    <x v="12"/>
    <e v="#N/A"/>
    <x v="0"/>
    <s v="-"/>
    <s v="Ürün İş Listesi"/>
    <n v="3"/>
  </r>
  <r>
    <s v="Story"/>
    <s v="MYS-761"/>
    <x v="1"/>
    <s v="Güncelleme Paketi Hazırlanması - 03122024-08042025"/>
    <x v="12"/>
    <e v="#N/A"/>
    <x v="0"/>
    <s v="-"/>
    <s v="Ürün İş Listesi"/>
    <n v="2"/>
  </r>
  <r>
    <s v="Bug"/>
    <s v="TIM-189"/>
    <x v="2"/>
    <s v="Güncel Olmayan JavaScript Kütüphanesi Kullanımı"/>
    <x v="13"/>
    <e v="#N/A"/>
    <x v="0"/>
    <s v="-"/>
    <s v="Ürün İş Listesi"/>
    <m/>
  </r>
  <r>
    <s v="Story"/>
    <s v="TIM-304"/>
    <x v="1"/>
    <s v="Servis dönen hataların ön yüzde kullanıcı dostu şekilde gösterilmesi"/>
    <x v="13"/>
    <e v="#N/A"/>
    <x v="0"/>
    <s v="-"/>
    <s v="Ürün İş Listesi"/>
    <m/>
  </r>
  <r>
    <s v="Story"/>
    <s v="TIM-308"/>
    <x v="1"/>
    <s v="Varsayılan imzalama formatı geliştirmesi"/>
    <x v="13"/>
    <e v="#N/A"/>
    <x v="0"/>
    <s v="-"/>
    <s v="Ürün İş Listesi"/>
    <m/>
  </r>
  <r>
    <s v="Story"/>
    <s v="TIM-373"/>
    <x v="1"/>
    <s v="Toplu işlemlerde çoklu onay verilmesi"/>
    <x v="13"/>
    <e v="#N/A"/>
    <x v="0"/>
    <s v="-"/>
    <s v="Ürün İş Listesi"/>
    <n v="5"/>
  </r>
  <r>
    <s v="Story"/>
    <s v="TIM-381"/>
    <x v="1"/>
    <s v="Mobil İmzada Tarihçe düzenlemesi"/>
    <x v="13"/>
    <e v="#N/A"/>
    <x v="0"/>
    <s v="-"/>
    <s v="Ürün İş Listesi"/>
    <m/>
  </r>
  <r>
    <s v="Story"/>
    <s v="TIM-411"/>
    <x v="1"/>
    <s v="İmza Logo Seçiminde Belge Sayfalarının Yatay ya da Hem Yatay Hem Dikey Yönlendirilmesi Seçeneklerinin de Sağlanması"/>
    <x v="13"/>
    <e v="#N/A"/>
    <x v="0"/>
    <s v="-"/>
    <s v="Ürün İş Listesi"/>
    <n v="8"/>
  </r>
  <r>
    <s v="Story"/>
    <s v="TIM-416"/>
    <x v="2"/>
    <s v="Dış imzacı mail bildiriminin SMS olarak da iletilmesi"/>
    <x v="13"/>
    <e v="#N/A"/>
    <x v="0"/>
    <s v="-"/>
    <s v="Ürün İş Listesi"/>
    <m/>
  </r>
  <r>
    <s v="Story"/>
    <s v="TIM-417"/>
    <x v="0"/>
    <s v="Paket ve Admin Yönetimi"/>
    <x v="13"/>
    <e v="#N/A"/>
    <x v="0"/>
    <s v="-"/>
    <s v="Ürün İş Listesi"/>
    <m/>
  </r>
  <r>
    <s v="Story"/>
    <s v="TIM-420"/>
    <x v="1"/>
    <s v="Yeni arayüz talebi"/>
    <x v="13"/>
    <e v="#N/A"/>
    <x v="0"/>
    <s v="-"/>
    <s v="Ürün İş Listesi"/>
    <m/>
  </r>
  <r>
    <s v="Story"/>
    <s v="TIM-422"/>
    <x v="1"/>
    <s v="Admin panelden firmaların farklı bir kullanıcısına admin yetkisi verilmesi geliştirmesi"/>
    <x v="13"/>
    <e v="#N/A"/>
    <x v="0"/>
    <s v="-"/>
    <s v="Ürün İş Listesi"/>
    <m/>
  </r>
  <r>
    <s v="Story"/>
    <s v="TIM-423"/>
    <x v="1"/>
    <s v="İmza client iyileştirmeleri"/>
    <x v="13"/>
    <e v="#N/A"/>
    <x v="0"/>
    <s v="-"/>
    <s v="Ürün İş Listesi"/>
    <m/>
  </r>
  <r>
    <s v="Bug"/>
    <s v="TIM-428"/>
    <x v="1"/>
    <s v="Dış imzacı ret maili düzenleme"/>
    <x v="13"/>
    <e v="#N/A"/>
    <x v="0"/>
    <s v="-"/>
    <s v="Ürün İş Listesi"/>
    <m/>
  </r>
  <r>
    <s v="Bug"/>
    <s v="TIM-429"/>
    <x v="1"/>
    <s v="Belge Silme Adımı Yazım Hatası"/>
    <x v="13"/>
    <e v="#N/A"/>
    <x v="0"/>
    <s v="-"/>
    <s v="Ürün İş Listesi"/>
    <m/>
  </r>
  <r>
    <s v="Story"/>
    <s v="TIM-431"/>
    <x v="0"/>
    <s v="Türkkep İmza Dış İmzacı Karekod/Doğrulama Kodu Eklenmesi "/>
    <x v="13"/>
    <e v="#N/A"/>
    <x v="0"/>
    <s v="-"/>
    <s v="Ürün İş Listesi"/>
    <m/>
  </r>
  <r>
    <s v="Story"/>
    <s v="TIM-432"/>
    <x v="2"/>
    <s v="İmzalamada vekil atama özelliği"/>
    <x v="13"/>
    <e v="#N/A"/>
    <x v="0"/>
    <s v="-"/>
    <s v="Ürün İş Listesi"/>
    <m/>
  </r>
  <r>
    <s v="Story"/>
    <s v="TIM-433"/>
    <x v="1"/>
    <s v="Sftp ile gönderilen evrakların statü takibi"/>
    <x v="13"/>
    <e v="#N/A"/>
    <x v="0"/>
    <s v="-"/>
    <s v="Ürün İş Listesi"/>
    <m/>
  </r>
  <r>
    <s v="Story"/>
    <s v="TIM-434"/>
    <x v="2"/>
    <s v="Aynı Hedef Sunucuya Tek Seferde Seçimle Toplu SFTP Gönderimi"/>
    <x v="13"/>
    <e v="#N/A"/>
    <x v="0"/>
    <s v="-"/>
    <s v="Ürün İş Listesi"/>
    <m/>
  </r>
  <r>
    <s v="Story"/>
    <s v="TIM-435"/>
    <x v="2"/>
    <s v="İşlem Bekleyen Belgeler Ekranındaki İmza İstekleri İçin Hatırlatma Yapılması "/>
    <x v="13"/>
    <e v="#N/A"/>
    <x v="0"/>
    <s v="-"/>
    <s v="Ürün İş Listesi"/>
    <m/>
  </r>
  <r>
    <s v="Story"/>
    <s v="TIM-436"/>
    <x v="2"/>
    <s v="Paralel imzalamada sıra gözetmeksizin imzalama özelliği"/>
    <x v="13"/>
    <e v="#N/A"/>
    <x v="0"/>
    <s v="-"/>
    <s v="Ürün İş Listesi"/>
    <m/>
  </r>
  <r>
    <s v="Bug"/>
    <s v="TIM-437"/>
    <x v="2"/>
    <s v="İmzalanmış belgede birden fazla sayfa varsa ilk sayfa dışındakilere karekod/logo gelmesi"/>
    <x v="13"/>
    <e v="#N/A"/>
    <x v="0"/>
    <s v="-"/>
    <s v="Ürün İş Listesi"/>
    <m/>
  </r>
  <r>
    <s v="Story"/>
    <s v="TIM-439"/>
    <x v="1"/>
    <s v="DB Tablolarının Oluşturulması."/>
    <x v="13"/>
    <e v="#N/A"/>
    <x v="0"/>
    <s v="-"/>
    <s v="Ürün İş Listesi"/>
    <n v="5"/>
  </r>
  <r>
    <s v="Story"/>
    <s v="TIM-440"/>
    <x v="1"/>
    <s v="Dış İmzacı Seçiminde Dosya Ataması"/>
    <x v="13"/>
    <e v="#N/A"/>
    <x v="0"/>
    <s v="-"/>
    <s v="Ürün İş Listesi"/>
    <n v="8"/>
  </r>
  <r>
    <s v="Story"/>
    <s v="TIM-441"/>
    <x v="1"/>
    <s v="Dış İmzacı Yeni Servislerinin Oluşturulması"/>
    <x v="13"/>
    <e v="#N/A"/>
    <x v="0"/>
    <s v="-"/>
    <s v="Ürün İş Listesi"/>
    <n v="8"/>
  </r>
  <r>
    <s v="Story"/>
    <s v="TIM-442"/>
    <x v="1"/>
    <s v="Dış Doğrulama İçin Yeni Süreç ID'lerinin Kullanılması"/>
    <x v="13"/>
    <e v="#N/A"/>
    <x v="0"/>
    <s v="-"/>
    <s v="Ürün İş Listesi"/>
    <n v="8"/>
  </r>
  <r>
    <s v="Story"/>
    <s v="TIM-443"/>
    <x v="1"/>
    <s v="&quot;Gönderilmeyi Bekleyen Belgeler” Ekranında Gönderilmiş Olan Belgelerin Filtre İle Gizlenebilmesi"/>
    <x v="13"/>
    <e v="#N/A"/>
    <x v="0"/>
    <s v="-"/>
    <s v="Ürün İş Listesi"/>
    <n v="3"/>
  </r>
  <r>
    <s v="Story"/>
    <s v="UEP-12"/>
    <x v="0"/>
    <s v="VKN’ye ait birden fazla başvuru kontrolü"/>
    <x v="14"/>
    <e v="#N/A"/>
    <x v="0"/>
    <s v="-"/>
    <s v="Ürün İş Listesi"/>
    <m/>
  </r>
  <r>
    <s v="Story"/>
    <s v="UEP-6"/>
    <x v="1"/>
    <s v="CRM&amp;UETS Entegrasyonu"/>
    <x v="14"/>
    <e v="#N/A"/>
    <x v="0"/>
    <s v="-"/>
    <s v="Ürün İş Listesi"/>
    <n v="13"/>
  </r>
  <r>
    <s v="Story"/>
    <s v="UKDS-109"/>
    <x v="1"/>
    <s v="Islak imza senaryosu için yeni statü ve düzenlemeler"/>
    <x v="15"/>
    <e v="#N/A"/>
    <x v="0"/>
    <s v="-"/>
    <s v="Ürün İş Listesi"/>
    <n v="8"/>
  </r>
  <r>
    <s v="Story"/>
    <s v="UKDS-112"/>
    <x v="1"/>
    <s v="SMS metin içeriğine video linki ve e-devlet login seçeneklerinin eklenmesi"/>
    <x v="15"/>
    <e v="#N/A"/>
    <x v="0"/>
    <s v="-"/>
    <s v="Ürün İş Listesi"/>
    <m/>
  </r>
  <r>
    <s v="Story"/>
    <s v="UKDS-127"/>
    <x v="1"/>
    <s v="Merkezi KEP Rehberi entegrasyonu"/>
    <x v="15"/>
    <e v="#N/A"/>
    <x v="0"/>
    <s v="-"/>
    <s v="Ürün İş Listesi"/>
    <m/>
  </r>
  <r>
    <s v="Story"/>
    <s v="UKDS-131"/>
    <x v="1"/>
    <s v="KİDOS ve KİDOS Entegrasyon sözleşme bitiş tarihlerinin aktarım metoduna eklenmesi"/>
    <x v="15"/>
    <e v="#N/A"/>
    <x v="0"/>
    <s v="-"/>
    <s v="Ürün İş Listesi"/>
    <n v="5"/>
  </r>
  <r>
    <s v="Story"/>
    <s v="UKDS-138"/>
    <x v="1"/>
    <s v="WEBİKENTEGRASYON KİDOS ürününe aktif/pasif liste geliştirmesi"/>
    <x v="15"/>
    <e v="#N/A"/>
    <x v="0"/>
    <s v="-"/>
    <s v="Ürün İş Listesi"/>
    <m/>
  </r>
  <r>
    <s v="Story"/>
    <s v="UKDS-139"/>
    <x v="0"/>
    <s v="KİDOS'ta UKDS ile e-İmza Başvuru Seçeneğinin Geliştirmesi"/>
    <x v="15"/>
    <e v="#N/A"/>
    <x v="0"/>
    <s v="-"/>
    <s v="Ürün İş Listesi"/>
    <m/>
  </r>
  <r>
    <s v="Story"/>
    <s v="UKDS-140"/>
    <x v="1"/>
    <s v="WEBİKENTEGRASYON KİDOS ürününe &quot;Kep Kapatma&quot; geliştirmesi"/>
    <x v="15"/>
    <e v="#N/A"/>
    <x v="0"/>
    <s v="-"/>
    <s v="Ürün İş Listesi"/>
    <m/>
  </r>
  <r>
    <s v="Story"/>
    <s v="UKDS-143"/>
    <x v="1"/>
    <s v="Basvuruonay sayfasında loginden önce Pazarlamadan alınacak bilgilendirme görselinin eklenmesi"/>
    <x v="15"/>
    <e v="#N/A"/>
    <x v="0"/>
    <s v="-"/>
    <s v="Ürün İş Listesi"/>
    <m/>
  </r>
  <r>
    <s v="Story"/>
    <s v="UKDS-148"/>
    <x v="1"/>
    <s v="UKDS Ön Başvuru Dokümanı e-Posta ve SMS İçeriğinin Yeni Bağlantı Adresleriyle Güncellenmesi"/>
    <x v="15"/>
    <e v="#N/A"/>
    <x v="0"/>
    <s v="-"/>
    <s v="Ürün İş Listesi"/>
    <m/>
  </r>
  <r>
    <s v="Story"/>
    <s v="WIK-573"/>
    <x v="0"/>
    <s v="Firma çalışanlarına ait KEP delillerinin indirilmesi geliştirmesi"/>
    <x v="16"/>
    <e v="#N/A"/>
    <x v="0"/>
    <s v="-"/>
    <s v="Ürün İş Listesi"/>
    <m/>
  </r>
  <r>
    <s v="Story"/>
    <s v="WIK-598"/>
    <x v="1"/>
    <s v="Belge Raporu ekranının migration sonrası belgeler için de kullanılabilir hale getirilmesi"/>
    <x v="16"/>
    <e v="#N/A"/>
    <x v="0"/>
    <s v="-"/>
    <s v="Ürün İş Listesi"/>
    <n v="5"/>
  </r>
  <r>
    <s v="Story"/>
    <s v="WIK-614"/>
    <x v="0"/>
    <s v="KEP İK Sözleşme sürelerinin ve statülerinin tutularak iptal edilen veya süresi dolan organizasyonların girişinin engellenmesi"/>
    <x v="16"/>
    <e v="#N/A"/>
    <x v="0"/>
    <s v="-"/>
    <s v="Ürün İş Listesi"/>
    <m/>
  </r>
  <r>
    <s v="Story"/>
    <s v="WIK-619"/>
    <x v="0"/>
    <s v="Çalışan gruplarının İK gönderilerinde kullanılmasi"/>
    <x v="16"/>
    <e v="#N/A"/>
    <x v="0"/>
    <s v="-"/>
    <s v="Ürün İş Listesi"/>
    <m/>
  </r>
  <r>
    <s v="Story"/>
    <s v="WIK-625"/>
    <x v="0"/>
    <s v="TÜRKÇE İNGİLİZCE DİL DESTEĞİ"/>
    <x v="16"/>
    <e v="#N/A"/>
    <x v="0"/>
    <s v="-"/>
    <s v="Ürün İş Listesi"/>
    <m/>
  </r>
  <r>
    <s v="Story"/>
    <s v="WIK-626"/>
    <x v="1"/>
    <s v="Eşleşmeyenler Alanında Çalışanlar Otomatik Eşleştirilmesi Hk."/>
    <x v="16"/>
    <e v="#N/A"/>
    <x v="0"/>
    <s v="-"/>
    <s v="Ürün İş Listesi"/>
    <n v="5"/>
  </r>
  <r>
    <s v="Story"/>
    <s v="WIK-628"/>
    <x v="1"/>
    <s v="Kep İk Özlük İşlemleri Şablon Oluşturma "/>
    <x v="16"/>
    <e v="#N/A"/>
    <x v="0"/>
    <s v="-"/>
    <s v="Ürün İş Listesi"/>
    <n v="5"/>
  </r>
  <r>
    <s v="Story"/>
    <s v="WIK-629"/>
    <x v="1"/>
    <s v="Özlük İşlemleri Alıcı Ekleme/Şablon Eşleştirme"/>
    <x v="16"/>
    <e v="#N/A"/>
    <x v="0"/>
    <s v="-"/>
    <s v="Ürün İş Listesi"/>
    <n v="5"/>
  </r>
  <r>
    <s v="Story"/>
    <s v="WIK-630"/>
    <x v="1"/>
    <s v="Özlük İşlemleri Gönderim Adımı"/>
    <x v="16"/>
    <e v="#N/A"/>
    <x v="0"/>
    <s v="-"/>
    <s v="Ürün İş Listesi"/>
    <n v="5"/>
  </r>
  <r>
    <s v="Story"/>
    <s v="WIK-631"/>
    <x v="1"/>
    <s v="Özlük İşlemleri Robot Yönlendirme ve Listelenmesi"/>
    <x v="16"/>
    <e v="#N/A"/>
    <x v="0"/>
    <s v="-"/>
    <s v="Ürün İş Listesi"/>
    <n v="5"/>
  </r>
  <r>
    <s v="Story"/>
    <s v="WIK-633"/>
    <x v="0"/>
    <s v="Çalışan Ekle Ekranında &quot;İptal&quot; Durumundaki Kayıtların Yeniden Kullanıcı Ekleme Sürecine Dahil Edilmesi"/>
    <x v="16"/>
    <e v="#N/A"/>
    <x v="0"/>
    <s v="-"/>
    <s v="Ürün İş Listesi"/>
    <m/>
  </r>
  <r>
    <s v="Story"/>
    <s v="WIK-634"/>
    <x v="1"/>
    <s v="Çalışan Ekle Ekranında &quot;İptal&quot; Durumundaki Kayıtların Filtre İle Gizlenmesi "/>
    <x v="16"/>
    <e v="#N/A"/>
    <x v="0"/>
    <s v="-"/>
    <s v="Ürün İş Listesi"/>
    <n v="8"/>
  </r>
  <r>
    <s v="Story"/>
    <s v="WIK-635"/>
    <x v="1"/>
    <s v="Duyuru Modülü Gönderimleri İçin Raporlama Seçeneği"/>
    <x v="16"/>
    <e v="#N/A"/>
    <x v="0"/>
    <s v="-"/>
    <s v="Ürün İş Listesi"/>
    <n v="8"/>
  </r>
  <r>
    <s v="Story"/>
    <s v="WIK-637"/>
    <x v="1"/>
    <s v="Özlük Belgeler Alıcı TCKN Ekleme İşlemi "/>
    <x v="16"/>
    <e v="#N/A"/>
    <x v="0"/>
    <s v="-"/>
    <s v="Ürün İş Listesi"/>
    <n v="5"/>
  </r>
  <r>
    <s v="Story"/>
    <s v="WIK-638"/>
    <x v="1"/>
    <s v="Özlük Belgeleri Reddedilen Belgelerin Tekrar Gönderilmesi"/>
    <x v="16"/>
    <e v="#N/A"/>
    <x v="0"/>
    <s v="-"/>
    <s v="Ürün İş Listesi"/>
    <n v="5"/>
  </r>
  <r>
    <s v="Story"/>
    <s v="WIK-639"/>
    <x v="1"/>
    <s v="Özlük Belgeleri Alıcı Yükleme Ekranı Açık Rıza ve KVKK Onaylarının Eklenmesi"/>
    <x v="16"/>
    <e v="#N/A"/>
    <x v="0"/>
    <s v="-"/>
    <s v="Ürün İş Listesi"/>
    <n v="3"/>
  </r>
  <r>
    <s v="Story"/>
    <s v="WIK-640"/>
    <x v="1"/>
    <s v="Delil Servislerine Erişilmesi"/>
    <x v="16"/>
    <e v="#N/A"/>
    <x v="0"/>
    <s v="-"/>
    <s v="Ürün İş Listesi"/>
    <n v="5"/>
  </r>
  <r>
    <s v="Story"/>
    <s v="WIK-641"/>
    <x v="1"/>
    <s v="Belge Raporu Ekranında İndirme"/>
    <x v="16"/>
    <e v="#N/A"/>
    <x v="0"/>
    <s v="-"/>
    <s v="Ürün İş Listesi"/>
    <n v="5"/>
  </r>
  <r>
    <s v="Story"/>
    <s v="WIK-642"/>
    <x v="1"/>
    <s v="Rapor Dosyasının Oluşturulması."/>
    <x v="16"/>
    <e v="#N/A"/>
    <x v="0"/>
    <s v="-"/>
    <s v="Ürün İş Listesi"/>
    <n v="13"/>
  </r>
  <r>
    <s v="Story"/>
    <s v="WIK-643"/>
    <x v="1"/>
    <s v="Rapor Dosyasının Teslim edilmesi"/>
    <x v="16"/>
    <e v="#N/A"/>
    <x v="0"/>
    <s v="-"/>
    <s v="Ürün İş Listesi"/>
    <n v="8"/>
  </r>
  <r>
    <s v="Story"/>
    <s v="WIK-644"/>
    <x v="1"/>
    <s v="Rapor Talebinin Oluşturulması "/>
    <x v="16"/>
    <e v="#N/A"/>
    <x v="0"/>
    <s v="-"/>
    <s v="Ürün İş Listesi"/>
    <n v="8"/>
  </r>
  <r>
    <s v="Story"/>
    <s v="WIK-646"/>
    <x v="1"/>
    <s v="Uygulama Kullanıcı Simgesinin Erkek Yerine Cinsiyetsiz Bir Simge İle Değiştirilmesi"/>
    <x v="16"/>
    <e v="#N/A"/>
    <x v="0"/>
    <s v="-"/>
    <s v="Ürün İş Listesi"/>
    <n v="1"/>
  </r>
  <r>
    <s v="Bug"/>
    <s v="WIK-649"/>
    <x v="1"/>
    <s v="Çalışan Grupları İçin Yetkilendirme Çalışmıyor"/>
    <x v="16"/>
    <e v="#N/A"/>
    <x v="0"/>
    <s v="-"/>
    <s v="Ürün İş Listesi"/>
    <m/>
  </r>
  <r>
    <s v="Story"/>
    <s v="WIK-651"/>
    <x v="1"/>
    <s v="Özlük Belgeleri Yükleme Ekranı Kullanıcı Deneyimi İyileştirmesi"/>
    <x v="16"/>
    <e v="#N/A"/>
    <x v="0"/>
    <s v="-"/>
    <s v="Ürün İş Listesi"/>
    <n v="3"/>
  </r>
  <r>
    <s v="Story"/>
    <s v="WIK-653"/>
    <x v="1"/>
    <s v="Silme İşlem Loglarının Tutulması ve Log Listelerinde Sağlanması"/>
    <x v="16"/>
    <e v="#N/A"/>
    <x v="0"/>
    <s v="-"/>
    <s v="Ürün İş Listesi"/>
    <n v="3"/>
  </r>
  <r>
    <s v="Story"/>
    <s v="WIK-654"/>
    <x v="1"/>
    <s v="İK Modüllerinde Reddeden Çalışanın Ret Sebebi Açıklama Alanını Doldurmasının Zorunlu Hale Getirilmesi"/>
    <x v="16"/>
    <e v="#N/A"/>
    <x v="0"/>
    <s v="-"/>
    <s v="Ürün İş Listesi"/>
    <n v="2"/>
  </r>
  <r>
    <s v="Story"/>
    <s v="EFT-2148"/>
    <x v="1"/>
    <s v="e-fatura Schematron Güncellemesi "/>
    <x v="4"/>
    <e v="#N/A"/>
    <x v="0"/>
    <s v="-"/>
    <s v="Ürün İş Listesi"/>
    <n v="1"/>
  </r>
  <r>
    <s v="Story"/>
    <s v="WIK-655"/>
    <x v="1"/>
    <s v="Ara yüzdeki Türkçe Metinlerin Tespit Edilmesi"/>
    <x v="16"/>
    <e v="#N/A"/>
    <x v="0"/>
    <s v="-"/>
    <s v="Ürün İş Listesi"/>
    <n v="5"/>
  </r>
  <r>
    <s v="Story"/>
    <s v="KEP-279"/>
    <x v="1"/>
    <s v="Java KEP Api Güncellenmesi ile Procenne HSM Desteği Eklenmesi"/>
    <x v="7"/>
    <e v="#N/A"/>
    <x v="0"/>
    <s v="-"/>
    <s v="Ürün İş Listesi"/>
    <n v="3"/>
  </r>
  <r>
    <s v="Story"/>
    <s v="WIK-657"/>
    <x v="1"/>
    <s v="Yapılan çevirilerin yerleştirilmesi"/>
    <x v="16"/>
    <e v="#N/A"/>
    <x v="0"/>
    <s v="-"/>
    <s v="Ürün İş Listesi"/>
    <n v="3"/>
  </r>
  <r>
    <s v="Story"/>
    <s v="IEU-189"/>
    <x v="1"/>
    <s v="Turkcell Mobil İmza Servisinde SSL Sertifikası Değişimi - 15 Mayıs 2025"/>
    <x v="5"/>
    <e v="#N/A"/>
    <x v="0"/>
    <s v="-"/>
    <s v="Ürün İş Listesi"/>
    <n v="2"/>
  </r>
  <r>
    <s v="Story"/>
    <s v="IEU-187"/>
    <x v="1"/>
    <s v="Zaman Damgalı İmzaların Sayılması"/>
    <x v="5"/>
    <e v="#N/A"/>
    <x v="0"/>
    <s v="-"/>
    <s v="Ürün İş Listesi"/>
    <n v="5"/>
  </r>
  <r>
    <s v="Story"/>
    <s v="WIK-659"/>
    <x v="0"/>
    <s v="Alınan Özlük Belgelerinin Türkkep Sistemlerinde Saklanması ve e-Saklama Entegrasyonu"/>
    <x v="16"/>
    <e v="#N/A"/>
    <x v="0"/>
    <s v="-"/>
    <s v="Ürün İş Listesi"/>
    <m/>
  </r>
  <r>
    <s v="Story"/>
    <s v="WIK-656"/>
    <x v="1"/>
    <s v="Translate pipe ve önyüz servisinin oluşturulması"/>
    <x v="16"/>
    <e v="#N/A"/>
    <x v="0"/>
    <s v="-"/>
    <s v="Ürün İş Listesi"/>
    <m/>
  </r>
  <r>
    <s v="Story"/>
    <s v="TIM-438"/>
    <x v="2"/>
    <s v="İmza süreci tamamlanmış belgelerin silinmemesi"/>
    <x v="13"/>
    <e v="#N/A"/>
    <x v="0"/>
    <s v="-"/>
    <s v="Ürün İş Listesi"/>
    <m/>
  </r>
  <r>
    <s v="Story"/>
    <s v="KEP-283"/>
    <x v="1"/>
    <s v="Kapalı Hesaba Giriş Yapıldığında Bilgilendirme Sağlanması"/>
    <x v="7"/>
    <e v="#N/A"/>
    <x v="0"/>
    <s v="-"/>
    <s v="Ürün İş Listesi"/>
    <n v="2"/>
  </r>
  <r>
    <s v="Story"/>
    <s v="IEU-188"/>
    <x v="0"/>
    <s v="Basit İmzaların Sayılması"/>
    <x v="5"/>
    <e v="#N/A"/>
    <x v="0"/>
    <s v="-"/>
    <s v="Ürün İş Listesi"/>
    <m/>
  </r>
  <r>
    <s v="Story"/>
    <s v="KEP-284"/>
    <x v="1"/>
    <s v="Test Ortamındaki KEP Adreslerinin Yeni Altyapıya Taşınması"/>
    <x v="7"/>
    <e v="#N/A"/>
    <x v="0"/>
    <s v="-"/>
    <s v="Ürün İş Listesi"/>
    <n v="3"/>
  </r>
  <r>
    <s v="Story"/>
    <s v="WIK-663"/>
    <x v="1"/>
    <s v="Özlük Belgeleri Alıcı Yükleme Ekranı Açık Rıza ve KVKK Onayı Müşteri Metinlerinin Eklenmesi"/>
    <x v="16"/>
    <e v="#N/A"/>
    <x v="0"/>
    <s v="-"/>
    <s v="Ürün İş Listesi"/>
    <n v="3"/>
  </r>
  <r>
    <s v="Story"/>
    <s v="WIK-662"/>
    <x v="1"/>
    <s v="Özlük Belgelerinin KEP İK Sunucusunda Geçici Saklanması"/>
    <x v="16"/>
    <e v="#N/A"/>
    <x v="0"/>
    <s v="-"/>
    <s v="Ürün İş Listesi"/>
    <n v="2"/>
  </r>
  <r>
    <s v="Story"/>
    <s v="WIK-661"/>
    <x v="1"/>
    <s v="Ay İçinde Aktif ve Pasif Edilen Çalışanların Durumuna Göre Çalışan Listesinin Güncellenebilmesi"/>
    <x v="16"/>
    <e v="#N/A"/>
    <x v="0"/>
    <s v="-"/>
    <s v="Ürün İş Listesi"/>
    <n v="2"/>
  </r>
  <r>
    <s v="Story"/>
    <s v="WIK-660"/>
    <x v="1"/>
    <s v="Ücret Pusulası ve Puantaj Modülleri Yetkilendirme Yapısında Düzenleme"/>
    <x v="16"/>
    <e v="#N/A"/>
    <x v="0"/>
    <s v="-"/>
    <s v="Ürün İş Listesi"/>
    <n v="3"/>
  </r>
  <r>
    <s v="Story"/>
    <s v="WIK-652"/>
    <x v="1"/>
    <s v="Özlük Bilgileri Sayfa Karşılaştırma için Gerekli Özlük Servisi-Robot İletişim"/>
    <x v="16"/>
    <e v="#N/A"/>
    <x v="0"/>
    <s v="-"/>
    <s v="Ürün İş Listesi"/>
    <n v="2"/>
  </r>
  <r>
    <s v="Story"/>
    <s v="WIK-648"/>
    <x v="1"/>
    <s v="Çalışan Grupları İçin Yetkilendirme Çalışmıyor"/>
    <x v="16"/>
    <e v="#N/A"/>
    <x v="0"/>
    <s v="-"/>
    <s v="Ürün İş Listesi"/>
    <m/>
  </r>
  <r>
    <s v="Story"/>
    <s v="WIK-647"/>
    <x v="1"/>
    <s v="Çalışan Ekle ve Çalışanlar Modülleri İçin Kullanıcı Bazlı Yetkilendirme"/>
    <x v="16"/>
    <e v="#N/A"/>
    <x v="0"/>
    <s v="-"/>
    <s v="Ürün İş Listesi"/>
    <m/>
  </r>
  <r>
    <s v="Story"/>
    <s v="WIK-632"/>
    <x v="1"/>
    <s v="Bordro gönderim sürecinde aynı ay içinde tekrar çarşaf bordro eklemeye gerek kalmadan yeni eklenen çalışanlar için eşleşmeyenleri ayrıştırarak yeniden göndermeye imkan sağlaması"/>
    <x v="16"/>
    <e v="#N/A"/>
    <x v="0"/>
    <s v="-"/>
    <s v="Ürün İş Listesi"/>
    <m/>
  </r>
  <r>
    <s v="Story"/>
    <s v="MYS-765"/>
    <x v="1"/>
    <s v="Original Message Id Değerinin Düzenlenmesi"/>
    <x v="12"/>
    <e v="#N/A"/>
    <x v="0"/>
    <s v="-"/>
    <s v="Ürün İş Listesi"/>
    <n v="2"/>
  </r>
  <r>
    <s v="Story"/>
    <s v="KEP-285"/>
    <x v="1"/>
    <s v="CRM KEP Hesapları Yönetimi Servis Geliştirmesi"/>
    <x v="7"/>
    <e v="#N/A"/>
    <x v="0"/>
    <s v="-"/>
    <s v="Ürün İş Listesi"/>
    <n v="3"/>
  </r>
  <r>
    <s v="Story"/>
    <s v="KA-1495"/>
    <x v="1"/>
    <s v="KEPAssist CRM Entegrasyonu Kullanım Raporu Servisinin Canlı Ortam İçin Hazırlanması"/>
    <x v="6"/>
    <e v="#N/A"/>
    <x v="0"/>
    <s v="-"/>
    <s v="Ürün İş Listesi"/>
    <n v="2"/>
  </r>
  <r>
    <s v="Story"/>
    <s v="KA-1494"/>
    <x v="1"/>
    <s v="Original Message Id Değerinin Düzenlenmesi"/>
    <x v="6"/>
    <e v="#N/A"/>
    <x v="0"/>
    <s v="-"/>
    <s v="Ürün İş Listesi"/>
    <n v="2"/>
  </r>
  <r>
    <s v="Bug"/>
    <s v="KA-1479"/>
    <x v="1"/>
    <s v="Gelen EYP 1.3 iletilerinin statüsünün güncellenmemesi"/>
    <x v="6"/>
    <e v="#N/A"/>
    <x v="0"/>
    <s v="-"/>
    <s v="Ürün İş Listesi"/>
    <m/>
  </r>
  <r>
    <s v="Story"/>
    <s v="KA-1465"/>
    <x v="1"/>
    <s v="CRM Entegrasyonu İçin Organizasyonları Listeleyen Servis Geliştirilmesi"/>
    <x v="6"/>
    <e v="#N/A"/>
    <x v="0"/>
    <s v="-"/>
    <s v="Ürün İş Listesi"/>
    <m/>
  </r>
  <r>
    <s v="Story"/>
    <s v="KA-1464"/>
    <x v="1"/>
    <s v="Kullanım Raporu Sp'lerinin Hızlandırılması Hk."/>
    <x v="6"/>
    <e v="#N/A"/>
    <x v="0"/>
    <s v="-"/>
    <s v="Ürün İş Listesi"/>
    <m/>
  </r>
  <r>
    <s v="Story"/>
    <s v="KA-1459"/>
    <x v="1"/>
    <s v="Güncelleme Paketi Hazırlanması"/>
    <x v="6"/>
    <e v="#N/A"/>
    <x v="0"/>
    <s v="-"/>
    <s v="Ürün İş Listesi"/>
    <m/>
  </r>
  <r>
    <s v="Story"/>
    <s v="IEU-202"/>
    <x v="1"/>
    <s v="CI/CD Kurulumu"/>
    <x v="5"/>
    <e v="#N/A"/>
    <x v="0"/>
    <s v="-"/>
    <s v="Ürün İş Listesi"/>
    <n v="2"/>
  </r>
  <r>
    <s v="Story"/>
    <s v="IEU-201"/>
    <x v="1"/>
    <s v="Yeni Geliştirmelerin QA/TEST Ortamına Atılması"/>
    <x v="5"/>
    <e v="#N/A"/>
    <x v="0"/>
    <s v="-"/>
    <s v="Ürün İş Listesi"/>
    <n v="5"/>
  </r>
  <r>
    <s v="Story"/>
    <s v="IEU-200"/>
    <x v="1"/>
    <s v="Tek Metot ile Tüm İmza Tipleri İçin Doğrulama Sağlanması - verify-controller "/>
    <x v="5"/>
    <e v="#N/A"/>
    <x v="0"/>
    <s v="-"/>
    <s v="Ürün İş Listesi"/>
    <n v="3"/>
  </r>
  <r>
    <s v="Story"/>
    <s v="IEU-199"/>
    <x v="1"/>
    <s v="Zaman Damgalı İmza Sayımı - Admin Panel Düzenlemesi ve Raporlama"/>
    <x v="5"/>
    <e v="#N/A"/>
    <x v="0"/>
    <s v="-"/>
    <s v="Ürün İş Listesi"/>
    <n v="3"/>
  </r>
  <r>
    <s v="Story"/>
    <s v="IEU-198"/>
    <x v="1"/>
    <s v="Zaman Damgalı İmza Sayımı - VT - İşlem Kayıtlarının Tutulması"/>
    <x v="5"/>
    <e v="#N/A"/>
    <x v="0"/>
    <s v="-"/>
    <s v="Ürün İş Listesi"/>
    <n v="3"/>
  </r>
  <r>
    <s v="Story"/>
    <s v="IEU-197"/>
    <x v="1"/>
    <s v="Zaman Damgalı İmza Sayımı - Auth Service İşlem Kayıtları için Metot Hazırlanması"/>
    <x v="5"/>
    <e v="#N/A"/>
    <x v="0"/>
    <s v="-"/>
    <s v="Ürün İş Listesi"/>
    <n v="3"/>
  </r>
  <r>
    <s v="Story"/>
    <s v="IEU-196"/>
    <x v="0"/>
    <s v="Zaman Damgalı İmza Sayımı - Imza-Client-v2 - Exe ve Jar Güncellemesi "/>
    <x v="5"/>
    <e v="#N/A"/>
    <x v="0"/>
    <s v="-"/>
    <s v="Ürün İş Listesi"/>
    <m/>
  </r>
  <r>
    <s v="Story"/>
    <s v="IEU-195"/>
    <x v="1"/>
    <s v="Zaman Damgalı İmza Sayımı - Signature-Service İmza Upgrade İşleminin Sayılması"/>
    <x v="5"/>
    <e v="#N/A"/>
    <x v="0"/>
    <s v="-"/>
    <s v="Ürün İş Listesi"/>
    <n v="3"/>
  </r>
  <r>
    <s v="Story"/>
    <s v="IEU-194"/>
    <x v="1"/>
    <s v="Java KEP Api Güncellenmesi ile Procenne HSM Desteği Eklenmesi"/>
    <x v="5"/>
    <e v="#N/A"/>
    <x v="0"/>
    <s v="-"/>
    <s v="Ürün İş Listesi"/>
    <m/>
  </r>
  <r>
    <s v="Story"/>
    <s v="IEU-167"/>
    <x v="1"/>
    <s v="MKR Sorgulama Frekansı Değişikliği"/>
    <x v="5"/>
    <e v="#N/A"/>
    <x v="0"/>
    <s v="-"/>
    <s v="Ürün İş Listesi"/>
    <m/>
  </r>
  <r>
    <s v="Story"/>
    <s v="IEU-161"/>
    <x v="1"/>
    <s v="İmzaClient Jar Güncellemesi"/>
    <x v="5"/>
    <e v="#N/A"/>
    <x v="0"/>
    <s v="-"/>
    <s v="Ürün İş Listesi"/>
    <m/>
  </r>
  <r>
    <s v="Story"/>
    <s v="IEU-156"/>
    <x v="1"/>
    <s v="UETS servislerinin bulut olarak da sağlanabilmesi ve servise eklenmesi"/>
    <x v="5"/>
    <e v="#N/A"/>
    <x v="0"/>
    <s v="-"/>
    <s v="Ürün İş Listesi"/>
    <m/>
  </r>
  <r>
    <s v="Story"/>
    <s v="IEU-150"/>
    <x v="1"/>
    <s v="MKR Modülü İçin /api/v1/usage Metoduna Tarih Aralığı Filtreleme Özelliği Eklenmesi (CRM Entegrasyonu)"/>
    <x v="5"/>
    <e v="#N/A"/>
    <x v="0"/>
    <s v="-"/>
    <s v="Ürün İş Listesi"/>
    <m/>
  </r>
  <r>
    <s v="Story"/>
    <s v="EFT-2159"/>
    <x v="1"/>
    <s v="İmza Süresi Bitiş Kullanıcılara Uyarı Gösterilmesi"/>
    <x v="4"/>
    <e v="#N/A"/>
    <x v="0"/>
    <s v="-"/>
    <s v="Ürün İş Listesi"/>
    <m/>
  </r>
  <r>
    <s v="Story"/>
    <s v="EFT-2158"/>
    <x v="1"/>
    <s v="Menü Ağacının Sıralamasının Değiştirilmesi"/>
    <x v="4"/>
    <e v="#N/A"/>
    <x v="0"/>
    <s v="-"/>
    <s v="Ürün İş Listesi"/>
    <n v="1"/>
  </r>
  <r>
    <s v="Bug"/>
    <s v="EFT-2157"/>
    <x v="1"/>
    <s v="Fatura Ön Eki Hata Uyarısın Düzeltilmesi."/>
    <x v="4"/>
    <e v="#N/A"/>
    <x v="0"/>
    <s v="-"/>
    <s v="Ürün İş Listesi"/>
    <n v="1"/>
  </r>
  <r>
    <s v="Story"/>
    <s v="EFT-2156"/>
    <x v="1"/>
    <s v="Hata Alan Faturaların için Çoklu İşlem Fonksiyonu Eklenmesi"/>
    <x v="4"/>
    <e v="#N/A"/>
    <x v="0"/>
    <s v="-"/>
    <s v="Ürün İş Listesi"/>
    <n v="2"/>
  </r>
  <r>
    <s v="Story"/>
    <s v="EFT-2155"/>
    <x v="1"/>
    <s v="Türmob Sorgu Bilgisinin Dashboard Ekranında Düzenlemesi."/>
    <x v="4"/>
    <e v="#N/A"/>
    <x v="0"/>
    <s v="-"/>
    <s v="Ürün İş Listesi"/>
    <n v="1"/>
  </r>
  <r>
    <s v="Story"/>
    <s v="EFT-2154"/>
    <x v="1"/>
    <s v="Test Ortamında Türmob Sorgu Servisinin Kapatılması."/>
    <x v="4"/>
    <e v="#N/A"/>
    <x v="0"/>
    <s v="-"/>
    <s v="Ürün İş Listesi"/>
    <n v="1"/>
  </r>
  <r>
    <s v="Story"/>
    <s v="EFT-2153"/>
    <x v="1"/>
    <s v="Smartcard Bilgilerinin Yeni İmza Client Uygulamasında Saklanması"/>
    <x v="4"/>
    <e v="#N/A"/>
    <x v="0"/>
    <s v="-"/>
    <s v="Ürün İş Listesi"/>
    <n v="2"/>
  </r>
  <r>
    <s v="Story"/>
    <s v="EFT-2092"/>
    <x v="1"/>
    <s v="Sözleşme Ve Aktivasyon Kullanılan Setupta .jar Dosyasının Güncellenmesi"/>
    <x v="4"/>
    <e v="#N/A"/>
    <x v="0"/>
    <s v="-"/>
    <s v="Ürün İş Listesi"/>
    <m/>
  </r>
  <r>
    <s v="Story"/>
    <s v="EFT-2080"/>
    <x v="1"/>
    <s v="Gelen Faturalar Modülünde Reddedilen Faturalara Arşive Gönder Özelliği Eklenmesi"/>
    <x v="4"/>
    <e v="#N/A"/>
    <x v="0"/>
    <s v="-"/>
    <s v="Ürün İş Listesi"/>
    <m/>
  </r>
  <r>
    <s v="Story"/>
    <s v="EDF-757"/>
    <x v="1"/>
    <s v="Kapital Firması/ e-Defter Kebir Dosyalarının GİB Sistemlerine Yüklenmemesi için Değişiklik"/>
    <x v="3"/>
    <e v="#N/A"/>
    <x v="0"/>
    <s v="-"/>
    <s v="Ürün İş Listesi"/>
    <n v="3"/>
  </r>
  <r>
    <s v="Bug"/>
    <s v="EDF-745"/>
    <x v="1"/>
    <s v="Sızma Testi Bulguları"/>
    <x v="3"/>
    <e v="#N/A"/>
    <x v="0"/>
    <s v="-"/>
    <s v="Ürün İş Listesi"/>
    <m/>
  </r>
  <r>
    <s v="Story"/>
    <s v="EDF-744"/>
    <x v="1"/>
    <s v="Portalde Yükleme Araçlar&gt;LUCA Excel Yükleme Modülünde Madde No Kontrolü Ekleme"/>
    <x v="3"/>
    <e v="#N/A"/>
    <x v="0"/>
    <s v="-"/>
    <s v="Ürün İş Listesi"/>
    <m/>
  </r>
  <r>
    <s v="Story"/>
    <s v="EDF-743"/>
    <x v="1"/>
    <s v="Kontratı CST_Contract Tablosunda Bulunmayan Müşterilere Uyarı Metni"/>
    <x v="3"/>
    <e v="#N/A"/>
    <x v="0"/>
    <s v="-"/>
    <s v="Ürün İş Listesi"/>
    <m/>
  </r>
  <r>
    <s v="Story"/>
    <s v="EDF-731"/>
    <x v="1"/>
    <s v="Hizmet Sözleşmesi Bitecek Müşteri İçin E-Defter Ürünlerinin Ekranında Geri Sayım İçeren Uyarı Metninin Eklenmesi"/>
    <x v="3"/>
    <e v="#N/A"/>
    <x v="0"/>
    <s v="-"/>
    <s v="Ürün İş Listesi"/>
    <m/>
  </r>
  <r>
    <s v="Story"/>
    <s v="CRM-629"/>
    <x v="1"/>
    <s v="RezerveKEP metoduna dış servis kullanım senaryosu eklenmesi"/>
    <x v="0"/>
    <e v="#N/A"/>
    <x v="0"/>
    <s v="-"/>
    <s v="Ürün İş Listesi"/>
    <n v="8"/>
  </r>
  <r>
    <s v="Bug"/>
    <s v="CRM-628"/>
    <x v="1"/>
    <s v="Yüksek boyutlu dosya yükleme hatası"/>
    <x v="0"/>
    <e v="#N/A"/>
    <x v="0"/>
    <s v="-"/>
    <s v="Ürün İş Listesi"/>
    <n v="1"/>
  </r>
  <r>
    <s v="Story"/>
    <s v="CRM-627"/>
    <x v="1"/>
    <s v="MERSİS sorgu sonucunda birden fazla münferit yetkili gelmesi"/>
    <x v="0"/>
    <e v="#N/A"/>
    <x v="0"/>
    <s v="-"/>
    <s v="Ürün İş Listesi"/>
    <m/>
  </r>
  <r>
    <s v="Story"/>
    <s v="CRM-626"/>
    <x v="1"/>
    <s v="Servisin test ortamında aktif edilmesi"/>
    <x v="0"/>
    <e v="#N/A"/>
    <x v="0"/>
    <s v="-"/>
    <s v="Ürün İş Listesi"/>
    <n v="3"/>
  </r>
  <r>
    <s v="Story"/>
    <s v="CRM-623"/>
    <x v="1"/>
    <s v="MERSİS sorgu sonucunda NACE kodu bilgisinin boş gelmesi"/>
    <x v="0"/>
    <e v="#N/A"/>
    <x v="0"/>
    <s v="-"/>
    <s v="Ürün İş Listesi"/>
    <n v="1"/>
  </r>
  <r>
    <s v="Story"/>
    <s v="CRM-622"/>
    <x v="0"/>
    <s v="Teklif onay süreci geliştirilmesi"/>
    <x v="0"/>
    <e v="#N/A"/>
    <x v="0"/>
    <s v="-"/>
    <s v="Ürün İş Listesi"/>
    <m/>
  </r>
  <r>
    <s v="Story"/>
    <s v="CRM-621"/>
    <x v="0"/>
    <s v="KEP Assist modül yenileme akışının kontrol edilmesi"/>
    <x v="0"/>
    <e v="#N/A"/>
    <x v="0"/>
    <s v="-"/>
    <s v="Ürün İş Listesi"/>
    <m/>
  </r>
  <r>
    <s v="Story"/>
    <s v="CRM-561"/>
    <x v="1"/>
    <s v="Multikep Kota Yükleme İşlemleri"/>
    <x v="0"/>
    <e v="#N/A"/>
    <x v="0"/>
    <s v="-"/>
    <s v="Ürün İş Listesi"/>
    <m/>
  </r>
  <r>
    <s v="Story"/>
    <s v="CRM-552"/>
    <x v="1"/>
    <s v="Multikep Müşteri Bilgileri Gönderilirken İşlem Yetkililerinden Kullanıcıların Aktarılması"/>
    <x v="0"/>
    <e v="#N/A"/>
    <x v="0"/>
    <s v="-"/>
    <s v="Ürün İş Listesi"/>
    <m/>
  </r>
  <r>
    <s v="Story"/>
    <s v="CRM-495"/>
    <x v="1"/>
    <s v="Oluşan QR Kodlu Toplu Evrakların Satışçıya/Bayiye İletilmesi"/>
    <x v="0"/>
    <e v="#N/A"/>
    <x v="0"/>
    <s v="-"/>
    <s v="Ürün İş Listesi"/>
    <m/>
  </r>
  <r>
    <s v="Bug"/>
    <s v="EDF-759"/>
    <x v="1"/>
    <s v="Defter Portalda İmzalama Sürecinde Client Linkinin Eski Olması"/>
    <x v="3"/>
    <e v="#N/A"/>
    <x v="0"/>
    <s v="-"/>
    <s v="Ürün İş Listesi"/>
    <n v="1"/>
  </r>
  <r>
    <s v="Story"/>
    <s v="MYS-768"/>
    <x v="1"/>
    <s v="Güncelleme Paketi Hazırlanması"/>
    <x v="12"/>
    <e v="#N/A"/>
    <x v="0"/>
    <s v="-"/>
    <s v="Ürün İş Listesi"/>
    <n v="2"/>
  </r>
  <r>
    <s v="Story"/>
    <s v="KW-7"/>
    <x v="1"/>
    <s v="Üst Yönetim Raporu - KEP İleti Sayılarının Detaylı Kırılımı"/>
    <x v="8"/>
    <e v="#N/A"/>
    <x v="0"/>
    <s v="-"/>
    <s v="Ürün İş Listesi"/>
    <n v="5"/>
  </r>
  <r>
    <s v="Bug"/>
    <s v="KA-1504"/>
    <x v="1"/>
    <s v="Detsis No Arama Hatası"/>
    <x v="6"/>
    <e v="#N/A"/>
    <x v="0"/>
    <s v="-"/>
    <s v="Ürün İş Listesi"/>
    <n v="2"/>
  </r>
  <r>
    <s v="Bug"/>
    <s v="KA-1503"/>
    <x v="1"/>
    <s v="Kullanıcı Yönetimi - Kullanıcı Oluşturma Hatası"/>
    <x v="6"/>
    <e v="#N/A"/>
    <x v="0"/>
    <s v="-"/>
    <s v="Ürün İş Listesi"/>
    <n v="3"/>
  </r>
  <r>
    <s v="Story"/>
    <s v="IEU-207"/>
    <x v="1"/>
    <s v="SonarQube Kod Taraması Yapılması"/>
    <x v="5"/>
    <e v="#N/A"/>
    <x v="0"/>
    <s v="-"/>
    <s v="Ürün İş Listesi"/>
    <n v="2"/>
  </r>
  <r>
    <s v="Story"/>
    <s v="IEU-206"/>
    <x v="1"/>
    <s v="Kod Gözden Geçirme ve Güvenlik İyileştirmesi (SonarQube Analizi Sonuçlarına Göre)"/>
    <x v="5"/>
    <e v="#N/A"/>
    <x v="0"/>
    <s v="-"/>
    <s v="Ürün İş Listesi"/>
    <n v="5"/>
  </r>
  <r>
    <s v="Bug"/>
    <s v="EFT-2165"/>
    <x v="1"/>
    <s v="Portalda İrsaliye oluştur Ekranında 'Sevk Saati' Alanı Değişikliği"/>
    <x v="4"/>
    <e v="#N/A"/>
    <x v="0"/>
    <s v="-"/>
    <s v="Ürün İş Listesi"/>
    <n v="1"/>
  </r>
  <r>
    <s v="Story"/>
    <s v="EFT-2167"/>
    <x v="1"/>
    <s v="Araştırma/ Şematron Hatalarının Kaynaklarının Tespiti"/>
    <x v="4"/>
    <e v="#N/A"/>
    <x v="0"/>
    <s v="-"/>
    <s v="Ürün İş Listesi"/>
    <n v="13"/>
  </r>
  <r>
    <s v="Story"/>
    <s v="DP-281"/>
    <x v="1"/>
    <s v="e-Belge Kullanıcı Listelerinin Dışa Aktarılabilir Hale Getirilmesi"/>
    <x v="1"/>
    <e v="#N/A"/>
    <x v="0"/>
    <s v="-"/>
    <s v="Ürün İş Listesi"/>
    <n v="3"/>
  </r>
  <r>
    <s v="Story"/>
    <s v="DP-280"/>
    <x v="0"/>
    <s v="Hizmet İptali Olan Firmalar İçin Veri Teslim Talebi"/>
    <x v="1"/>
    <e v="#N/A"/>
    <x v="0"/>
    <s v="-"/>
    <s v="Ürün İş Listesi"/>
    <m/>
  </r>
  <r>
    <s v="Story"/>
    <s v="DP-279"/>
    <x v="0"/>
    <s v="Yanlış Mühürle İmzalanan Defterin Durumunun Güncellenmesi"/>
    <x v="1"/>
    <e v="#N/A"/>
    <x v="0"/>
    <s v="-"/>
    <s v="Ürün İş Listesi"/>
    <m/>
  </r>
  <r>
    <s v="Story"/>
    <s v="DP-278"/>
    <x v="0"/>
    <s v="Şematron Kontrolünde Kalan Defterin Aktarım Başarılı Durumuna Çekilmesi"/>
    <x v="1"/>
    <e v="#N/A"/>
    <x v="0"/>
    <s v="-"/>
    <s v="Ürün İş Listesi"/>
    <m/>
  </r>
  <r>
    <s v="Story"/>
    <s v="DP-277"/>
    <x v="1"/>
    <s v="Defterin Dönem Kapama Durumuna Geçmemesi Halinde Güncelleme Talebi"/>
    <x v="1"/>
    <e v="#N/A"/>
    <x v="0"/>
    <s v="-"/>
    <s v="Ürün İş Listesi"/>
    <n v="3"/>
  </r>
  <r>
    <s v="Story"/>
    <s v="DP-276"/>
    <x v="1"/>
    <s v="Silinen Cari Hesabın Geri Alınma İşleminin Portal Üzerinden Yapılması"/>
    <x v="1"/>
    <e v="#N/A"/>
    <x v="0"/>
    <s v="-"/>
    <s v="Ürün İş Listesi"/>
    <n v="2"/>
  </r>
  <r>
    <s v="Story"/>
    <s v="EDF-761"/>
    <x v="1"/>
    <s v="E-Defter Gönderim Sürecindeki Hata ve Sorunların Tespiti"/>
    <x v="3"/>
    <e v="#N/A"/>
    <x v="0"/>
    <s v="-"/>
    <s v="Ürün İş Listesi"/>
    <n v="5"/>
  </r>
  <r>
    <s v="Story"/>
    <s v="IEU-208"/>
    <x v="1"/>
    <s v="Metotlardan Dönen Hata Yanıtlarının Düzenlenmesi"/>
    <x v="5"/>
    <e v="#N/A"/>
    <x v="0"/>
    <s v="-"/>
    <s v="Ürün İş Listesi"/>
    <n v="3"/>
  </r>
  <r>
    <s v="Bug"/>
    <s v="MU-64"/>
    <x v="1"/>
    <s v="Genel Responsive Design Düzenlemesi"/>
    <x v="9"/>
    <e v="#N/A"/>
    <x v="0"/>
    <s v="-"/>
    <s v="Ürün İş Listesi"/>
    <n v="3"/>
  </r>
  <r>
    <s v="Bug"/>
    <s v="MU-63"/>
    <x v="1"/>
    <s v="Mobil Uygulamada Sayfalar Arası Geçişlerde UX Sorunlarının Giderilmesi"/>
    <x v="9"/>
    <e v="#N/A"/>
    <x v="0"/>
    <s v="-"/>
    <s v="Ürün İş Listesi"/>
    <n v="3"/>
  </r>
  <r>
    <s v="Bug"/>
    <s v="MU-62"/>
    <x v="0"/>
    <s v="Bazı Mobil Cihazlarda &quot;Şifremi Unuttum&quot; Adımında Yaşanan Hata"/>
    <x v="9"/>
    <e v="#N/A"/>
    <x v="0"/>
    <s v="-"/>
    <s v="Ürün İş Listesi"/>
    <n v="5"/>
  </r>
  <r>
    <s v="Story"/>
    <s v="WIK-670"/>
    <x v="1"/>
    <s v="Çalışan Ekle Ekranı Sayfalama Yapısının Sağlanması - Arayüz Çalışması"/>
    <x v="16"/>
    <e v="#N/A"/>
    <x v="0"/>
    <s v="-"/>
    <s v="Ürün İş Listesi"/>
    <n v="1"/>
  </r>
  <r>
    <s v="Story"/>
    <s v="WIK-671"/>
    <x v="1"/>
    <s v="Özlük Belgeleri Ekranı Sayfalama Yapısının Sağlanması - Servis Çalışması"/>
    <x v="16"/>
    <e v="#N/A"/>
    <x v="0"/>
    <s v="-"/>
    <s v="Ürün İş Listesi"/>
    <n v="2"/>
  </r>
  <r>
    <s v="Story"/>
    <s v="WIK-666"/>
    <x v="1"/>
    <s v="Özlük Belgeleri Ekranı Sayfalama Yapısının Sağlanması - Arayüz Çalışması"/>
    <x v="16"/>
    <e v="#N/A"/>
    <x v="0"/>
    <s v="-"/>
    <s v="Ürün İş Listesi"/>
    <n v="1"/>
  </r>
  <r>
    <s v="Story"/>
    <s v="UKDS-151"/>
    <x v="1"/>
    <s v="Çalışan Ekle Modülünde Çok Sayıda Kayıt için Excel'e Aktarma Özelliğinin Performans İyileştirmesi"/>
    <x v="15"/>
    <e v="#N/A"/>
    <x v="0"/>
    <s v="-"/>
    <s v="Ürün İş Listesi"/>
    <n v="2"/>
  </r>
  <r>
    <s v="Story"/>
    <s v="UKDS-152"/>
    <x v="1"/>
    <s v="Çalışan Ekle Ekranı Sayfalama Yapısının Sağlanması - Servis Çalışması"/>
    <x v="15"/>
    <e v="#N/A"/>
    <x v="0"/>
    <s v="-"/>
    <s v="Ürün İş Listesi"/>
    <n v="3"/>
  </r>
  <r>
    <s v="Bug"/>
    <s v="TIM-447"/>
    <x v="1"/>
    <s v="Yatay Belge İçerisinde Logonun Doküman İçerisinde Tam Görünmemesi"/>
    <x v="13"/>
    <e v="#N/A"/>
    <x v="0"/>
    <s v="-"/>
    <s v="Ürün İş Listesi"/>
    <n v="1"/>
  </r>
  <r>
    <s v="Story"/>
    <s v="KEP-286"/>
    <x v="1"/>
    <s v="Webmail Delil Doğrulama Servisleri Güncellemesi"/>
    <x v="7"/>
    <e v="#N/A"/>
    <x v="0"/>
    <s v="-"/>
    <s v="Ürün İş Listesi"/>
    <n v="3"/>
  </r>
  <r>
    <s v="Story"/>
    <s v="KEP-287"/>
    <x v="1"/>
    <s v="Hesap Kapatma İşlemlerinin JNLP yerine Yeni Client ile Gerçekleştirilmesi"/>
    <x v="7"/>
    <e v="#N/A"/>
    <x v="0"/>
    <s v="-"/>
    <s v="Ürün İş Listesi"/>
    <n v="3"/>
  </r>
  <r>
    <s v="Story"/>
    <s v="UKDS-156"/>
    <x v="1"/>
    <s v="KİDOS Özelliklerinin Servis Olarak Sağlanması"/>
    <x v="15"/>
    <e v="#N/A"/>
    <x v="0"/>
    <s v="-"/>
    <s v="Ürün İş Listesi"/>
    <m/>
  </r>
  <r>
    <s v="Story"/>
    <s v="UKDS-154"/>
    <x v="1"/>
    <s v="KİDOS-MERSİS Entegrasyonu"/>
    <x v="15"/>
    <e v="#N/A"/>
    <x v="0"/>
    <s v="-"/>
    <s v="Ürün İş Listesi"/>
    <n v="5"/>
  </r>
  <r>
    <s v="Story"/>
    <s v="DP-282"/>
    <x v="1"/>
    <s v="Faturanın Deleted durumunun Y olarak güncellenmesi"/>
    <x v="1"/>
    <e v="#N/A"/>
    <x v="0"/>
    <s v="-"/>
    <s v="Ürün İş Listesi"/>
    <n v="2"/>
  </r>
  <r>
    <s v="Story"/>
    <s v="MU-67"/>
    <x v="1"/>
    <s v="Mobil İmza İle KEP Gönderimi"/>
    <x v="9"/>
    <e v="#N/A"/>
    <x v="0"/>
    <s v="-"/>
    <s v="Ürün İş Listesi"/>
    <n v="5"/>
  </r>
  <r>
    <s v="Bug"/>
    <s v="IEU-209"/>
    <x v="1"/>
    <s v="EYP Parser Metotlarında Hatalı Doğrulama Sonucu Dönmesi"/>
    <x v="5"/>
    <e v="#N/A"/>
    <x v="0"/>
    <s v="-"/>
    <s v="Ürün İş Listesi"/>
    <n v="3"/>
  </r>
  <r>
    <s v="Story"/>
    <s v="EFT-2174"/>
    <x v="1"/>
    <s v="“YOLCU BERABER FATURA” Senaryo Kontrolü"/>
    <x v="4"/>
    <e v="#N/A"/>
    <x v="0"/>
    <s v="-"/>
    <s v="Ürün İş Listesi"/>
    <n v="1"/>
  </r>
  <r>
    <s v="Story"/>
    <s v="EFT-2173"/>
    <x v="1"/>
    <s v="“TICARIFATURA” Senaryo Kontrolü"/>
    <x v="4"/>
    <e v="#N/A"/>
    <x v="0"/>
    <s v="-"/>
    <s v="Ürün İş Listesi"/>
    <n v="2"/>
  </r>
  <r>
    <s v="Story"/>
    <s v="EFT-2172"/>
    <x v="1"/>
    <s v="“TEMELFATURA&quot; Senaryo Kontrolü"/>
    <x v="4"/>
    <e v="#N/A"/>
    <x v="0"/>
    <s v="-"/>
    <s v="Ürün İş Listesi"/>
    <n v="2"/>
  </r>
  <r>
    <s v="Story"/>
    <s v="DP-283"/>
    <x v="1"/>
    <s v="Onay işlemleri açılmayan defterin gib kuyruğuna gönderilmesi"/>
    <x v="1"/>
    <e v="#N/A"/>
    <x v="0"/>
    <s v="-"/>
    <s v="Ürün İş Listesi"/>
    <n v="3"/>
  </r>
  <r>
    <s v="Story"/>
    <s v="EDF-764"/>
    <x v="1"/>
    <s v="Yanlış Mühürle İmzalanan Defterin Durumunun Güncellenmesi"/>
    <x v="3"/>
    <e v="#N/A"/>
    <x v="0"/>
    <s v="-"/>
    <s v="Ürün İş Listesi"/>
    <n v="2"/>
  </r>
  <r>
    <s v="Bug"/>
    <s v="EFT-2192"/>
    <x v="1"/>
    <s v="Web Serviste Vergi Oranı Sınırı"/>
    <x v="4"/>
    <e v="#N/A"/>
    <x v="0"/>
    <s v="-"/>
    <s v="Ürün İş Listesi"/>
    <n v="1"/>
  </r>
  <r>
    <s v="Bug"/>
    <s v="EFT-2193"/>
    <x v="1"/>
    <s v="Konnektör Vergi Oranı Sınırı"/>
    <x v="4"/>
    <e v="#N/A"/>
    <x v="0"/>
    <s v="-"/>
    <s v="Ürün İş Listesi"/>
    <n v="1"/>
  </r>
  <r>
    <s v="Story"/>
    <s v="MYS-771"/>
    <x v="1"/>
    <s v="&quot;KEP İleti -&gt; Hatalı Süreçler&quot; Sayfasında Hata Alan İletilere Ait Detay Bilgilerin Gösterilmesi"/>
    <x v="12"/>
    <e v="#N/A"/>
    <x v="0"/>
    <s v="-"/>
    <s v="Ürün İş Listesi"/>
    <n v="3"/>
  </r>
  <r>
    <s v="Bug"/>
    <s v="WIK-678"/>
    <x v="1"/>
    <s v="Kayıt defterinde Modül Adlarının Doğru Yazılması"/>
    <x v="16"/>
    <e v="#N/A"/>
    <x v="0"/>
    <s v="-"/>
    <s v="Ürün İş Listesi"/>
    <n v="1"/>
  </r>
  <r>
    <s v="Bug"/>
    <s v="WIK-675"/>
    <x v="1"/>
    <s v="Dönem/Ay Açılışlarında Geçersiz Ek Dönemlerin Açılması."/>
    <x v="16"/>
    <e v="#N/A"/>
    <x v="0"/>
    <s v="-"/>
    <s v="Ürün İş Listesi"/>
    <n v="2"/>
  </r>
  <r>
    <s v="Story"/>
    <s v="WIK-679"/>
    <x v="1"/>
    <s v="Çalışan Ekle ve Özlük Belgeleri işlemlerinin İşlem Kayıt Defterinde Eklenmesi"/>
    <x v="16"/>
    <e v="#N/A"/>
    <x v="0"/>
    <s v="-"/>
    <s v="Ürün İş Listesi"/>
    <n v="3"/>
  </r>
  <r>
    <s v="Story"/>
    <s v="WIK-676"/>
    <x v="1"/>
    <s v="Çalışan Ekle ve Özlük Belgeleri Kullanıcı Bazlı Silme İşlemlerinin Loglanması"/>
    <x v="16"/>
    <e v="#N/A"/>
    <x v="0"/>
    <s v="-"/>
    <s v="Ürün İş Listesi"/>
    <n v="2"/>
  </r>
  <r>
    <s v="Story"/>
    <s v="WIK-677"/>
    <x v="1"/>
    <s v="Sistem Tarafından Silinen Verinin Loglanması"/>
    <x v="16"/>
    <e v="#N/A"/>
    <x v="0"/>
    <s v="-"/>
    <s v="Ürün İş Listesi"/>
    <n v="2"/>
  </r>
  <r>
    <s v="Story"/>
    <s v="WIK-680"/>
    <x v="1"/>
    <s v="Yeni Açılan Dönem/Ay için Hazır Şablon Oluşturulması ve Atanması"/>
    <x v="16"/>
    <e v="#N/A"/>
    <x v="0"/>
    <s v="-"/>
    <s v="Ürün İş Listesi"/>
    <n v="3"/>
  </r>
  <r>
    <s v="Bug"/>
    <s v="UKDS-157"/>
    <x v="1"/>
    <s v="Firma Ünvanı Uzunluğunun SMS Gönderimini Engellemesi"/>
    <x v="15"/>
    <e v="#N/A"/>
    <x v="0"/>
    <s v="-"/>
    <s v="Ürün İş Listesi"/>
    <n v="2"/>
  </r>
  <r>
    <s v="Story"/>
    <s v="UKDS-155"/>
    <x v="1"/>
    <s v="KİDOS ve CRM için MERSİS Entegrasyonu"/>
    <x v="15"/>
    <e v="#N/A"/>
    <x v="0"/>
    <s v="-"/>
    <s v="Ürün İş Listesi"/>
    <m/>
  </r>
  <r>
    <s v="Story"/>
    <s v="UKDS-144"/>
    <x v="1"/>
    <s v="Raporlama servisine entegrasyon servisi ile birlikte gelen yeni tiplerin eklenmesi"/>
    <x v="15"/>
    <e v="#N/A"/>
    <x v="0"/>
    <s v="-"/>
    <s v="Ürün İş Listesi"/>
    <n v="3"/>
  </r>
  <r>
    <s v="Story"/>
    <s v="UKDS-137"/>
    <x v="1"/>
    <s v="ENTEGRASYON BIREYSEL/KURUMSAL ve Pazarama tipli başvurularda paket gösterimi+seçimi"/>
    <x v="15"/>
    <e v="#N/A"/>
    <x v="0"/>
    <s v="-"/>
    <s v="Ürün İş Listesi"/>
    <n v="13"/>
  </r>
  <r>
    <s v="Story"/>
    <s v="UKDS-117"/>
    <x v="1"/>
    <s v="Entegrasyon UKDS Servis Geliştirmesi"/>
    <x v="15"/>
    <e v="#N/A"/>
    <x v="0"/>
    <s v="-"/>
    <s v="Ürün İş Listesi"/>
    <n v="13"/>
  </r>
  <r>
    <s v="Bug"/>
    <s v="TIM-424"/>
    <x v="1"/>
    <s v="Filtrelemelerde bug fix"/>
    <x v="13"/>
    <e v="#N/A"/>
    <x v="0"/>
    <s v="-"/>
    <s v="Ürün İş Listesi"/>
    <m/>
  </r>
  <r>
    <s v="Bug"/>
    <s v="TIM-421"/>
    <x v="1"/>
    <s v="Mail bildirimi kapalı userların şifre sıfırlama süreci"/>
    <x v="13"/>
    <e v="#N/A"/>
    <x v="0"/>
    <s v="-"/>
    <s v="Ürün İş Listesi"/>
    <n v="8"/>
  </r>
  <r>
    <s v="Bug"/>
    <s v="TIM-415"/>
    <x v="1"/>
    <s v="e-imza ile girişte enter tuşu ile login olma"/>
    <x v="13"/>
    <e v="#N/A"/>
    <x v="0"/>
    <s v="-"/>
    <s v="Ürün İş Listesi"/>
    <n v="3"/>
  </r>
  <r>
    <s v="Bug"/>
    <s v="MU-70"/>
    <x v="1"/>
    <s v="Gelen ve Giden kutularında kayıt tekrarlama sorunu"/>
    <x v="9"/>
    <e v="#N/A"/>
    <x v="0"/>
    <s v="-"/>
    <s v="Ürün İş Listesi"/>
    <n v="3"/>
  </r>
  <r>
    <s v="Story"/>
    <s v="MU-69"/>
    <x v="1"/>
    <s v="e-İmza ile Giriş Özelliğinin Sağlanması "/>
    <x v="9"/>
    <e v="#N/A"/>
    <x v="0"/>
    <s v="-"/>
    <s v="Ürün İş Listesi"/>
    <m/>
  </r>
  <r>
    <s v="Story"/>
    <s v="MU-68"/>
    <x v="0"/>
    <s v="Mobil İmza ile Giriş Özelliğinin Sağlanması"/>
    <x v="9"/>
    <e v="#N/A"/>
    <x v="0"/>
    <s v="-"/>
    <s v="Ürün İş Listesi"/>
    <m/>
  </r>
  <r>
    <s v="Story"/>
    <s v="KEP-289"/>
    <x v="0"/>
    <s v="Webmail Giriş Seçeneğinden Bağımsız Olarak KEP İleti Gönderiminde İstenilen İmzalama Yönetiminin Kullanılması"/>
    <x v="7"/>
    <e v="#N/A"/>
    <x v="0"/>
    <s v="-"/>
    <s v="Ürün İş Listesi"/>
    <m/>
  </r>
  <r>
    <s v="Story"/>
    <s v="EFT-2191"/>
    <x v="0"/>
    <s v="&quot;e-ARŞİV FATURA&quot; Düzenlenme Kontrolü"/>
    <x v="4"/>
    <e v="#N/A"/>
    <x v="0"/>
    <s v="-"/>
    <s v="Ürün İş Listesi"/>
    <m/>
  </r>
  <r>
    <s v="Story"/>
    <s v="EFT-2190"/>
    <x v="0"/>
    <s v="&quot;TEKNOLOJİ DESTEK FATURA TİPİ&quot; Senaryo Kontrolü"/>
    <x v="4"/>
    <e v="#N/A"/>
    <x v="0"/>
    <s v="-"/>
    <s v="Ürün İş Listesi"/>
    <m/>
  </r>
  <r>
    <s v="Story"/>
    <s v="EFT-2189"/>
    <x v="0"/>
    <s v=" &quot;ŞARJ ANLIK FATURA TİPİ&quot; Senaryo Kontrolü"/>
    <x v="4"/>
    <e v="#N/A"/>
    <x v="0"/>
    <s v="-"/>
    <s v="Ürün İş Listesi"/>
    <m/>
  </r>
  <r>
    <s v="Story"/>
    <s v="EFT-2188"/>
    <x v="0"/>
    <s v="&quot;ŞARJ FATURA TİPİ&quot; Senaryo Kontrolü"/>
    <x v="4"/>
    <e v="#N/A"/>
    <x v="0"/>
    <s v="-"/>
    <s v="Ürün İş Listesi"/>
    <m/>
  </r>
  <r>
    <s v="Story"/>
    <s v="EFT-2187"/>
    <x v="0"/>
    <s v="&quot;HAL TİPİ SATIŞ FATURA TİPİ&quot; Senaryo Kontrolü"/>
    <x v="4"/>
    <e v="#N/A"/>
    <x v="0"/>
    <s v="-"/>
    <s v="Ürün İş Listesi"/>
    <m/>
  </r>
  <r>
    <s v="Story"/>
    <s v="EFT-2186"/>
    <x v="0"/>
    <s v="&quot;KONAKLAMA VERGİSİ FATURASI&quot; Senaryo Kontrolü"/>
    <x v="4"/>
    <e v="#N/A"/>
    <x v="0"/>
    <s v="-"/>
    <s v="Ürün İş Listesi"/>
    <m/>
  </r>
  <r>
    <s v="Story"/>
    <s v="EFT-2185"/>
    <x v="0"/>
    <s v="&quot;SGK’YA DÜZENLENECEK FATURA TİPİ&quot; Senaryo Tipi"/>
    <x v="4"/>
    <e v="#N/A"/>
    <x v="0"/>
    <s v="-"/>
    <s v="Ürün İş Listesi"/>
    <m/>
  </r>
  <r>
    <s v="Story"/>
    <s v="EFT-2184"/>
    <x v="0"/>
    <s v=" &quot;İHRAÇ KAYITLI FATURA TİPİ&quot; Senaryo Kontrolü"/>
    <x v="4"/>
    <e v="#N/A"/>
    <x v="0"/>
    <s v="-"/>
    <s v="Ürün İş Listesi"/>
    <m/>
  </r>
  <r>
    <s v="Story"/>
    <s v="EFT-2183"/>
    <x v="0"/>
    <s v="&quot;ÖZEL MATRAHLI FATURA TİPİ&quot; Senaryo Kontrolü"/>
    <x v="4"/>
    <e v="#N/A"/>
    <x v="0"/>
    <s v="-"/>
    <s v="Ürün İş Listesi"/>
    <m/>
  </r>
  <r>
    <s v="Story"/>
    <s v="EFT-2182"/>
    <x v="0"/>
    <s v="&quot;İSTİSNA FATURA TİPİ&quot; Senaryo Kontrolü"/>
    <x v="4"/>
    <e v="#N/A"/>
    <x v="0"/>
    <s v="-"/>
    <s v="Ürün İş Listesi"/>
    <m/>
  </r>
  <r>
    <s v="Story"/>
    <s v="EFT-2181"/>
    <x v="0"/>
    <s v="&quot;TEVKİFATLI İADE FATURA TİPİ&quot; Senaryo Kontrolü"/>
    <x v="4"/>
    <e v="#N/A"/>
    <x v="0"/>
    <s v="-"/>
    <s v="Ürün İş Listesi"/>
    <m/>
  </r>
  <r>
    <s v="Story"/>
    <s v="EFT-2180"/>
    <x v="0"/>
    <s v="&quot;TEVKİFAT FATURA TİPİ&quot; Senaryo Kontrolü"/>
    <x v="4"/>
    <e v="#N/A"/>
    <x v="0"/>
    <s v="-"/>
    <s v="Ürün İş Listesi"/>
    <m/>
  </r>
  <r>
    <s v="Story"/>
    <s v="EFT-2179"/>
    <x v="0"/>
    <s v="&quot;İADE FATURA TİPİ&quot; Senaryo Kontrolü"/>
    <x v="4"/>
    <e v="#N/A"/>
    <x v="0"/>
    <s v="-"/>
    <s v="Ürün İş Listesi"/>
    <m/>
  </r>
  <r>
    <s v="Story"/>
    <s v="EFT-2178"/>
    <x v="1"/>
    <s v="“İLAC_TIBBİCİHAZ” Senaryo Kontrolü"/>
    <x v="4"/>
    <e v="#N/A"/>
    <x v="0"/>
    <s v="-"/>
    <s v="Ürün İş Listesi"/>
    <n v="1"/>
  </r>
  <r>
    <s v="Story"/>
    <s v="EFT-2177"/>
    <x v="1"/>
    <s v="“HAL TİPİ FATURA (HKS)” Senaryo Kontrolü"/>
    <x v="4"/>
    <e v="#N/A"/>
    <x v="0"/>
    <s v="-"/>
    <s v="Ürün İş Listesi"/>
    <n v="1"/>
  </r>
  <r>
    <s v="Story"/>
    <s v="EFT-2176"/>
    <x v="1"/>
    <s v="“KAMU”  Senaryo Kontrolü"/>
    <x v="4"/>
    <e v="#N/A"/>
    <x v="0"/>
    <s v="-"/>
    <s v="Ürün İş Listesi"/>
    <n v="1"/>
  </r>
  <r>
    <s v="Story"/>
    <s v="EFT-2175"/>
    <x v="1"/>
    <s v="“IHRACAT” Senaryo Kontrolü"/>
    <x v="4"/>
    <e v="#N/A"/>
    <x v="0"/>
    <s v="-"/>
    <s v="Ürün İş Listesi"/>
    <n v="1"/>
  </r>
  <r>
    <s v="Story"/>
    <s v="EDF-765"/>
    <x v="2"/>
    <s v="Şematron Kontrolünde Kalan Defterin Aktarım Başarılı Durumuna Çekilmesi"/>
    <x v="3"/>
    <e v="#N/A"/>
    <x v="0"/>
    <s v="-"/>
    <s v="Ürün İş Listesi"/>
    <m/>
  </r>
  <r>
    <s v="Story"/>
    <s v="WIK-686"/>
    <x v="0"/>
    <s v="Bir Çalışan İçin Birden Fazla Sayfa İçeren PDF Yüklendiğinde Tümünün Tek İleti İle Gönderilebilmesi"/>
    <x v="16"/>
    <e v="#N/A"/>
    <x v="0"/>
    <s v="-"/>
    <s v="Ürün İş Listesi"/>
    <m/>
  </r>
  <r>
    <s v="Story"/>
    <s v="WIK-685"/>
    <x v="1"/>
    <s v="Özlük Belgeleri Yüklemeyi Tamamlayan Kişinin Sonuç Ekranına Yönlendirilmesi"/>
    <x v="16"/>
    <e v="#N/A"/>
    <x v="0"/>
    <s v="-"/>
    <s v="Ürün İş Listesi"/>
    <n v="1"/>
  </r>
  <r>
    <s v="Bug"/>
    <s v="WIK-581"/>
    <x v="1"/>
    <s v="Çalışanlar modülünde başarısız duyuru gönderim gösterimi"/>
    <x v="16"/>
    <e v="#N/A"/>
    <x v="0"/>
    <s v="-"/>
    <s v="Ürün İş Listesi"/>
    <m/>
  </r>
  <r>
    <s v="Story"/>
    <s v="WIK-533"/>
    <x v="1"/>
    <s v="CRM servis metotları reponse body düzenlemesi"/>
    <x v="16"/>
    <e v="#N/A"/>
    <x v="0"/>
    <s v="-"/>
    <s v="Ürün İş Listesi"/>
    <m/>
  </r>
  <r>
    <s v="Bug"/>
    <s v="WIK-524"/>
    <x v="1"/>
    <s v="İmzalamada çıkan progress bar yazısı"/>
    <x v="16"/>
    <e v="#N/A"/>
    <x v="0"/>
    <s v="-"/>
    <s v="Ürün İş Listesi"/>
    <m/>
  </r>
  <r>
    <s v="Story"/>
    <s v="WIK-513"/>
    <x v="1"/>
    <s v="İK gönderim dönemlerinin yüklenmesi konusunda iyileştirme çalışması"/>
    <x v="16"/>
    <e v="#N/A"/>
    <x v="0"/>
    <s v="-"/>
    <s v="Ürün İş Listesi"/>
    <m/>
  </r>
  <r>
    <s v="Story"/>
    <s v="WIK-510"/>
    <x v="1"/>
    <s v="CRM metotları için yeni servis geliştirmesi "/>
    <x v="16"/>
    <e v="#N/A"/>
    <x v="0"/>
    <s v="-"/>
    <s v="Ürün İş Listesi"/>
    <m/>
  </r>
  <r>
    <s v="Story"/>
    <s v="WIK-507"/>
    <x v="1"/>
    <s v="Onay/Ret modül düzenlemesi"/>
    <x v="16"/>
    <e v="#N/A"/>
    <x v="0"/>
    <s v="-"/>
    <s v="Ürün İş Listesi"/>
    <m/>
  </r>
  <r>
    <s v="Story"/>
    <s v="UKDS-160"/>
    <x v="1"/>
    <s v="UKDS Süreçlerinde BTK Onayında Bekleyen Kaydın İptal Edilebilmesi"/>
    <x v="15"/>
    <e v="#N/A"/>
    <x v="0"/>
    <s v="-"/>
    <s v="Ürün İş Listesi"/>
    <n v="5"/>
  </r>
  <r>
    <s v="Story"/>
    <s v="UKDS-159"/>
    <x v="1"/>
    <s v="E posta Domain Değişikliği"/>
    <x v="15"/>
    <e v="#N/A"/>
    <x v="0"/>
    <s v="-"/>
    <s v="Ürün İş Listesi"/>
    <m/>
  </r>
  <r>
    <s v="Story"/>
    <s v="UKDS-120"/>
    <x v="1"/>
    <s v="Çalışan listesindeki pasif çalışanın &quot;Çalışan Ekle&quot; modülü uyarı popup geliştirmesi"/>
    <x v="15"/>
    <e v="#N/A"/>
    <x v="0"/>
    <s v="-"/>
    <s v="Ürün İş Listesi"/>
    <m/>
  </r>
  <r>
    <s v="Story"/>
    <s v="UKDS-118"/>
    <x v="1"/>
    <s v="Raporlama servisi için KEP İK başvurularında kep adresi bilgisinin de tutulması"/>
    <x v="15"/>
    <e v="#N/A"/>
    <x v="0"/>
    <s v="-"/>
    <s v="Ürün İş Listesi"/>
    <m/>
  </r>
  <r>
    <s v="Story"/>
    <s v="UKDS-57"/>
    <x v="1"/>
    <s v="Mobil tarayıcı pop-up düzenlemesi"/>
    <x v="15"/>
    <e v="#N/A"/>
    <x v="0"/>
    <s v="-"/>
    <s v="Ürün İş Listesi"/>
    <m/>
  </r>
  <r>
    <s v="Story"/>
    <s v="UKDS-54"/>
    <x v="1"/>
    <s v="Mobil uygulama üzerinden erişim için uuid bilgisi listeleme metot geliştirmesi"/>
    <x v="15"/>
    <e v="#N/A"/>
    <x v="0"/>
    <s v="-"/>
    <s v="Ürün İş Listesi"/>
    <m/>
  </r>
  <r>
    <s v="Story"/>
    <s v="UKDS-50"/>
    <x v="1"/>
    <s v="Pazarlama biriminden talep edilen ön yüz tasarımı için geliştirmeler"/>
    <x v="15"/>
    <e v="#N/A"/>
    <x v="0"/>
    <s v="-"/>
    <s v="Ürün İş Listesi"/>
    <m/>
  </r>
  <r>
    <s v="Story"/>
    <s v="UKDS-49"/>
    <x v="1"/>
    <s v="İletişim bilgileri ekranı düzenlemesi"/>
    <x v="15"/>
    <e v="#N/A"/>
    <x v="0"/>
    <s v="-"/>
    <s v="Ürün İş Listesi"/>
    <m/>
  </r>
  <r>
    <s v="Story"/>
    <s v="UEP-13"/>
    <x v="1"/>
    <s v="UEP - Bitiş tarihinin PTT response bodysinden alınması"/>
    <x v="14"/>
    <e v="#N/A"/>
    <x v="0"/>
    <s v="-"/>
    <s v="Ürün İş Listesi"/>
    <m/>
  </r>
  <r>
    <s v="Story"/>
    <s v="UEP-11"/>
    <x v="1"/>
    <s v="UEP - Türkkep logosunun güncellenmesi"/>
    <x v="14"/>
    <e v="#N/A"/>
    <x v="0"/>
    <s v="-"/>
    <s v="Ürün İş Listesi"/>
    <m/>
  </r>
  <r>
    <s v="Story"/>
    <s v="UEP-9"/>
    <x v="1"/>
    <s v="UEP - Yenileme yapılmayan hesaplar için kontrol geliştirmesi"/>
    <x v="14"/>
    <e v="#N/A"/>
    <x v="0"/>
    <s v="-"/>
    <s v="Ürün İş Listesi"/>
    <m/>
  </r>
  <r>
    <s v="Story"/>
    <s v="UEP-5"/>
    <x v="1"/>
    <s v="UEP - Alıcı Referans bilgisinin kaydedilmesi"/>
    <x v="14"/>
    <e v="#N/A"/>
    <x v="0"/>
    <s v="-"/>
    <s v="Ürün İş Listesi"/>
    <m/>
  </r>
  <r>
    <s v="Story"/>
    <s v="UEP-4"/>
    <x v="1"/>
    <s v="UEP - Jenkins'in UETS Portal entegresi"/>
    <x v="14"/>
    <e v="#N/A"/>
    <x v="0"/>
    <s v="-"/>
    <s v="Ürün İş Listesi"/>
    <m/>
  </r>
  <r>
    <s v="Story"/>
    <s v="UEP-3"/>
    <x v="1"/>
    <s v="UEP - UETS API Anahtarı Yenileme Geliştirmesi"/>
    <x v="14"/>
    <e v="#N/A"/>
    <x v="0"/>
    <s v="-"/>
    <s v="Ürün İş Listesi"/>
    <m/>
  </r>
  <r>
    <s v="Story"/>
    <s v="UEP-2"/>
    <x v="1"/>
    <s v="UEP - UETS başvuru portal önyüz geliştirmesi"/>
    <x v="14"/>
    <e v="#N/A"/>
    <x v="0"/>
    <s v="-"/>
    <s v="Ürün İş Listesi"/>
    <m/>
  </r>
  <r>
    <s v="Story"/>
    <s v="UEP-1"/>
    <x v="1"/>
    <s v="UEP - UETS başvuru portal servis geliştirmesi"/>
    <x v="14"/>
    <e v="#N/A"/>
    <x v="0"/>
    <s v="-"/>
    <s v="Ürün İş Listesi"/>
    <m/>
  </r>
  <r>
    <s v="Story"/>
    <s v="TIM-448"/>
    <x v="1"/>
    <s v="E posta Domain Değişikliği"/>
    <x v="13"/>
    <e v="#N/A"/>
    <x v="0"/>
    <s v="-"/>
    <s v="Ürün İş Listesi"/>
    <m/>
  </r>
  <r>
    <s v="Bug"/>
    <s v="MU-75"/>
    <x v="1"/>
    <s v="Teslim edilemeyen iletinin giden iletiye ait delil detayında teslim edildi olarak görünmesi"/>
    <x v="9"/>
    <e v="#N/A"/>
    <x v="0"/>
    <s v="-"/>
    <s v="Ürün İş Listesi"/>
    <n v="3"/>
  </r>
  <r>
    <s v="Bug"/>
    <s v="MU-74"/>
    <x v="1"/>
    <s v="Bildirim Servisi Hata Düzenlemeleri"/>
    <x v="9"/>
    <e v="#N/A"/>
    <x v="0"/>
    <s v="-"/>
    <s v="Ürün İş Listesi"/>
    <n v="3"/>
  </r>
  <r>
    <s v="Bug"/>
    <s v="MU-71"/>
    <x v="1"/>
    <s v="Bildirimler Ekranı Düzenlemeleri"/>
    <x v="9"/>
    <e v="#N/A"/>
    <x v="0"/>
    <s v="-"/>
    <s v="Ürün İş Listesi"/>
    <n v="3"/>
  </r>
  <r>
    <s v="Story"/>
    <s v="KEP-295"/>
    <x v="0"/>
    <s v="Görme Yetkisinin Düzenlenmesi"/>
    <x v="7"/>
    <e v="#N/A"/>
    <x v="0"/>
    <s v="-"/>
    <s v="Ürün İş Listesi"/>
    <m/>
  </r>
  <r>
    <s v="Story"/>
    <s v="KEP-294"/>
    <x v="1"/>
    <s v="Rehber Servis Güncellemesi"/>
    <x v="7"/>
    <e v="#N/A"/>
    <x v="0"/>
    <s v="-"/>
    <s v="Ürün İş Listesi"/>
    <m/>
  </r>
  <r>
    <s v="Story"/>
    <s v="KEP-293"/>
    <x v="0"/>
    <s v="Rehber Sorgulamalarında Kuyruk/Sorgu Çoklama"/>
    <x v="7"/>
    <e v="#N/A"/>
    <x v="0"/>
    <s v="-"/>
    <s v="Ürün İş Listesi"/>
    <m/>
  </r>
  <r>
    <s v="Story"/>
    <s v="KEP-292"/>
    <x v="1"/>
    <s v="UETS bildirimlerinin logunun tutulması ve log kayıtlarının kolay erişilebilir yapıda tutulması"/>
    <x v="7"/>
    <e v="#N/A"/>
    <x v="0"/>
    <s v="-"/>
    <s v="Ürün İş Listesi"/>
    <m/>
  </r>
  <r>
    <s v="Story"/>
    <s v="KEP-291"/>
    <x v="1"/>
    <s v="IMAP Sunucu Değişikliği "/>
    <x v="7"/>
    <e v="#N/A"/>
    <x v="0"/>
    <s v="-"/>
    <s v="Ürün İş Listesi"/>
    <m/>
  </r>
  <r>
    <s v="Story"/>
    <s v="KEP-290"/>
    <x v="0"/>
    <s v="Webmail Posta Kutuları Altında Klasör Oluşturulabilmesi"/>
    <x v="7"/>
    <e v="#N/A"/>
    <x v="0"/>
    <s v="-"/>
    <s v="Ürün İş Listesi"/>
    <m/>
  </r>
  <r>
    <s v="Bug"/>
    <s v="IEU-213"/>
    <x v="1"/>
    <s v="Crg Service 404 not found hatası - test ortamı"/>
    <x v="17"/>
    <e v="#N/A"/>
    <x v="0"/>
    <s v="-"/>
    <s v="Ürün İş Listesi"/>
    <n v="3"/>
  </r>
  <r>
    <s v="Story"/>
    <s v="IEU-143"/>
    <x v="1"/>
    <s v="Güvenlik Bulguları Hk."/>
    <x v="17"/>
    <e v="#N/A"/>
    <x v="0"/>
    <s v="-"/>
    <s v="Ürün İş Listesi"/>
    <m/>
  </r>
  <r>
    <s v="Story"/>
    <s v="IEU-141"/>
    <x v="1"/>
    <s v="MKR Modülü için kota tanımlamaları"/>
    <x v="17"/>
    <e v="#N/A"/>
    <x v="0"/>
    <s v="-"/>
    <s v="Ürün İş Listesi"/>
    <m/>
  </r>
  <r>
    <s v="Story"/>
    <s v="EFT-2199"/>
    <x v="1"/>
    <s v="Nihai Tüketici Kontrolü "/>
    <x v="4"/>
    <e v="#N/A"/>
    <x v="0"/>
    <s v="-"/>
    <s v="Ürün İş Listesi"/>
    <n v="2"/>
  </r>
  <r>
    <s v="Bug"/>
    <s v="EFT-2198"/>
    <x v="1"/>
    <s v="Portal/ SGK Tipi Faturalarda &quot;Aracı Kurum&quot; Alanının Kaldırılması"/>
    <x v="4"/>
    <e v="#N/A"/>
    <x v="0"/>
    <s v="-"/>
    <s v="Ürün İş Listesi"/>
    <n v="1"/>
  </r>
  <r>
    <s v="Story"/>
    <s v="EDF-767"/>
    <x v="1"/>
    <s v="Muvakatname İşlemleri"/>
    <x v="3"/>
    <e v="#N/A"/>
    <x v="0"/>
    <s v="-"/>
    <s v="Ürün İş Listesi"/>
    <n v="5"/>
  </r>
  <r>
    <s v="Story"/>
    <s v="DS-12"/>
    <x v="1"/>
    <s v="DETSİS - İsimle kurum arama zorunlu karakter sayısı değişikliği"/>
    <x v="2"/>
    <e v="#N/A"/>
    <x v="0"/>
    <s v="-"/>
    <s v="Ürün İş Listesi"/>
    <m/>
  </r>
  <r>
    <s v="Story"/>
    <s v="DS-11"/>
    <x v="1"/>
    <s v="DETSİS - KEP Asistan uygulaması için kullanıcı tanımlanması"/>
    <x v="2"/>
    <e v="#N/A"/>
    <x v="0"/>
    <s v="-"/>
    <s v="Ürün İş Listesi"/>
    <m/>
  </r>
  <r>
    <s v="Story"/>
    <s v="DS-9"/>
    <x v="1"/>
    <s v="DETSİS - Detsis test servis erişim ayarlamaları"/>
    <x v="2"/>
    <e v="#N/A"/>
    <x v="0"/>
    <s v="-"/>
    <s v="Ürün İş Listesi"/>
    <m/>
  </r>
  <r>
    <s v="Story"/>
    <s v="DS-8"/>
    <x v="1"/>
    <s v="DETSİS servis - KEP Assist erişim tanımlaması"/>
    <x v="2"/>
    <e v="#N/A"/>
    <x v="0"/>
    <s v="-"/>
    <s v="Ürün İş Listesi"/>
    <m/>
  </r>
  <r>
    <s v="Story"/>
    <s v="DS-7"/>
    <x v="1"/>
    <s v="DETSİS - Servis domain adı tanımlanması"/>
    <x v="2"/>
    <e v="#N/A"/>
    <x v="0"/>
    <s v="-"/>
    <s v="Ürün İş Listesi"/>
    <m/>
  </r>
  <r>
    <s v="Story"/>
    <s v="DS-4"/>
    <x v="1"/>
    <s v="DETSİS servis projesinin düzenlenmesi ve canlıya aktarımı"/>
    <x v="2"/>
    <e v="#N/A"/>
    <x v="0"/>
    <s v="-"/>
    <s v="Ürün İş Listesi"/>
    <m/>
  </r>
  <r>
    <s v="Story"/>
    <s v="DS-3"/>
    <x v="1"/>
    <s v="DETSİS - Rest Servis Geliştirilmesi"/>
    <x v="2"/>
    <e v="#N/A"/>
    <x v="0"/>
    <s v="-"/>
    <s v="Ürün İş Listesi"/>
    <m/>
  </r>
  <r>
    <s v="Story"/>
    <s v="DS-2"/>
    <x v="1"/>
    <s v="DETSİS - Veri Tabanının Oluşturulması"/>
    <x v="2"/>
    <e v="#N/A"/>
    <x v="0"/>
    <s v="-"/>
    <s v="Ürün İş Listesi"/>
    <m/>
  </r>
  <r>
    <s v="Story"/>
    <s v="DAVS-31"/>
    <x v="1"/>
    <s v="Yazılım Alt Yapının Hazırlanması"/>
    <x v="18"/>
    <e v="#N/A"/>
    <x v="0"/>
    <s v="-"/>
    <s v="Ürün İş Listesi"/>
    <m/>
  </r>
  <r>
    <s v="Story"/>
    <s v="DAVS-30"/>
    <x v="1"/>
    <s v="Yazılım Geliştirme Ortamının Belirlenmesi"/>
    <x v="18"/>
    <e v="#N/A"/>
    <x v="0"/>
    <s v="-"/>
    <s v="Ürün İş Listesi"/>
    <m/>
  </r>
  <r>
    <s v="Story"/>
    <s v="DAVS-29"/>
    <x v="1"/>
    <s v="Yazılım Alt Yapısının Belirlenmesi"/>
    <x v="18"/>
    <e v="#N/A"/>
    <x v="0"/>
    <s v="-"/>
    <s v="Ürün İş Listesi"/>
    <m/>
  </r>
  <r>
    <s v="Story"/>
    <s v="DAVS-28"/>
    <x v="1"/>
    <s v="Kullanıcı Arayüz Tasarımın Oluşturulması"/>
    <x v="18"/>
    <e v="#N/A"/>
    <x v="0"/>
    <s v="-"/>
    <s v="Ürün İş Listesi"/>
    <m/>
  </r>
  <r>
    <s v="Story"/>
    <s v="DAVS-27"/>
    <x v="1"/>
    <s v="Webservis Tasarımın Oluşturulması"/>
    <x v="18"/>
    <e v="#N/A"/>
    <x v="0"/>
    <s v="-"/>
    <s v="Ürün İş Listesi"/>
    <m/>
  </r>
  <r>
    <s v="Story"/>
    <s v="DAVS-26"/>
    <x v="1"/>
    <s v="Veritabanı Tasarımın Oluşturulması"/>
    <x v="18"/>
    <e v="#N/A"/>
    <x v="0"/>
    <s v="-"/>
    <s v="Ürün İş Listesi"/>
    <m/>
  </r>
  <r>
    <s v="Story"/>
    <s v="DAVS-25"/>
    <x v="1"/>
    <s v="Mimari Tasarımın Oluşturulması"/>
    <x v="18"/>
    <e v="#N/A"/>
    <x v="0"/>
    <s v="-"/>
    <s v="Ürün İş Listesi"/>
    <m/>
  </r>
  <r>
    <s v="Story"/>
    <s v="CRM-639"/>
    <x v="5"/>
    <s v="KEP İK Kullanıcı Yönetim Modülü Entegrasyonu"/>
    <x v="0"/>
    <s v="In Test"/>
    <x v="1"/>
    <s v="Gelecek Sprint"/>
    <s v="Devam Eden ve Gelecek Sprint"/>
    <n v="5"/>
  </r>
  <r>
    <s v="Story"/>
    <s v="CRM-638"/>
    <x v="1"/>
    <s v="Entegrasyon üzerinden gelen başvuruların statü güncellenmesi"/>
    <x v="0"/>
    <e v="#N/A"/>
    <x v="0"/>
    <s v="-"/>
    <s v="Ürün İş Listesi"/>
    <n v="3"/>
  </r>
  <r>
    <s v="Story"/>
    <s v="CRM-637"/>
    <x v="6"/>
    <s v="Entegrasyon servisinden KEP hesap başvurusunun iptal edilmesi"/>
    <x v="0"/>
    <e v="#N/A"/>
    <x v="0"/>
    <s v="-"/>
    <s v="Ürün İş Listesi"/>
    <n v="3"/>
  </r>
  <r>
    <s v="Story"/>
    <s v="CRM-636"/>
    <x v="6"/>
    <s v="KEP İK Özlük Modülü CRM Entegrasyonu"/>
    <x v="0"/>
    <e v="#N/A"/>
    <x v="0"/>
    <s v="-"/>
    <s v="Ürün İş Listesi"/>
    <n v="5"/>
  </r>
  <r>
    <s v="Story"/>
    <s v="CRM-633"/>
    <x v="1"/>
    <s v="E-Ödeme için Tutar alanının güncellenmesi"/>
    <x v="0"/>
    <e v="#N/A"/>
    <x v="0"/>
    <s v="-"/>
    <s v="Ürün İş Listesi"/>
    <n v="2"/>
  </r>
  <r>
    <s v="Bug"/>
    <s v="CRM-632"/>
    <x v="1"/>
    <s v="Sipariş detayında aktif temsilci bilgisi gelmemesi"/>
    <x v="0"/>
    <e v="#N/A"/>
    <x v="0"/>
    <s v="-"/>
    <s v="Ürün İş Listesi"/>
    <n v="1"/>
  </r>
  <r>
    <s v="Story"/>
    <s v="IEU-218"/>
    <x v="1"/>
    <s v="HSM ile İmzalama Metotlarında Slot Bilgisinin Parametre Olarak Eklenmesi  "/>
    <x v="5"/>
    <e v="#N/A"/>
    <x v="0"/>
    <s v="-"/>
    <s v="Ürün İş Listesi"/>
    <n v="5"/>
  </r>
  <r>
    <s v="Story"/>
    <s v="IEU-217"/>
    <x v="1"/>
    <s v="HSM Üzerinde Tanımlı Olan Sertifikaları Listeleyen token Metodu Geliştirmesi"/>
    <x v="5"/>
    <e v="#N/A"/>
    <x v="0"/>
    <s v="-"/>
    <s v="Ürün İş Listesi"/>
    <n v="3"/>
  </r>
  <r>
    <s v="Story"/>
    <s v="MYS-776"/>
    <x v="1"/>
    <s v="Güncelleme Paketi Hazırlanması"/>
    <x v="12"/>
    <e v="#N/A"/>
    <x v="0"/>
    <s v="-"/>
    <s v="Ürün İş Listesi"/>
    <n v="2"/>
  </r>
  <r>
    <s v="Story"/>
    <s v="MU-101"/>
    <x v="1"/>
    <s v="KEP İmzalama Adımında Telefon Numarası Girişinin Pratik Hale Getirilmesi"/>
    <x v="9"/>
    <e v="#N/A"/>
    <x v="0"/>
    <s v="-"/>
    <s v="Ürün İş Listesi"/>
    <n v="5"/>
  </r>
  <r>
    <s v="Story"/>
    <s v="MU-100"/>
    <x v="0"/>
    <s v="Giden Kutusunda “Teslim Edilemedi” ve “Reddedildi” Delil Türleri İçin Sebep Açıklaması Gösterimi"/>
    <x v="9"/>
    <e v="#N/A"/>
    <x v="0"/>
    <s v="-"/>
    <s v="Ürün İş Listesi"/>
    <m/>
  </r>
  <r>
    <s v="Story"/>
    <s v="MU-99"/>
    <x v="1"/>
    <s v="Posta Kutularında Kaydırma Konumunu Gösteren Scroll Çubuğu Eklenmesi"/>
    <x v="9"/>
    <e v="#N/A"/>
    <x v="0"/>
    <s v="-"/>
    <s v="Ürün İş Listesi"/>
    <n v="3"/>
  </r>
  <r>
    <s v="Story"/>
    <s v="MU-98"/>
    <x v="1"/>
    <s v="Uygulama Genelindeki Diyalog (Pop-up) Tasarımlarının Modernize Edilmesi"/>
    <x v="9"/>
    <e v="#N/A"/>
    <x v="0"/>
    <s v="-"/>
    <s v="Ürün İş Listesi"/>
    <n v="5"/>
  </r>
  <r>
    <s v="Story"/>
    <s v="MU-97"/>
    <x v="1"/>
    <s v="Login Ekranında KEP Adresi Listeleme Alanının Modernize Edilmesi"/>
    <x v="9"/>
    <e v="#N/A"/>
    <x v="0"/>
    <s v="-"/>
    <s v="Ürün İş Listesi"/>
    <n v="3"/>
  </r>
  <r>
    <s v="Story"/>
    <s v="MU-96"/>
    <x v="1"/>
    <s v="Ek Dosya Açılış Sürecinde Kullanıcıya Yönelik Geri Bildirim Eksikliği"/>
    <x v="9"/>
    <e v="#N/A"/>
    <x v="0"/>
    <s v="-"/>
    <s v="Ürün İş Listesi"/>
    <n v="3"/>
  </r>
  <r>
    <s v="Story"/>
    <s v="MU-95"/>
    <x v="0"/>
    <s v="Yüksek Boyutlu İletilerinin Açılma Süresinin İyileştirilmesi"/>
    <x v="9"/>
    <e v="#N/A"/>
    <x v="0"/>
    <s v="-"/>
    <s v="Ürün İş Listesi"/>
    <n v="5"/>
  </r>
  <r>
    <s v="Bug"/>
    <s v="MU-94"/>
    <x v="1"/>
    <s v="rem-address-is-active metodunda sender Parametresinin Tutarsız Değer Döndürmesi "/>
    <x v="9"/>
    <e v="#N/A"/>
    <x v="0"/>
    <s v="-"/>
    <s v="Ürün İş Listesi"/>
    <n v="3"/>
  </r>
  <r>
    <s v="Bug"/>
    <s v="MU-93"/>
    <x v="1"/>
    <s v="Biometrik Doğrulama ile Giriş Süresinin Artması (v2.0.15 (1) Paketi)"/>
    <x v="9"/>
    <e v="#N/A"/>
    <x v="0"/>
    <s v="-"/>
    <s v="Ürün İş Listesi"/>
    <n v="3"/>
  </r>
  <r>
    <s v="Bug"/>
    <s v="MU-92"/>
    <x v="1"/>
    <s v="Manuel Açılan Posta Kutularının Görüntülenme ve İsimlendirme Sorunu"/>
    <x v="9"/>
    <e v="#N/A"/>
    <x v="0"/>
    <s v="-"/>
    <s v="Ürün İş Listesi"/>
    <n v="3"/>
  </r>
  <r>
    <s v="Bug"/>
    <s v="MU-91"/>
    <x v="1"/>
    <s v="Uyarı Diyaloglarındaki Yönlendirme Hatalarının Düzenlenmesi"/>
    <x v="9"/>
    <e v="#N/A"/>
    <x v="0"/>
    <s v="-"/>
    <s v="Ürün İş Listesi"/>
    <n v="2"/>
  </r>
  <r>
    <s v="Bug"/>
    <s v="MU-90"/>
    <x v="1"/>
    <s v="Hatalı Geçici Parola Girişi Durumunda Yanıltıcı Uyarı Mesajı Gösterimi"/>
    <x v="9"/>
    <e v="#N/A"/>
    <x v="0"/>
    <s v="-"/>
    <s v="Ürün İş Listesi"/>
    <n v="1"/>
  </r>
  <r>
    <s v="Story"/>
    <s v="MU-89"/>
    <x v="0"/>
    <s v="Merkezi KEP Rehberi Sorgulamasının Yapılması"/>
    <x v="9"/>
    <e v="#N/A"/>
    <x v="0"/>
    <s v="-"/>
    <s v="Ürün İş Listesi"/>
    <m/>
  </r>
  <r>
    <s v="Bug"/>
    <s v="MU-88"/>
    <x v="1"/>
    <s v="Alt Menüdeki 'Gelen Kutusu' ve 'Giden Kutusu' Butonlarına Çoklu Tıklama Sorunu"/>
    <x v="9"/>
    <e v="#N/A"/>
    <x v="0"/>
    <s v="-"/>
    <s v="Ürün İş Listesi"/>
    <n v="2"/>
  </r>
  <r>
    <s v="Bug"/>
    <s v="MU-87"/>
    <x v="1"/>
    <s v="Posta Kutusu Görüntüleme Sonrası Liste Konumunun Korunması"/>
    <x v="9"/>
    <e v="#N/A"/>
    <x v="0"/>
    <s v="-"/>
    <s v="Ürün İş Listesi"/>
    <n v="3"/>
  </r>
  <r>
    <s v="Story"/>
    <s v="MU-86"/>
    <x v="0"/>
    <s v="Webmail Adres Defterinin Mobil Uygulamada Eşzamanlı Kullanılması"/>
    <x v="9"/>
    <e v="#N/A"/>
    <x v="0"/>
    <s v="-"/>
    <s v="Ürün İş Listesi"/>
    <m/>
  </r>
  <r>
    <s v="Story"/>
    <s v="MU-85"/>
    <x v="0"/>
    <s v="Posta Kutularındaki İletiler İçin &quot;Yanıtla&quot;, &quot;İlet&quot; ve &quot;Sil&quot; İşlevlerinin Sağlanması "/>
    <x v="9"/>
    <e v="#N/A"/>
    <x v="0"/>
    <s v="-"/>
    <s v="Ürün İş Listesi"/>
    <m/>
  </r>
  <r>
    <s v="Bug"/>
    <s v="MU-84"/>
    <x v="1"/>
    <s v="Hatalı TCKN veya Şifre Girişinde Kullanıcı Uyarısının Güncellenmesi"/>
    <x v="9"/>
    <e v="#N/A"/>
    <x v="0"/>
    <s v="-"/>
    <s v="Ürün İş Listesi"/>
    <n v="1"/>
  </r>
  <r>
    <s v="Bug"/>
    <s v="MU-83"/>
    <x v="1"/>
    <s v="KEP Gönderim Ekranında İletinin Gönderimi Sırasında Paket İçeriğine Müdahalenin Engellenmesi"/>
    <x v="9"/>
    <e v="#N/A"/>
    <x v="0"/>
    <s v="-"/>
    <s v="Ürün İş Listesi"/>
    <n v="3"/>
  </r>
  <r>
    <s v="Bug"/>
    <s v="MU-82"/>
    <x v="1"/>
    <s v="KEP Başvuru Girişi Sonrası Ana Sayfaya Dönüş Sorununun Giderilmesi"/>
    <x v="9"/>
    <e v="#N/A"/>
    <x v="0"/>
    <s v="-"/>
    <s v="Ürün İş Listesi"/>
    <n v="1"/>
  </r>
  <r>
    <s v="Story"/>
    <s v="MU-81"/>
    <x v="1"/>
    <s v="KEP İletisi Gönderim Ekranında Alıcı Adresi Doğrulama Kontrolü"/>
    <x v="9"/>
    <e v="#N/A"/>
    <x v="0"/>
    <s v="-"/>
    <s v="Ürün İş Listesi"/>
    <n v="3"/>
  </r>
  <r>
    <s v="Bug"/>
    <s v="MU-80"/>
    <x v="1"/>
    <s v="İleti Arama Filtreleme Arayüzü Düzenlemesi"/>
    <x v="9"/>
    <e v="#N/A"/>
    <x v="0"/>
    <s v="-"/>
    <s v="Ürün İş Listesi"/>
    <n v="5"/>
  </r>
  <r>
    <s v="Bug"/>
    <s v="MU-78"/>
    <x v="1"/>
    <s v="Şifre sıfırlama sonrası giriş ekranında etkileşim problemi"/>
    <x v="9"/>
    <e v="#N/A"/>
    <x v="0"/>
    <s v="-"/>
    <s v="Ürün İş Listesi"/>
    <n v="3"/>
  </r>
  <r>
    <s v="Bug"/>
    <s v="MU-77"/>
    <x v="1"/>
    <s v="Canlı ve Test Ortamında Ulaşılamayan Mobil Servislerin Erişilebilirliğinin Sağlanması"/>
    <x v="9"/>
    <e v="#N/A"/>
    <x v="0"/>
    <s v="-"/>
    <s v="Ürün İş Listesi"/>
    <m/>
  </r>
  <r>
    <s v="Bug"/>
    <s v="MU-76"/>
    <x v="1"/>
    <s v="Giden Kutusundan Görüntülenen Mesajlarda 'Geri' Tuşunun Yanlış Ekrana Yönlendirmesi"/>
    <x v="9"/>
    <e v="#N/A"/>
    <x v="0"/>
    <s v="-"/>
    <s v="Ürün İş Listesi"/>
    <m/>
  </r>
  <r>
    <s v="Bug"/>
    <s v="MU-73"/>
    <x v="1"/>
    <s v="Posta Kutuları Tasarımsal Düzenleme Hk."/>
    <x v="9"/>
    <e v="#N/A"/>
    <x v="0"/>
    <s v="-"/>
    <s v="Ürün İş Listesi"/>
    <m/>
  </r>
  <r>
    <s v="Story"/>
    <s v="KEP-299"/>
    <x v="1"/>
    <s v="/ws/evidencelistbyorigmsgid Metodunda Tarih Bilgisinin Dönülmesi"/>
    <x v="7"/>
    <e v="#N/A"/>
    <x v="0"/>
    <s v="-"/>
    <s v="Ürün İş Listesi"/>
    <m/>
  </r>
  <r>
    <s v="Story"/>
    <s v="KEP-298"/>
    <x v="1"/>
    <s v="Hesapta Tanımlı Olandan Farklı Bir Telefon Numarası ile Mobil İmzalama Yapılabilmesi "/>
    <x v="7"/>
    <e v="#N/A"/>
    <x v="0"/>
    <s v="-"/>
    <s v="Ürün İş Listesi"/>
    <m/>
  </r>
  <r>
    <s v="Story"/>
    <s v="KEP-296"/>
    <x v="0"/>
    <s v="MKR Sorgusunda Bulunamayan KEP Adresleri için Anlaşılır Uyarı Gösterilmesi"/>
    <x v="7"/>
    <e v="#N/A"/>
    <x v="0"/>
    <s v="-"/>
    <s v="Ürün İş Listesi"/>
    <m/>
  </r>
  <r>
    <s v="Story"/>
    <s v="DAVS-35"/>
    <x v="0"/>
    <s v="Sisteme Giriş Loglarının Tutulması"/>
    <x v="18"/>
    <e v="#N/A"/>
    <x v="0"/>
    <s v="-"/>
    <s v="Ürün İş Listesi"/>
    <m/>
  </r>
  <r>
    <s v="Story"/>
    <s v="DAVS-34"/>
    <x v="1"/>
    <s v="Alternatif Giriş Yöntemleri/ Elektronik İmza "/>
    <x v="18"/>
    <e v="#N/A"/>
    <x v="0"/>
    <s v="-"/>
    <s v="Ürün İş Listesi"/>
    <m/>
  </r>
  <r>
    <s v="Story"/>
    <s v="DAVS-33"/>
    <x v="0"/>
    <s v="Alternatif Giriş Yöntemleri/Mobil İmza"/>
    <x v="18"/>
    <e v="#N/A"/>
    <x v="0"/>
    <s v="-"/>
    <s v="Ürün İş Listesi"/>
    <m/>
  </r>
  <r>
    <s v="Story"/>
    <s v="DAVS-32"/>
    <x v="1"/>
    <s v="Kullanıcıların e-Posta/ TCKN ve Parola Bilgisi ile Portala Giriş Yapabilmesi."/>
    <x v="18"/>
    <e v="#N/A"/>
    <x v="0"/>
    <s v="-"/>
    <s v="Ürün İş Listesi"/>
    <m/>
  </r>
  <r>
    <s v="Story"/>
    <s v="CRM-642"/>
    <x v="1"/>
    <s v="Entegrasyon Suit trafik bilgilerinin kaydedilmesi"/>
    <x v="0"/>
    <e v="#N/A"/>
    <x v="0"/>
    <s v="-"/>
    <s v="Ürün İş Listesi"/>
    <n v="3"/>
  </r>
  <r>
    <s v="Story"/>
    <s v="EFT-2208"/>
    <x v="1"/>
    <s v="SAP - Gelen İrsaliyeleri İndir (UUID) Metodunun Sağlanması"/>
    <x v="4"/>
    <e v="#N/A"/>
    <x v="0"/>
    <s v="-"/>
    <s v="Ürün İş Listesi"/>
    <n v="2"/>
  </r>
  <r>
    <s v="Story"/>
    <s v="EFT-2207"/>
    <x v="1"/>
    <s v="SAP - Gelen İrsaliyeleri İndir (ZIP UBL) Metodunun Sağlanması"/>
    <x v="4"/>
    <e v="#N/A"/>
    <x v="0"/>
    <s v="-"/>
    <s v="Ürün İş Listesi"/>
    <n v="2"/>
  </r>
  <r>
    <s v="Story"/>
    <s v="EFT-2206"/>
    <x v="1"/>
    <s v="SAP - Gelen İrsaliyeleri Listeleyen Metot Sağlanması"/>
    <x v="4"/>
    <e v="#N/A"/>
    <x v="0"/>
    <s v="-"/>
    <s v="Ürün İş Listesi"/>
    <n v="2"/>
  </r>
  <r>
    <s v="Story"/>
    <s v="CRM-649"/>
    <x v="6"/>
    <s v="E-Fatura ve E-Arşiv Ürünleri Trafik Bilgileri Detay Görünüm"/>
    <x v="0"/>
    <s v="TO TEST"/>
    <x v="1"/>
    <s v="Gelecek Sprint"/>
    <s v="Devam Eden ve Gelecek Sprint"/>
    <n v="3"/>
  </r>
  <r>
    <s v="Story"/>
    <s v="CRM-650"/>
    <x v="1"/>
    <s v="Tevkifatlı Fatura Sınırı Güncelleme"/>
    <x v="0"/>
    <e v="#N/A"/>
    <x v="0"/>
    <s v="-"/>
    <s v="Ürün İş Listesi"/>
    <n v="1"/>
  </r>
  <r>
    <s v="Bug"/>
    <s v="WIK-689"/>
    <x v="1"/>
    <s v="Özlük Belgeleri KVKK Aydınlatma Metinin İçerisinde Ünvanın Sayfa İçerisine Sığmaması"/>
    <x v="16"/>
    <e v="#N/A"/>
    <x v="0"/>
    <s v="-"/>
    <s v="Ürün İş Listesi"/>
    <n v="2"/>
  </r>
  <r>
    <s v="Bug"/>
    <s v="MU-105"/>
    <x v="1"/>
    <s v="Mobil Uygulamada Cihaz Ekran Boyutlarına Göre Görsel Oran Uyumsuzluklarının Düzenlenmesi"/>
    <x v="9"/>
    <e v="#N/A"/>
    <x v="0"/>
    <s v="-"/>
    <s v="Ürün İş Listesi"/>
    <n v="5"/>
  </r>
  <r>
    <s v="Bug"/>
    <s v="MU-104"/>
    <x v="1"/>
    <s v="Kurumsal Ön Başvuru Belge Yükleme Alanında Dosya Format Kontrolü ve Galeri Erişimi"/>
    <x v="9"/>
    <e v="#N/A"/>
    <x v="0"/>
    <s v="-"/>
    <s v="Ürün İş Listesi"/>
    <n v="5"/>
  </r>
  <r>
    <s v="Bug"/>
    <s v="MU-103"/>
    <x v="1"/>
    <s v="Kurumsal Ön Başvuru Belge Yükleme Alanında Yüklenen Belgelerin Anlık Görüntülenmemesi"/>
    <x v="9"/>
    <e v="#N/A"/>
    <x v="0"/>
    <s v="-"/>
    <s v="Ürün İş Listesi"/>
    <n v="3"/>
  </r>
  <r>
    <s v="Bug"/>
    <s v="MU-102"/>
    <x v="1"/>
    <s v="Ön Başvuru Onaylama Sayfasında Tekrarlı Gönderimlerin Engellenmesi"/>
    <x v="9"/>
    <e v="#N/A"/>
    <x v="0"/>
    <s v="-"/>
    <s v="Ürün İş Listesi"/>
    <n v="3"/>
  </r>
  <r>
    <s v="Bug"/>
    <s v="KW-8"/>
    <x v="1"/>
    <s v="rem-address-is-active Metodunda &quot;hesapDurum&quot; Değerinin Düzeltilmesi"/>
    <x v="8"/>
    <e v="#N/A"/>
    <x v="0"/>
    <s v="-"/>
    <s v="Ürün İş Listesi"/>
    <n v="3"/>
  </r>
  <r>
    <s v="Bug"/>
    <s v="TIM-450"/>
    <x v="1"/>
    <s v="Onaylama Adımından Sonra Karekod Doğrulama Kodunun Gelmemesi"/>
    <x v="13"/>
    <e v="#N/A"/>
    <x v="0"/>
    <s v="-"/>
    <s v="Ürün İş Listesi"/>
    <n v="3"/>
  </r>
  <r>
    <s v="Bug"/>
    <s v="MU-108"/>
    <x v="1"/>
    <s v="Okunmamış İletilerin Okundu Olarak İşaretlenmesi Gerçek Zamanlı Güncellenmiyor"/>
    <x v="9"/>
    <e v="#N/A"/>
    <x v="0"/>
    <s v="-"/>
    <s v="Ürün İş Listesi"/>
    <n v="3"/>
  </r>
  <r>
    <s v="Bug"/>
    <s v="MU-107"/>
    <x v="1"/>
    <s v="Login İşleminde API 500 Hatası Alındığında Anlaşılır Hata Bildirimi Gösterilmiyor"/>
    <x v="9"/>
    <e v="#N/A"/>
    <x v="0"/>
    <s v="-"/>
    <s v="Ürün İş Listesi"/>
    <n v="2"/>
  </r>
  <r>
    <s v="Bug"/>
    <s v="KA-1514"/>
    <x v="1"/>
    <s v="Taslaklardan EYP eki silerken alınan hata"/>
    <x v="6"/>
    <e v="#N/A"/>
    <x v="0"/>
    <s v="-"/>
    <s v="Ürün İş Listesi"/>
    <n v="3"/>
  </r>
  <r>
    <s v="Story"/>
    <s v="EFT-2213"/>
    <x v="1"/>
    <s v="e-İrsaliye SAP Metotları Test Sürecini Kolaylaştıran Uygulamanın Yazılması"/>
    <x v="4"/>
    <e v="#N/A"/>
    <x v="0"/>
    <s v="-"/>
    <s v="Ürün İş Listesi"/>
    <n v="3"/>
  </r>
  <r>
    <s v="Story"/>
    <s v="EFT-2205"/>
    <x v="1"/>
    <s v="İlaç Tıbbi Cihaz Teslimlerine İlişkin Fatura Teknik Kılavuzu 1.2 Sürümü Değişiklikleri "/>
    <x v="4"/>
    <e v="#N/A"/>
    <x v="0"/>
    <s v="-"/>
    <s v="Ürün İş Listesi"/>
    <n v="1"/>
  </r>
  <r>
    <s v="Story"/>
    <s v="EDF-771"/>
    <x v="1"/>
    <s v="Ayyıldız İmza Şematron Sorunu Çözüm Araştırması"/>
    <x v="3"/>
    <e v="#N/A"/>
    <x v="0"/>
    <s v="-"/>
    <s v="Ürün İş Listesi"/>
    <n v="2"/>
  </r>
  <r>
    <s v="Story"/>
    <s v="DAVS-47"/>
    <x v="1"/>
    <s v="&quot;Giden e-İrsaliye Faturalar&quot;ın Listelenmesi"/>
    <x v="18"/>
    <e v="#N/A"/>
    <x v="0"/>
    <s v="-"/>
    <s v="Ürün İş Listesi"/>
    <m/>
  </r>
  <r>
    <s v="Story"/>
    <s v="DAVS-46"/>
    <x v="1"/>
    <s v="&quot;Gelen e-İrsaliye Faturalar&quot;ın Listelenmesi"/>
    <x v="18"/>
    <e v="#N/A"/>
    <x v="0"/>
    <s v="-"/>
    <s v="Ürün İş Listesi"/>
    <m/>
  </r>
  <r>
    <s v="Story"/>
    <s v="DAVS-45"/>
    <x v="1"/>
    <s v="&quot;Gönderilen e-Arşiv Faturaların&quot; Listelenmesi."/>
    <x v="18"/>
    <e v="#N/A"/>
    <x v="0"/>
    <s v="-"/>
    <s v="Ürün İş Listesi"/>
    <m/>
  </r>
  <r>
    <s v="Story"/>
    <s v="DAVS-44"/>
    <x v="1"/>
    <s v="Fatura Uygulamasından Gelen, Giden ve E-arşiv Faturaların Saklama Uygulamasına Aktarılması için Entegrasyon Servisi Geliştirilmesi"/>
    <x v="18"/>
    <e v="#N/A"/>
    <x v="0"/>
    <s v="-"/>
    <s v="Ürün İş Listesi"/>
    <m/>
  </r>
  <r>
    <s v="Story"/>
    <s v="DAVS-43"/>
    <x v="1"/>
    <s v="&quot;Giden Faturalar” ların Listelenmesi"/>
    <x v="18"/>
    <e v="#N/A"/>
    <x v="0"/>
    <s v="-"/>
    <s v="Ürün İş Listesi"/>
    <m/>
  </r>
  <r>
    <s v="Story"/>
    <s v="DAVS-42"/>
    <x v="1"/>
    <s v="&quot;Gelen Faturalar” ların Listelenmesi"/>
    <x v="18"/>
    <e v="#N/A"/>
    <x v="0"/>
    <s v="-"/>
    <s v="Ürün İş Listesi"/>
    <m/>
  </r>
  <r>
    <s v="Story"/>
    <s v="DAVS-41"/>
    <x v="0"/>
    <s v="Gelişmiş Filtreleme Alanlarının Eklenmesi"/>
    <x v="18"/>
    <s v="To Do"/>
    <x v="0"/>
    <s v="-"/>
    <s v="Ürün İş Listesi"/>
    <m/>
  </r>
  <r>
    <s v="Story"/>
    <s v="DAVS-40"/>
    <x v="1"/>
    <s v="KEP Uygulamasından Verilerin Alınarak Saklama Uygulamasına Aktarılması için Entegrasyon Servisi Geliştirilmesi"/>
    <x v="18"/>
    <e v="#N/A"/>
    <x v="0"/>
    <s v="-"/>
    <s v="Ürün İş Listesi"/>
    <m/>
  </r>
  <r>
    <s v="Story"/>
    <s v="DAVS-39"/>
    <x v="1"/>
    <s v="Birden Fazla KEP Hesabı Olan Kullanıcının Hesap Seçimi Yapabilmesi ve İlk Adımda Seçim Zorunluluğu"/>
    <x v="18"/>
    <e v="#N/A"/>
    <x v="0"/>
    <s v="-"/>
    <s v="Ürün İş Listesi"/>
    <m/>
  </r>
  <r>
    <s v="Story"/>
    <s v="DAVS-38"/>
    <x v="1"/>
    <s v="&quot;Delil&quot;lerin Listelenmesi"/>
    <x v="18"/>
    <e v="#N/A"/>
    <x v="0"/>
    <s v="-"/>
    <s v="Ürün İş Listesi"/>
    <m/>
  </r>
  <r>
    <s v="Story"/>
    <s v="DAVS-37"/>
    <x v="1"/>
    <s v="&quot;Giden İletiler&quot;in Listelenmesi"/>
    <x v="18"/>
    <e v="#N/A"/>
    <x v="0"/>
    <s v="-"/>
    <s v="Ürün İş Listesi"/>
    <m/>
  </r>
  <r>
    <s v="Story"/>
    <s v="DAVS-36"/>
    <x v="1"/>
    <s v="&quot;Gelen İletiler&quot;in Listelenmesi "/>
    <x v="18"/>
    <e v="#N/A"/>
    <x v="0"/>
    <s v="-"/>
    <s v="Ürün İş Listesi"/>
    <m/>
  </r>
  <r>
    <s v="Story"/>
    <s v="CRM-654"/>
    <x v="1"/>
    <s v="E-Defter Uygulamasına Organizasyon ID ve Periyod Bilgisi Gönderimi"/>
    <x v="0"/>
    <e v="#N/A"/>
    <x v="0"/>
    <s v="-"/>
    <s v="Ürün İş Listesi"/>
    <n v="3"/>
  </r>
  <r>
    <s v="Story"/>
    <s v="CRM-653"/>
    <x v="1"/>
    <s v="E-Belge Ürünleri için Açılan Görev Kayıtlarının Düzenlenmesi"/>
    <x v="0"/>
    <e v="#N/A"/>
    <x v="0"/>
    <s v="-"/>
    <s v="Ürün İş Listesi"/>
    <n v="3"/>
  </r>
  <r>
    <s v="Bug"/>
    <s v="MYS-779"/>
    <x v="1"/>
    <s v="Basılı İletilerde Açıklama Alanında Karakter Sınırı Aşıldığında Uygun Uyarı Mesajı Gösterilmemesi"/>
    <x v="12"/>
    <e v="#N/A"/>
    <x v="0"/>
    <s v="-"/>
    <s v="Ürün İş Listesi"/>
    <n v="2"/>
  </r>
  <r>
    <s v="Bug"/>
    <s v="MU-114"/>
    <x v="1"/>
    <s v="Ön Başvuru Geri Dönüş Akışında 'Doğrulama Kodu Gönder' Butonu Pasif Kalıyor"/>
    <x v="9"/>
    <e v="#N/A"/>
    <x v="0"/>
    <s v="-"/>
    <s v="Ürün İş Listesi"/>
    <n v="2"/>
  </r>
  <r>
    <s v="Bug"/>
    <s v="MU-113"/>
    <x v="1"/>
    <s v="Ön başvuru Onay Giriş İşleminde API 500 Hatası Alındığında Anlaşılır Hata Bildirimi Gösterilmiyor"/>
    <x v="9"/>
    <e v="#N/A"/>
    <x v="0"/>
    <s v="-"/>
    <s v="Ürün İş Listesi"/>
    <n v="2"/>
  </r>
  <r>
    <s v="Bug"/>
    <s v="MU-112"/>
    <x v="1"/>
    <s v="Kep İletisi Gönderiminde Parmak İzi Numarasının Kullanıcı Arayüzünde Görüntülenmemesi"/>
    <x v="9"/>
    <e v="#N/A"/>
    <x v="0"/>
    <s v="-"/>
    <s v="Ürün İş Listesi"/>
    <n v="2"/>
  </r>
  <r>
    <s v="Story"/>
    <s v="MU-111"/>
    <x v="1"/>
    <s v="Android Target SDK Versiyonunun 35'e Güncellenmesi"/>
    <x v="9"/>
    <e v="#N/A"/>
    <x v="0"/>
    <s v="-"/>
    <s v="Ürün İş Listesi"/>
    <n v="8"/>
  </r>
  <r>
    <s v="Story"/>
    <s v="IEU-229"/>
    <x v="1"/>
    <s v="Yük Testi Süreçlerinin Gözden Geçirilmesi "/>
    <x v="5"/>
    <e v="#N/A"/>
    <x v="0"/>
    <s v="-"/>
    <s v="Ürün İş Listesi"/>
    <n v="3"/>
  </r>
  <r>
    <s v="Story"/>
    <s v="IEU-228"/>
    <x v="1"/>
    <s v=" Entegrasyon Suit Servisleri İçin Müşteriye Sunulabilir Standart Metot Dokümanının Oluşturulması"/>
    <x v="5"/>
    <e v="#N/A"/>
    <x v="0"/>
    <s v="-"/>
    <s v="Ürün İş Listesi"/>
    <n v="3"/>
  </r>
  <r>
    <s v="Story"/>
    <s v="IEU-227"/>
    <x v="1"/>
    <s v="Araştırma-  api/v1/sign/multi Metodunun Lisans ve Access Token Kontrolleri Açısından İncelenmesi"/>
    <x v="5"/>
    <e v="#N/A"/>
    <x v="0"/>
    <s v="-"/>
    <s v="Ürün İş Listesi"/>
    <n v="3"/>
  </r>
  <r>
    <s v="Story"/>
    <s v="CRM-655"/>
    <x v="1"/>
    <s v="E-İrsaliye Ürünü Maliyet Raporu Güncellenmesi"/>
    <x v="0"/>
    <e v="#N/A"/>
    <x v="0"/>
    <s v="-"/>
    <s v="Ürün İş Listesi"/>
    <n v="1"/>
  </r>
  <r>
    <s v="Story"/>
    <s v="CRM-656"/>
    <x v="1"/>
    <s v="Sözleşmeler Modülünde Trafik Bilgileri Alanı Gönderi Bilgisi Getir Butonu"/>
    <x v="0"/>
    <e v="#N/A"/>
    <x v="0"/>
    <s v="-"/>
    <s v="Ürün İş Listesi"/>
    <n v="1"/>
  </r>
  <r>
    <s v="Story"/>
    <s v="CRM-657"/>
    <x v="1"/>
    <s v="SuggestKEP Metoduna Parametre Eklenmesi"/>
    <x v="0"/>
    <e v="#N/A"/>
    <x v="0"/>
    <s v="-"/>
    <s v="Ürün İş Listesi"/>
    <n v="1"/>
  </r>
  <r>
    <s v="Story"/>
    <s v="CRM-658"/>
    <x v="1"/>
    <s v="İptal Durumdaki KEP Adresinin Tekrar Aktif Edilmesi"/>
    <x v="0"/>
    <e v="#N/A"/>
    <x v="0"/>
    <s v="-"/>
    <s v="Ürün İş Listesi"/>
    <n v="5"/>
  </r>
  <r>
    <s v="Bug"/>
    <s v="EFT-2215"/>
    <x v="1"/>
    <s v="Default İrsaliye Tasarımının Yeni Dinamik Kalem Destekli Şablon ile Güncellenmesi"/>
    <x v="4"/>
    <e v="#N/A"/>
    <x v="0"/>
    <s v="-"/>
    <s v="Ürün İş Listesi"/>
    <n v="5"/>
  </r>
  <r>
    <s v="Bug"/>
    <s v="EFT-2214"/>
    <x v="1"/>
    <s v="Yolcu Beraber Fatura Senaryosunda KDV Alanının Açılması ve Vergi Muafiyet Kodunun Düzenlenmesi"/>
    <x v="4"/>
    <e v="#N/A"/>
    <x v="0"/>
    <s v="-"/>
    <s v="Ürün İş Listesi"/>
    <n v="2"/>
  </r>
  <r>
    <s v="Story"/>
    <s v="WIK-692"/>
    <x v="1"/>
    <s v="Araştırma- Bir Çalışan İçin Birden Fazla Sayfa İçeren PDF Yüklendiğinde Tümünün Tek İleti İle Gönderilebilmesi"/>
    <x v="16"/>
    <e v="#N/A"/>
    <x v="0"/>
    <s v="-"/>
    <s v="Ürün İş Listesi"/>
    <n v="2"/>
  </r>
  <r>
    <s v="Story"/>
    <s v="WIK-693"/>
    <x v="1"/>
    <s v="Özlük Belgesi Yükleme Mailin Domain İsim Değişikliği"/>
    <x v="16"/>
    <e v="#N/A"/>
    <x v="0"/>
    <s v="-"/>
    <s v="Ürün İş Listesi"/>
    <n v="2"/>
  </r>
  <r>
    <s v="Bug"/>
    <s v="MU-117"/>
    <x v="1"/>
    <s v="KEP Ön Başvuru Giriş Uyarı Mesajlarının Tasarıma Uygun Hale Getirilmesi"/>
    <x v="9"/>
    <e v="#N/A"/>
    <x v="0"/>
    <s v="-"/>
    <s v="Ürün İş Listesi"/>
    <n v="2"/>
  </r>
  <r>
    <s v="Story"/>
    <s v="MU-116"/>
    <x v="1"/>
    <s v="Bildirim Servisinin İncelenmesi ve Sistem Dokumantasyonu Hazırlanması"/>
    <x v="9"/>
    <e v="#N/A"/>
    <x v="0"/>
    <s v="-"/>
    <s v="Ürün İş Listesi"/>
    <n v="5"/>
  </r>
  <r>
    <s v="Bug"/>
    <s v="MU-109"/>
    <x v="1"/>
    <s v="Drawer Menü Tasarımı ve Kullanılabilirliği Düzenleme"/>
    <x v="9"/>
    <e v="#N/A"/>
    <x v="0"/>
    <s v="-"/>
    <s v="Ürün İş Listesi"/>
    <n v="3"/>
  </r>
  <r>
    <s v="Bug"/>
    <s v="IEU-233"/>
    <x v="1"/>
    <s v="tkiletisimbilgisi Parametresinin Swagger Sayfasında Hatalı İsimlendirilmesi"/>
    <x v="5"/>
    <e v="#N/A"/>
    <x v="0"/>
    <s v="-"/>
    <s v="Ürün İş Listesi"/>
    <n v="2"/>
  </r>
  <r>
    <s v="Story"/>
    <s v="CRM-663"/>
    <x v="1"/>
    <s v="E-Defter Uygulamasına Tüm Organizasyon ID ve Periyod Bilgisi Gönderimi"/>
    <x v="0"/>
    <e v="#N/A"/>
    <x v="0"/>
    <s v="-"/>
    <s v="Ürün İş Listesi"/>
    <n v="5"/>
  </r>
  <r>
    <s v="Story"/>
    <s v="WIK-696"/>
    <x v="1"/>
    <s v="Test Robot Ortamının Kurulması"/>
    <x v="16"/>
    <e v="#N/A"/>
    <x v="0"/>
    <s v="-"/>
    <s v="Ürün İş Listesi"/>
    <n v="3"/>
  </r>
  <r>
    <s v="Story"/>
    <s v="TIM-451"/>
    <x v="1"/>
    <s v="Türkkep İmza- Zaman Damgası Değişikliği"/>
    <x v="13"/>
    <e v="#N/A"/>
    <x v="0"/>
    <s v="-"/>
    <s v="Ürün İş Listesi"/>
    <n v="1"/>
  </r>
  <r>
    <s v="Bug"/>
    <s v="MYS-785"/>
    <x v="1"/>
    <s v="Toplu İşlemler Menüsünün Türkçeleştirilmesi"/>
    <x v="12"/>
    <e v="#N/A"/>
    <x v="0"/>
    <s v="-"/>
    <s v="Ürün İş Listesi"/>
    <n v="1"/>
  </r>
  <r>
    <s v="Story"/>
    <s v="MYS-782"/>
    <x v="1"/>
    <s v="KEP ve UETS Servislerinden Gelen İletilerde Takvimleme Mekanizması"/>
    <x v="12"/>
    <e v="#N/A"/>
    <x v="0"/>
    <s v="-"/>
    <s v="Ürün İş Listesi"/>
    <n v="5"/>
  </r>
  <r>
    <s v="Story"/>
    <s v="MU-120"/>
    <x v="1"/>
    <s v="Dil Seçim Menüsü için Animasyonlu Tasarım"/>
    <x v="9"/>
    <e v="#N/A"/>
    <x v="0"/>
    <s v="-"/>
    <s v="Ürün İş Listesi"/>
    <n v="1"/>
  </r>
  <r>
    <s v="Story"/>
    <s v="MU-119"/>
    <x v="1"/>
    <s v="Boş Posta Kutusu Durumu için Tasarım Değişikliği"/>
    <x v="9"/>
    <e v="#N/A"/>
    <x v="0"/>
    <s v="-"/>
    <s v="Ürün İş Listesi"/>
    <n v="2"/>
  </r>
  <r>
    <s v="Story"/>
    <s v="KA-1517"/>
    <x v="1"/>
    <s v="Gelen Kutusu ve Görevlerim Ekranlarına Toplu EYP/EML İndirme Butonu Eklenmesi"/>
    <x v="6"/>
    <e v="#N/A"/>
    <x v="0"/>
    <s v="-"/>
    <s v="Ürün İş Listesi"/>
    <n v="3"/>
  </r>
  <r>
    <s v="Story"/>
    <s v="CRM-661"/>
    <x v="1"/>
    <s v="Üst Yönetim Raporu - KEP İleti Sayılarının Detaylı Kırılımı"/>
    <x v="0"/>
    <e v="#N/A"/>
    <x v="0"/>
    <s v="-"/>
    <s v="Ürün İş Listesi"/>
    <n v="5"/>
  </r>
  <r>
    <s v="Story"/>
    <s v="CRM-662"/>
    <x v="1"/>
    <s v="Sözleşmeler - Trafik Bilgileri Ekranı Güncelleme"/>
    <x v="0"/>
    <e v="#N/A"/>
    <x v="0"/>
    <s v="-"/>
    <s v="Ürün İş Listesi"/>
    <n v="1"/>
  </r>
  <r>
    <s v="Story"/>
    <s v="CRM-664"/>
    <x v="1"/>
    <s v="E-Belge Başarısız Aktivasyon Raporunun İlgili Kişilere İletilmesi"/>
    <x v="0"/>
    <e v="#N/A"/>
    <x v="0"/>
    <s v="-"/>
    <s v="Ürün İş Listesi"/>
    <n v="2"/>
  </r>
  <r>
    <s v="Story"/>
    <s v="WIK-699"/>
    <x v="1"/>
    <s v="Duyuru Modülündeki Uyarı Metninin Güncellenmesi ve Tasarım Düzenlemesi"/>
    <x v="16"/>
    <e v="#N/A"/>
    <x v="0"/>
    <s v="-"/>
    <s v="Ürün İş Listesi"/>
    <n v="1"/>
  </r>
  <r>
    <s v="Story"/>
    <s v="WIK-697"/>
    <x v="1"/>
    <s v="Tüm &quot;Eminim&quot; Butonlarının &quot;Evet&quot; Olarak Güncellenmesi"/>
    <x v="16"/>
    <e v="#N/A"/>
    <x v="0"/>
    <s v="-"/>
    <s v="Ürün İş Listesi"/>
    <n v="1"/>
  </r>
  <r>
    <s v="Story"/>
    <s v="WIK-698"/>
    <x v="1"/>
    <s v="PIN Girişi Eksikliği ve E-İmza Bloke Durumunda Gösterilen Uyarı Mesajlarının Düzenlenmesi"/>
    <x v="16"/>
    <e v="#N/A"/>
    <x v="0"/>
    <s v="-"/>
    <s v="Ürün İş Listesi"/>
    <n v="1"/>
  </r>
  <r>
    <s v="Story"/>
    <s v="WIK-703"/>
    <x v="1"/>
    <s v="Birden Fazla TCKN Kontrolü Yapılması"/>
    <x v="16"/>
    <e v="#N/A"/>
    <x v="0"/>
    <s v="-"/>
    <s v="Ürün İş Listesi"/>
    <n v="3"/>
  </r>
  <r>
    <s v="Story"/>
    <s v="WIK-702"/>
    <x v="1"/>
    <s v="Yüklenen PDF te Sayfa Sayısı Kontrolü"/>
    <x v="16"/>
    <e v="#N/A"/>
    <x v="0"/>
    <s v="-"/>
    <s v="Ürün İş Listesi"/>
    <n v="2"/>
  </r>
  <r>
    <s v="Story"/>
    <s v="UKDS-163"/>
    <x v="1"/>
    <s v="Araştırma- UKDS Toplu Excel Alma İşlemleri için Kuyruk/Asenkron Yapı Önerisi"/>
    <x v="15"/>
    <e v="#N/A"/>
    <x v="0"/>
    <s v="-"/>
    <s v="Ürün İş Listesi"/>
    <n v="3"/>
  </r>
  <r>
    <s v="Story"/>
    <s v="WIK-704"/>
    <x v="1"/>
    <s v="Dosya Okunması ve Eşleştirilmesi"/>
    <x v="16"/>
    <e v="#N/A"/>
    <x v="0"/>
    <s v="-"/>
    <s v="Ürün İş Listesi"/>
    <n v="5"/>
  </r>
  <r>
    <s v="Story"/>
    <s v="WIK-701"/>
    <x v="1"/>
    <s v="Yükleme Ekranı Geliştirmesi"/>
    <x v="16"/>
    <e v="#N/A"/>
    <x v="0"/>
    <s v="-"/>
    <s v="Ürün İş Listesi"/>
    <n v="3"/>
  </r>
  <r>
    <s v="Story"/>
    <s v="WIK-700"/>
    <x v="0"/>
    <s v="Araştırma- DB Partitioning İşleminin Teknik Değerlendirilmesi"/>
    <x v="16"/>
    <e v="#N/A"/>
    <x v="0"/>
    <s v="-"/>
    <s v="Ürün İş Listesi"/>
    <m/>
  </r>
  <r>
    <s v="Bug"/>
    <s v="TIM-452"/>
    <x v="1"/>
    <s v="Mobil İmzalama Adımında Türkçe Karakterli Kullanıcı Adı Sorunu Hk"/>
    <x v="13"/>
    <e v="#N/A"/>
    <x v="0"/>
    <s v="-"/>
    <s v="Ürün İş Listesi"/>
    <m/>
  </r>
  <r>
    <s v="Story"/>
    <s v="MU-110"/>
    <x v="1"/>
    <s v="KEP Açılış Ön Başvuru Ekranlarında Tasarımsal ve Kullanılabilirlik Sorunları"/>
    <x v="9"/>
    <e v="#N/A"/>
    <x v="0"/>
    <s v="-"/>
    <s v="Ürün İş Listesi"/>
    <n v="5"/>
  </r>
  <r>
    <s v="Story"/>
    <s v="EFT-2229"/>
    <x v="1"/>
    <s v="SAP WS Kılavuz Hazırlanması"/>
    <x v="4"/>
    <e v="#N/A"/>
    <x v="0"/>
    <s v="-"/>
    <s v="Ürün İş Listesi"/>
    <n v="2"/>
  </r>
  <r>
    <s v="Story"/>
    <s v="EFT-2227"/>
    <x v="1"/>
    <s v="Konnektör Mail Parametrelerinin OTAdmin ile Yönetilmesi"/>
    <x v="4"/>
    <e v="#N/A"/>
    <x v="0"/>
    <s v="-"/>
    <s v="Ürün İş Listesi"/>
    <n v="3"/>
  </r>
  <r>
    <s v="Story"/>
    <s v="EFT-2226"/>
    <x v="1"/>
    <s v="Smartcard Bilgilerinin Tutulduğu Tablodaki Verilerin CRM'e Aktarımı için Metot Hazırlanması"/>
    <x v="4"/>
    <e v="#N/A"/>
    <x v="0"/>
    <s v="-"/>
    <s v="Ürün İş Listesi"/>
    <m/>
  </r>
  <r>
    <s v="Story"/>
    <s v="EFT-2225"/>
    <x v="0"/>
    <s v="SmartCard Bilgilerinin Şifreli (Encrypted) Saklanması"/>
    <x v="4"/>
    <e v="#N/A"/>
    <x v="0"/>
    <s v="-"/>
    <s v="Ürün İş Listesi"/>
    <m/>
  </r>
  <r>
    <s v="Story"/>
    <s v="EFT-2223"/>
    <x v="1"/>
    <s v="9900 TL ve Üzeri Tutarlı Faturalar için Eklenen Kontrollerden TCKN &quot;11111111111&quot; ve Alıcı Adı/Soyadı &quot;Muhtelif Kullancılar&quot; Kontrollerinin Kaldırılması"/>
    <x v="4"/>
    <e v="#N/A"/>
    <x v="0"/>
    <s v="-"/>
    <s v="Ürün İş Listesi"/>
    <n v="1"/>
  </r>
  <r>
    <s v="Story"/>
    <s v="EFT-2218"/>
    <x v="1"/>
    <s v="Nihai Tüketici Kontrol Tutarının 9.900TL ve Üzeri Tutarlı Faturalar İçin Yapılması"/>
    <x v="4"/>
    <e v="#N/A"/>
    <x v="0"/>
    <s v="-"/>
    <s v="Ürün İş Listesi"/>
    <n v="3"/>
  </r>
  <r>
    <s v="Bug"/>
    <s v="EFT-2217"/>
    <x v="1"/>
    <s v="Web Serviste e-Mail Hatalarının Düzelmesi için Regex Kontrolü"/>
    <x v="4"/>
    <e v="#N/A"/>
    <x v="0"/>
    <s v="-"/>
    <s v="Ürün İş Listesi"/>
    <n v="2"/>
  </r>
  <r>
    <s v="Story"/>
    <s v="EFT-2216"/>
    <x v="1"/>
    <s v="Projelerin GITLAB Platformuna Taşınması"/>
    <x v="4"/>
    <e v="#N/A"/>
    <x v="0"/>
    <s v="-"/>
    <s v="Ürün İş Listesi"/>
    <n v="5"/>
  </r>
  <r>
    <s v="Story"/>
    <s v="EDF-773"/>
    <x v="1"/>
    <s v="Araştırma - Tekrar Denemelerde Her Seferinde Aynı Hatayı Alan Parçaların Sistemin Defter İşlemlerini Aksatmasını Engellemesi"/>
    <x v="3"/>
    <e v="#N/A"/>
    <x v="0"/>
    <s v="-"/>
    <s v="Ürün İş Listesi"/>
    <n v="2"/>
  </r>
  <r>
    <s v="Story"/>
    <s v="DAVS-63"/>
    <x v="1"/>
    <s v="Backend Çalışması"/>
    <x v="18"/>
    <e v="#N/A"/>
    <x v="0"/>
    <s v="-"/>
    <s v="Ürün İş Listesi"/>
    <m/>
  </r>
  <r>
    <s v="Story"/>
    <s v="DAVS-62"/>
    <x v="1"/>
    <s v="Arayüz Ön Çalışma"/>
    <x v="18"/>
    <e v="#N/A"/>
    <x v="0"/>
    <s v="-"/>
    <s v="Ürün İş Listesi"/>
    <m/>
  </r>
  <r>
    <s v="Story"/>
    <s v="DAVS-61"/>
    <x v="1"/>
    <s v="Dokümanların Görüntülenmesi"/>
    <x v="18"/>
    <e v="#N/A"/>
    <x v="0"/>
    <s v="-"/>
    <s v="Ürün İş Listesi"/>
    <m/>
  </r>
  <r>
    <s v="Story"/>
    <s v="DAVS-60"/>
    <x v="1"/>
    <s v="Yeni Klasör Oluşturma"/>
    <x v="18"/>
    <e v="#N/A"/>
    <x v="0"/>
    <s v="-"/>
    <s v="Ürün İş Listesi"/>
    <m/>
  </r>
  <r>
    <s v="Story"/>
    <s v="DAVS-59"/>
    <x v="1"/>
    <s v="Yeni Doküman Ekleme"/>
    <x v="18"/>
    <e v="#N/A"/>
    <x v="0"/>
    <s v="-"/>
    <s v="Ürün İş Listesi"/>
    <m/>
  </r>
  <r>
    <s v="Story"/>
    <s v="DAVS-58"/>
    <x v="1"/>
    <s v="Sürükle-bırak Fonksiyonun Sağlanması"/>
    <x v="18"/>
    <e v="#N/A"/>
    <x v="0"/>
    <s v="-"/>
    <s v="Ürün İş Listesi"/>
    <m/>
  </r>
  <r>
    <s v="Story"/>
    <s v="DAVS-57"/>
    <x v="1"/>
    <s v="Klasör ve Dokümanların İndirilmesi"/>
    <x v="18"/>
    <e v="#N/A"/>
    <x v="0"/>
    <s v="-"/>
    <s v="Ürün İş Listesi"/>
    <m/>
  </r>
  <r>
    <s v="Story"/>
    <s v="DAVS-56"/>
    <x v="1"/>
    <s v="Klasör ve Dokümanların Listelenmesi"/>
    <x v="18"/>
    <e v="#N/A"/>
    <x v="0"/>
    <s v="-"/>
    <s v="Ürün İş Listesi"/>
    <m/>
  </r>
  <r>
    <s v="Story"/>
    <s v="DAVS-55"/>
    <x v="1"/>
    <s v="&quot;Giden Faturalar” ların İndirilmesi"/>
    <x v="18"/>
    <e v="#N/A"/>
    <x v="0"/>
    <s v="-"/>
    <s v="Ürün İş Listesi"/>
    <m/>
  </r>
  <r>
    <s v="Story"/>
    <s v="DAVS-54"/>
    <x v="1"/>
    <s v="&quot;Gelen Faturalar” ların İndirilmesi"/>
    <x v="18"/>
    <e v="#N/A"/>
    <x v="0"/>
    <s v="-"/>
    <s v="Ürün İş Listesi"/>
    <m/>
  </r>
  <r>
    <s v="Story"/>
    <s v="DAVS-53"/>
    <x v="1"/>
    <s v="&quot;Gönderilen e-Arşiv Faturaların&quot; İndirilmesi"/>
    <x v="18"/>
    <e v="#N/A"/>
    <x v="0"/>
    <s v="-"/>
    <s v="Ürün İş Listesi"/>
    <m/>
  </r>
  <r>
    <s v="Story"/>
    <s v="DAVS-52"/>
    <x v="1"/>
    <s v="&quot;Giden e-İrsaliye Faturalar&quot;ın İndirilmesi"/>
    <x v="18"/>
    <e v="#N/A"/>
    <x v="0"/>
    <s v="-"/>
    <s v="Ürün İş Listesi"/>
    <m/>
  </r>
  <r>
    <s v="Story"/>
    <s v="DAVS-51"/>
    <x v="1"/>
    <s v="&quot;Gelen e-İrsaliye Faturalar&quot;ın  İndirilmesi"/>
    <x v="18"/>
    <e v="#N/A"/>
    <x v="0"/>
    <s v="-"/>
    <s v="Ürün İş Listesi"/>
    <m/>
  </r>
  <r>
    <s v="Story"/>
    <s v="DAVS-50"/>
    <x v="1"/>
    <s v="&quot;Delil&quot;lerin İndirilmesi "/>
    <x v="18"/>
    <e v="#N/A"/>
    <x v="0"/>
    <s v="-"/>
    <s v="Ürün İş Listesi"/>
    <m/>
  </r>
  <r>
    <s v="Story"/>
    <s v="DAVS-49"/>
    <x v="1"/>
    <s v="&quot;Giden İleti&quot;lerin İndirilmesi "/>
    <x v="18"/>
    <e v="#N/A"/>
    <x v="0"/>
    <s v="-"/>
    <s v="Ürün İş Listesi"/>
    <m/>
  </r>
  <r>
    <s v="Story"/>
    <s v="DAVS-48"/>
    <x v="1"/>
    <s v="&quot;Gelen İleti&quot;lerin İndirilmesi"/>
    <x v="18"/>
    <e v="#N/A"/>
    <x v="0"/>
    <s v="-"/>
    <s v="Ürün İş Listesi"/>
    <m/>
  </r>
  <r>
    <s v="Story"/>
    <s v="UKDS-169"/>
    <x v="1"/>
    <s v="Başvuru önyüz geliştirmesi"/>
    <x v="15"/>
    <e v="#N/A"/>
    <x v="0"/>
    <s v="-"/>
    <s v="Ürün İş Listesi"/>
    <n v="3"/>
  </r>
  <r>
    <s v="Story"/>
    <s v="UKDS-170"/>
    <x v="1"/>
    <s v="Başvuru Servislerinin Geliştirmesi"/>
    <x v="15"/>
    <e v="#N/A"/>
    <x v="0"/>
    <s v="-"/>
    <s v="Ürün İş Listesi"/>
    <n v="3"/>
  </r>
  <r>
    <s v="Story"/>
    <s v="IEU-238"/>
    <x v="1"/>
    <s v="UKDS Servislerinin Entegrasyon Suit Üzerinden Sunulması"/>
    <x v="17"/>
    <e v="#N/A"/>
    <x v="0"/>
    <s v="-"/>
    <s v="Ürün İş Listesi"/>
    <n v="3"/>
  </r>
  <r>
    <s v="Story"/>
    <s v="KAN-60"/>
    <x v="1"/>
    <s v="Test Ortamında Domain Geçiş Hazırlıkları ve Geçiş "/>
    <x v="19"/>
    <e v="#N/A"/>
    <x v="0"/>
    <s v="-"/>
    <s v="Ürün İş Listesi"/>
    <n v="3"/>
  </r>
  <r>
    <s v="Story"/>
    <s v="KA-1521"/>
    <x v="1"/>
    <s v="2025-BTA-013 FKM'ne Geçiş Projesi Test Ortamında Domain Geçiş Hazırlıkları ve Geçiş "/>
    <x v="6"/>
    <e v="#N/A"/>
    <x v="0"/>
    <s v="-"/>
    <s v="Ürün İş Listesi"/>
    <n v="3"/>
  </r>
  <r>
    <s v="Story"/>
    <s v="KA-1523"/>
    <x v="1"/>
    <s v="Güncelleme Paketi hazırlanması"/>
    <x v="6"/>
    <e v="#N/A"/>
    <x v="0"/>
    <s v="-"/>
    <s v="Ürün İş Listesi"/>
    <n v="3"/>
  </r>
  <r>
    <s v="Story"/>
    <s v="MU-133"/>
    <x v="1"/>
    <s v="KEP Gönderme Ekranında Geri Tuşu Uyarı Mekanizması"/>
    <x v="9"/>
    <e v="#N/A"/>
    <x v="0"/>
    <s v="-"/>
    <s v="Ürün İş Listesi"/>
    <n v="1"/>
  </r>
  <r>
    <s v="Story"/>
    <s v="MU-132"/>
    <x v="1"/>
    <s v="KEP Gönderme Ekranında Alan Sıralamasının Düzenlenmesi"/>
    <x v="9"/>
    <e v="#N/A"/>
    <x v="0"/>
    <s v="-"/>
    <s v="Ürün İş Listesi"/>
    <n v="1"/>
  </r>
  <r>
    <s v="Bug"/>
    <s v="MU-130"/>
    <x v="1"/>
    <s v="Android Cihazlarda UKDS Kurumsal Başvuruda JPEG Dosya Yükleme Sorunu"/>
    <x v="9"/>
    <e v="#N/A"/>
    <x v="0"/>
    <s v="-"/>
    <s v="Ürün İş Listesi"/>
    <n v="3"/>
  </r>
  <r>
    <s v="Bug"/>
    <s v="MU-129"/>
    <x v="1"/>
    <s v="Android Cihazlarda &quot;Firma Çalışanı Değilim&quot; Seçeneğinde Yönlendirme Sorunu"/>
    <x v="9"/>
    <e v="#N/A"/>
    <x v="0"/>
    <s v="-"/>
    <s v="Ürün İş Listesi"/>
    <n v="3"/>
  </r>
  <r>
    <s v="Story"/>
    <s v="MU-122"/>
    <x v="1"/>
    <s v="Gelen Kutusunda Okunmayan İletilerin Sayısının Gösterilmesi"/>
    <x v="9"/>
    <e v="#N/A"/>
    <x v="0"/>
    <s v="-"/>
    <s v="Ürün İş Listesi"/>
    <n v="3"/>
  </r>
  <r>
    <s v="Story"/>
    <s v="MYS-787"/>
    <x v="1"/>
    <s v="Güncelleme Paketi hazırlanması"/>
    <x v="12"/>
    <e v="#N/A"/>
    <x v="0"/>
    <s v="-"/>
    <s v="Ürün İş Listesi"/>
    <n v="2"/>
  </r>
  <r>
    <s v="Story"/>
    <s v="MYS-788"/>
    <x v="1"/>
    <s v="Takvimleme Methodu Hata Alma Senaryosu"/>
    <x v="12"/>
    <e v="#N/A"/>
    <x v="0"/>
    <s v="-"/>
    <s v="Ürün İş Listesi"/>
    <n v="3"/>
  </r>
  <r>
    <s v="Story"/>
    <s v="MYS-789"/>
    <x v="1"/>
    <s v="Test Ortamında Domain Geçiş Hazırlıkları ve Geçiş "/>
    <x v="12"/>
    <e v="#N/A"/>
    <x v="0"/>
    <s v="-"/>
    <s v="Ürün İş Listesi"/>
    <n v="3"/>
  </r>
  <r>
    <s v="Story"/>
    <s v="CRM-667"/>
    <x v="1"/>
    <s v="KEP İleti Sayıları CRM Sistemine Data Aktarımı"/>
    <x v="0"/>
    <e v="#N/A"/>
    <x v="0"/>
    <s v="-"/>
    <s v="Ürün İş Listesi"/>
    <n v="3"/>
  </r>
  <r>
    <s v="Story"/>
    <s v="CRM-668"/>
    <x v="1"/>
    <s v="İptal Durumdan Aktif Duruma Alınan KEP IK Hesapları Düzenleme"/>
    <x v="0"/>
    <e v="#N/A"/>
    <x v="0"/>
    <s v="-"/>
    <s v="Ürün İş Listesi"/>
    <n v="2"/>
  </r>
  <r>
    <s v="Story"/>
    <s v="CRM-669"/>
    <x v="0"/>
    <s v="İptal Durumdan Aktif Duruma Alınacak KEP IK Hesapları Ek Geliştirme"/>
    <x v="0"/>
    <e v="#N/A"/>
    <x v="0"/>
    <s v="-"/>
    <s v="Ürün İş Listesi"/>
    <n v="3"/>
  </r>
  <r>
    <s v="Story"/>
    <s v="CRM-670"/>
    <x v="1"/>
    <s v="Mersis Sorgulama İçin EndPoint Paylaşımı"/>
    <x v="0"/>
    <e v="#N/A"/>
    <x v="0"/>
    <s v="-"/>
    <s v="Ürün İş Listesi"/>
    <n v="2"/>
  </r>
  <r>
    <s v="Story"/>
    <s v="CRM-671"/>
    <x v="1"/>
    <s v="Mersis Sorgu Sonucu Ek Geliştirme"/>
    <x v="0"/>
    <e v="#N/A"/>
    <x v="0"/>
    <s v="-"/>
    <s v="Ürün İş Listesi"/>
    <n v="2"/>
  </r>
  <r>
    <s v="Story"/>
    <s v="EFT-2241"/>
    <x v="1"/>
    <s v="2025-BTA-013 FKM'ne Geçiş Projesi Test Ortamı Domain Geçiş Hazırlıkları ve Geçiş"/>
    <x v="4"/>
    <e v="#N/A"/>
    <x v="0"/>
    <s v="-"/>
    <s v="Ürün İş Listesi"/>
    <n v="2"/>
  </r>
  <r>
    <s v="Story"/>
    <s v="EFT-2240"/>
    <x v="1"/>
    <s v="ERP Bağımlı Konnektör Metotlarında e-Fatura Oluşturmada Zorunlu Olmayan Yeni Alanların Eklenmesi - Aselsan"/>
    <x v="4"/>
    <e v="#N/A"/>
    <x v="0"/>
    <s v="-"/>
    <s v="Ürün İş Listesi"/>
    <n v="2"/>
  </r>
  <r>
    <s v="Story"/>
    <s v="EFT-2237"/>
    <x v="1"/>
    <s v="Bağımsız Konnektörde e-Fatura Oluşturmada Zorunlu Olmayan Yeni Alanların Eklenmesi"/>
    <x v="4"/>
    <e v="#N/A"/>
    <x v="0"/>
    <s v="-"/>
    <s v="Ürün İş Listesi"/>
    <n v="3"/>
  </r>
  <r>
    <s v="Story"/>
    <s v="EFT-2236"/>
    <x v="1"/>
    <s v="Web Servis Metotlarında e-Fatura Oluşturmada Zorunlu Olmayan Yeni Alanların Eklenmesi - Aselsan"/>
    <x v="4"/>
    <e v="#N/A"/>
    <x v="0"/>
    <s v="-"/>
    <s v="Ürün İş Listesi"/>
    <n v="3"/>
  </r>
  <r>
    <s v="Story"/>
    <s v="EFT-2235"/>
    <x v="1"/>
    <s v="Portal Üzerinde e-Fatura Oluşturmada Zorunlu Olmayan Yeni Alanların Eklenmesi - Aselsan"/>
    <x v="4"/>
    <e v="#N/A"/>
    <x v="0"/>
    <s v="-"/>
    <s v="Ürün İş Listesi"/>
    <n v="5"/>
  </r>
  <r>
    <s v="Story"/>
    <s v="EDF-776"/>
    <x v="1"/>
    <s v="2025-BTA-013 FKM'ne Geçiş Projesi Test Ortam Domain Geçiş Hazırlıkları ve Geçiş"/>
    <x v="3"/>
    <e v="#N/A"/>
    <x v="0"/>
    <s v="-"/>
    <s v="Ürün İş Listesi"/>
    <n v="2"/>
  </r>
  <r>
    <s v="Bug"/>
    <s v="MU-135"/>
    <x v="1"/>
    <s v="KEP Gönderme Ekranında “Vazgeç” Aksiyonlarının Hatalı Yönlendirmelere Sebep Olması"/>
    <x v="9"/>
    <e v="#N/A"/>
    <x v="0"/>
    <s v="-"/>
    <s v="Ürün İş Listesi"/>
    <n v="3"/>
  </r>
  <r>
    <s v="Bug"/>
    <s v="MU-124"/>
    <x v="1"/>
    <s v="Şifremi Unuttum Akışında Geri Tuşu ile Bilgilerin Silinmesi ve Yanlış Ekrana Yönlendirmesi"/>
    <x v="9"/>
    <e v="#N/A"/>
    <x v="0"/>
    <s v="-"/>
    <s v="Ürün İş Listesi"/>
    <n v="3"/>
  </r>
  <r>
    <s v="Bug"/>
    <s v="MU-131"/>
    <x v="1"/>
    <s v="İmzala ve Gönder Butonuna Çoklu Tıklama ile Mobil İmza Talebinin Tekrarlanması"/>
    <x v="9"/>
    <e v="#N/A"/>
    <x v="0"/>
    <s v="-"/>
    <s v="Ürün İş Listesi"/>
    <n v="2"/>
  </r>
  <r>
    <s v="Story"/>
    <s v="CRM-674"/>
    <x v="1"/>
    <s v="Toplu Açılış Excel Aktarım Ek Geliştirme"/>
    <x v="0"/>
    <e v="#N/A"/>
    <x v="0"/>
    <s v="-"/>
    <s v="Ürün İş Listesi"/>
    <n v="1"/>
  </r>
  <r>
    <s v="Story"/>
    <s v="CRM-675"/>
    <x v="1"/>
    <s v="Sipariş Detayı Mersis Süreci Münferit Müşteri E-Devlet Onaya Gönderme"/>
    <x v="0"/>
    <e v="#N/A"/>
    <x v="0"/>
    <s v="-"/>
    <s v="Ürün İş Listesi"/>
    <n v="1"/>
  </r>
  <r>
    <s v="Story"/>
    <s v="CRM-676"/>
    <x v="1"/>
    <s v="Sipariş Detayı Ekranı Mersis Sorgulama"/>
    <x v="0"/>
    <e v="#N/A"/>
    <x v="0"/>
    <s v="-"/>
    <s v="Ürün İş Listesi"/>
    <n v="1"/>
  </r>
  <r>
    <s v="Story"/>
    <s v="CRM-679"/>
    <x v="1"/>
    <s v="Trendyol Projesi Bireysel ve Kurumsal Promosyon Tanımlama"/>
    <x v="0"/>
    <e v="#N/A"/>
    <x v="0"/>
    <s v="-"/>
    <s v="Ürün İş Listesi"/>
    <n v="2"/>
  </r>
  <r>
    <s v="Story"/>
    <s v="CRM-680"/>
    <x v="1"/>
    <s v="Trendyol Projesi DIŞ Bireysel ve Kurumsal Promosyon CRM Sisteminde Tanımlama"/>
    <x v="0"/>
    <e v="#N/A"/>
    <x v="0"/>
    <s v="-"/>
    <s v="Ürün İş Listesi"/>
    <n v="2"/>
  </r>
  <r>
    <s v="Story"/>
    <s v="CRM-681"/>
    <x v="1"/>
    <s v="Trendyol Projesi Ödeme İşlemi Link Gönderimi"/>
    <x v="0"/>
    <e v="#N/A"/>
    <x v="0"/>
    <s v="-"/>
    <s v="Ürün İş Listesi"/>
    <n v="2"/>
  </r>
  <r>
    <s v="Story"/>
    <s v="MUL-210"/>
    <x v="1"/>
    <s v="2025-BTA-013 FKM'ne Geçiş Projesi Test Ortamında Domain Geçiş Hazırlıkları ve Geçiş"/>
    <x v="11"/>
    <e v="#N/A"/>
    <x v="0"/>
    <s v="-"/>
    <s v="Ürün İş Listesi"/>
    <n v="3"/>
  </r>
  <r>
    <s v="Story"/>
    <s v="KIK-153"/>
    <x v="1"/>
    <s v="2025-BTA-013 FKM'ne Geçiş Projesi Test Ortamında Domain Geçiş Hazırlıkları ve Geçiş"/>
    <x v="20"/>
    <e v="#N/A"/>
    <x v="0"/>
    <s v="-"/>
    <s v="Ürün İş Listesi"/>
    <n v="3"/>
  </r>
  <r>
    <s v="Story"/>
    <s v="DS-14"/>
    <x v="1"/>
    <s v="2025-BTA-013 FKM'ne Geçiş Projesi Canlı Ortamı Domain Geçiş Hazırlıkları ve Geçiş"/>
    <x v="2"/>
    <e v="#N/A"/>
    <x v="0"/>
    <s v="-"/>
    <s v="Ürün İş Listesi"/>
    <n v="2"/>
  </r>
  <r>
    <s v="Story"/>
    <s v="IEU-244"/>
    <x v="1"/>
    <s v="192.168.224.224 Sunucusunda /tkapp Diskinden /tklog Diskine Log Yönlendirmesi"/>
    <x v="17"/>
    <e v="#N/A"/>
    <x v="0"/>
    <s v="-"/>
    <s v="Ürün İş Listesi"/>
    <n v="2"/>
  </r>
  <r>
    <s v="Story"/>
    <s v="EFT-2249"/>
    <x v="1"/>
    <s v="e-İrsaliye SAP Servisi Gelen İrsaliyeleri Listele Metodunda Düzenleme"/>
    <x v="4"/>
    <e v="#N/A"/>
    <x v="0"/>
    <s v="-"/>
    <s v="Ürün İş Listesi"/>
    <n v="1"/>
  </r>
  <r>
    <s v="Story"/>
    <s v="EFT-2248"/>
    <x v="1"/>
    <s v="e-Arsiv Teknik Kilavuzu V.1.18 ve earsiv paket v1.1_4 İncelemesi"/>
    <x v="4"/>
    <e v="#N/A"/>
    <x v="0"/>
    <s v="-"/>
    <s v="Ürün İş Listesi"/>
    <n v="3"/>
  </r>
  <r>
    <s v="Story"/>
    <s v="EFT-2239"/>
    <x v="0"/>
    <s v="Nihai Tüketici İfadesi Kullanım Kuralı"/>
    <x v="4"/>
    <e v="#N/A"/>
    <x v="0"/>
    <s v="-"/>
    <s v="Ürün İş Listesi"/>
    <n v="2"/>
  </r>
  <r>
    <s v="Story"/>
    <s v="EFT-2238"/>
    <x v="0"/>
    <s v="Muhtelif Müşteriler İfadesi Kullanım Kuralı"/>
    <x v="4"/>
    <e v="#N/A"/>
    <x v="0"/>
    <s v="-"/>
    <s v="Ürün İş Listesi"/>
    <n v="2"/>
  </r>
  <r>
    <s v="Story"/>
    <s v="EFT-2243"/>
    <x v="1"/>
    <s v="2025-BTA-013 FKM'ne Geçiş Projesi Canlı Ortamı Domain Geçiş Hazırlıkları ve Geçiş"/>
    <x v="4"/>
    <e v="#N/A"/>
    <x v="0"/>
    <s v="-"/>
    <s v="Ürün İş Listesi"/>
    <n v="3"/>
  </r>
  <r>
    <s v="Story"/>
    <s v="MYS-793"/>
    <x v="1"/>
    <s v="Gelen İletiler EYP 2.0 Görüntüleme Desteği ve Ek Alanların Gösterimi"/>
    <x v="12"/>
    <e v="#N/A"/>
    <x v="0"/>
    <s v="-"/>
    <s v="Ürün İş Listesi"/>
    <n v="3"/>
  </r>
  <r>
    <s v="Story"/>
    <s v="UKDS-174"/>
    <x v="1"/>
    <s v="Mobil İmza Aşamasında Operatör Seçeneklerinin Eklenmesi"/>
    <x v="15"/>
    <e v="#N/A"/>
    <x v="0"/>
    <s v="-"/>
    <s v="Ürün İş Listesi"/>
    <m/>
  </r>
  <r>
    <s v="Story"/>
    <s v="MYS-795"/>
    <x v="1"/>
    <s v="Güncelleme Paketi hazırlanması"/>
    <x v="12"/>
    <e v="#N/A"/>
    <x v="0"/>
    <s v="-"/>
    <s v="Ürün İş Listesi"/>
    <m/>
  </r>
  <r>
    <s v="Story"/>
    <s v="MUL-211"/>
    <x v="1"/>
    <s v="2025-BTA-013 FKM'ne Geçiş Projesi Canlı Ortamı Domain Geçiş Hazırlıkları ve Geçiş"/>
    <x v="11"/>
    <e v="#N/A"/>
    <x v="0"/>
    <s v="-"/>
    <s v="Ürün İş Listesi"/>
    <n v="3"/>
  </r>
  <r>
    <s v="Story"/>
    <s v="MU-142"/>
    <x v="1"/>
    <s v="Okunmamış KEP Gönderileri İçin Kırmızı Gösterge (Badge) Tasarımı"/>
    <x v="9"/>
    <e v="#N/A"/>
    <x v="0"/>
    <s v="-"/>
    <s v="Ürün İş Listesi"/>
    <m/>
  </r>
  <r>
    <s v="Story"/>
    <s v="KIK-155"/>
    <x v="1"/>
    <s v="2025-BTA-013 FKM'ne Geçiş Projesi Canlı Ortamı Domain Geçiş Hazırlıkları ve Geçiş"/>
    <x v="16"/>
    <e v="#N/A"/>
    <x v="0"/>
    <s v="-"/>
    <s v="Ürün İş Listesi"/>
    <n v="3"/>
  </r>
  <r>
    <s v="Sub-task"/>
    <s v="KA-1536"/>
    <x v="1"/>
    <s v="Sub-Task Veritabanı ve Servis Geliştirmesi Hk."/>
    <x v="6"/>
    <e v="#N/A"/>
    <x v="0"/>
    <s v="-"/>
    <s v="Ürün İş Listesi"/>
    <m/>
  </r>
  <r>
    <s v="Bug"/>
    <s v="IEU-251"/>
    <x v="1"/>
    <s v="EYP 2.0 oluşturma sırasında aciklama parametresi boş bırakıldığında parser hatası oluşuyor"/>
    <x v="5"/>
    <e v="#N/A"/>
    <x v="0"/>
    <s v="-"/>
    <s v="Ürün İş Listesi"/>
    <m/>
  </r>
  <r>
    <s v="Story"/>
    <s v="ES-302"/>
    <x v="1"/>
    <s v="2025-BTA-013 FKM'ne Geçiş Projesi Canlı Ortam Domain Geçiş Hazırlıkları ve Geçiş"/>
    <x v="21"/>
    <e v="#N/A"/>
    <x v="0"/>
    <s v="-"/>
    <s v="Ürün İş Listesi"/>
    <n v="2"/>
  </r>
  <r>
    <s v="Story"/>
    <s v="ES-301"/>
    <x v="1"/>
    <s v="2025-BTA-013 FKM'ne Geçiş Projesi Test Ortam Domain Geçiş Hazırlıkları ve Geçiş "/>
    <x v="21"/>
    <e v="#N/A"/>
    <x v="0"/>
    <s v="-"/>
    <s v="Ürün İş Listesi"/>
    <n v="2"/>
  </r>
  <r>
    <s v="Story"/>
    <s v="EFT-2260"/>
    <x v="1"/>
    <s v="GİB Güncellemesi – Yeni İstisna Kodu (344) için Düzenlemeler"/>
    <x v="4"/>
    <e v="#N/A"/>
    <x v="0"/>
    <s v="-"/>
    <s v="Ürün İş Listesi"/>
    <n v="2"/>
  </r>
  <r>
    <s v="Story"/>
    <s v="EFT-2258"/>
    <x v="1"/>
    <s v="Konnektör Bağımsız/ 702 Kodlu İhraç Kayıtlı Faturalarda Değişiklik"/>
    <x v="4"/>
    <e v="#N/A"/>
    <x v="0"/>
    <s v="-"/>
    <s v="Ürün İş Listesi"/>
    <n v="3"/>
  </r>
  <r>
    <s v="Story"/>
    <s v="EFT-2257"/>
    <x v="1"/>
    <s v="Konnektör Bağımlı/ 702 Kodlu İhraç Kayıtlı Faturalarda Değişiklik "/>
    <x v="4"/>
    <e v="#N/A"/>
    <x v="0"/>
    <s v="-"/>
    <s v="Ürün İş Listesi"/>
    <n v="2"/>
  </r>
  <r>
    <s v="Story"/>
    <s v="EFT-2256"/>
    <x v="1"/>
    <s v="Portal/ 702 Kodlu İhraç Kayıtlı Faturalarda Değişiklik "/>
    <x v="4"/>
    <e v="#N/A"/>
    <x v="0"/>
    <s v="-"/>
    <s v="Ürün İş Listesi"/>
    <n v="3"/>
  </r>
  <r>
    <s v="Story"/>
    <s v="EFT-2255"/>
    <x v="1"/>
    <s v="e- Fatura Paket Güncellemesi"/>
    <x v="4"/>
    <e v="#N/A"/>
    <x v="0"/>
    <s v="-"/>
    <s v="Ürün İş Listesi"/>
    <n v="2"/>
  </r>
  <r>
    <s v="Story"/>
    <s v="EFT-2254"/>
    <x v="1"/>
    <s v="GIB Web Servisleri Test ve Doğrulama Süreci"/>
    <x v="4"/>
    <e v="#N/A"/>
    <x v="0"/>
    <s v="-"/>
    <s v="Ürün İş Listesi"/>
    <m/>
  </r>
  <r>
    <s v="Story"/>
    <s v="EDF-777"/>
    <x v="1"/>
    <s v="2025-BTA-013 FKM'ne Geçiş Projesi Canlı Ortam Domain Geçiş Hazırlıkları ve Geçiş "/>
    <x v="3"/>
    <e v="#N/A"/>
    <x v="0"/>
    <s v="-"/>
    <s v="Ürün İş Listesi"/>
    <n v="3"/>
  </r>
  <r>
    <s v="Story"/>
    <s v="EDF-774"/>
    <x v="2"/>
    <s v="Araştırma - İmzalama Sürecinde Defterlerde Yaşanan Hatalar "/>
    <x v="3"/>
    <e v="#N/A"/>
    <x v="0"/>
    <s v="-"/>
    <s v="Ürün İş Listesi"/>
    <m/>
  </r>
  <r>
    <s v="Story"/>
    <s v="DAVS-137"/>
    <x v="1"/>
    <s v="File Service – Klasör İçeriğinin Dosya Tipine Göre Getirme Endpoint'i Geliştirilmesi"/>
    <x v="18"/>
    <e v="#N/A"/>
    <x v="0"/>
    <s v="-"/>
    <s v="Ürün İş Listesi"/>
    <m/>
  </r>
  <r>
    <s v="Story"/>
    <s v="DAVS-134"/>
    <x v="1"/>
    <s v="Dosyaların silinmesi"/>
    <x v="18"/>
    <e v="#N/A"/>
    <x v="0"/>
    <s v="-"/>
    <s v="Ürün İş Listesi"/>
    <m/>
  </r>
  <r>
    <s v="Story"/>
    <s v="DAVS-133"/>
    <x v="1"/>
    <s v="Dosya isminin güncellenmesi"/>
    <x v="18"/>
    <e v="#N/A"/>
    <x v="0"/>
    <s v="-"/>
    <s v="Ürün İş Listesi"/>
    <m/>
  </r>
  <r>
    <s v="Story"/>
    <s v="DAVS-132"/>
    <x v="1"/>
    <s v="File Service – Çöp Kutusundaki Tüm Verileri Kalıcı Silme Endpoint'i Geliştirilmesi"/>
    <x v="18"/>
    <e v="#N/A"/>
    <x v="0"/>
    <s v="-"/>
    <s v="Ürün İş Listesi"/>
    <m/>
  </r>
  <r>
    <s v="Story"/>
    <s v="DAVS-131"/>
    <x v="1"/>
    <s v="File Service – Çöp Kutusundaki Tüm Verileri Geri Taşıma Endpoint'i Geliştirilmesi"/>
    <x v="18"/>
    <e v="#N/A"/>
    <x v="0"/>
    <s v="-"/>
    <s v="Ürün İş Listesi"/>
    <m/>
  </r>
  <r>
    <s v="Story"/>
    <s v="DAVS-130"/>
    <x v="1"/>
    <s v="Uygulama açılış sayfası geliştirilmesi"/>
    <x v="18"/>
    <e v="#N/A"/>
    <x v="0"/>
    <s v="-"/>
    <s v="Ürün İş Listesi"/>
    <m/>
  </r>
  <r>
    <s v="Sub-task"/>
    <s v="DAVS-129"/>
    <x v="1"/>
    <s v="File Service – Çöp kutusunda olan Klasör İçeriğini Getirme Endpoint'i Geliştirilmesi"/>
    <x v="18"/>
    <e v="#N/A"/>
    <x v="0"/>
    <s v="-"/>
    <s v="Ürün İş Listesi"/>
    <m/>
  </r>
  <r>
    <s v="Story"/>
    <s v="DAVS-128"/>
    <x v="1"/>
    <s v="Çöp kutusundaki verilerin tamamen silinmesi"/>
    <x v="18"/>
    <e v="#N/A"/>
    <x v="0"/>
    <s v="-"/>
    <s v="Ürün İş Listesi"/>
    <m/>
  </r>
  <r>
    <s v="Story"/>
    <s v="DAVS-127"/>
    <x v="1"/>
    <s v="Çöp kutusundaki verilerin geri yüklenmesi"/>
    <x v="18"/>
    <e v="#N/A"/>
    <x v="0"/>
    <s v="-"/>
    <s v="Ürün İş Listesi"/>
    <m/>
  </r>
  <r>
    <s v="Story"/>
    <s v="DAVS-126"/>
    <x v="1"/>
    <s v="Çöp Kutusu sayfasındaki verilerin listelenmesi"/>
    <x v="18"/>
    <e v="#N/A"/>
    <x v="0"/>
    <s v="-"/>
    <s v="Ürün İş Listesi"/>
    <m/>
  </r>
  <r>
    <s v="Story"/>
    <s v="DAVS-125"/>
    <x v="1"/>
    <s v="Çöp Kutusu sayfası tasarımsal düzenlemeler"/>
    <x v="18"/>
    <e v="#N/A"/>
    <x v="0"/>
    <s v="-"/>
    <s v="Ürün İş Listesi"/>
    <m/>
  </r>
  <r>
    <s v="Story"/>
    <s v="DAVS-124"/>
    <x v="1"/>
    <s v="User Service – Parola Güncelleme Endpoint'i Geliştirilmesi"/>
    <x v="18"/>
    <e v="#N/A"/>
    <x v="0"/>
    <s v="-"/>
    <s v="Ürün İş Listesi"/>
    <m/>
  </r>
  <r>
    <s v="Story"/>
    <s v="DAVS-123"/>
    <x v="1"/>
    <s v="User Service – Parola Sıfırlama Endpoint'i Geliştirilmesi"/>
    <x v="18"/>
    <e v="#N/A"/>
    <x v="0"/>
    <s v="-"/>
    <s v="Ürün İş Listesi"/>
    <m/>
  </r>
  <r>
    <s v="Story"/>
    <s v="DAVS-122"/>
    <x v="1"/>
    <s v="Frontend Geliştirme- Destek Merkezi / SSS "/>
    <x v="18"/>
    <e v="#N/A"/>
    <x v="0"/>
    <s v="-"/>
    <s v="Ürün İş Listesi"/>
    <m/>
  </r>
  <r>
    <s v="Story"/>
    <s v="DAVS-121"/>
    <x v="1"/>
    <s v="Frontend Geliştirme- Doğrulama Kodu Giriş Ekranı  "/>
    <x v="18"/>
    <e v="#N/A"/>
    <x v="0"/>
    <s v="-"/>
    <s v="Ürün İş Listesi"/>
    <m/>
  </r>
  <r>
    <s v="Story"/>
    <s v="DAVS-120"/>
    <x v="1"/>
    <s v="Frontend Geliştirme- Giriş Sayfası "/>
    <x v="18"/>
    <e v="#N/A"/>
    <x v="0"/>
    <s v="-"/>
    <s v="Ürün İş Listesi"/>
    <m/>
  </r>
  <r>
    <s v="Sub-task"/>
    <s v="DAVS-116"/>
    <x v="1"/>
    <s v="Sayfa içi fonksiyon ve tasarım çalışmaları/Sprint3"/>
    <x v="18"/>
    <e v="#N/A"/>
    <x v="0"/>
    <s v="-"/>
    <s v="Ürün İş Listesi"/>
    <m/>
  </r>
  <r>
    <s v="Sub-task"/>
    <s v="DAVS-115"/>
    <x v="1"/>
    <s v="Sayfa içi fonksiyon ve tasarım çalışmaları/Sprint3"/>
    <x v="18"/>
    <e v="#N/A"/>
    <x v="0"/>
    <s v="-"/>
    <s v="Ürün İş Listesi"/>
    <m/>
  </r>
  <r>
    <s v="Sub-task"/>
    <s v="DAVS-113"/>
    <x v="1"/>
    <s v="Sayfa içi fonksiyon ve tasarım çalışmaları/Sprint3"/>
    <x v="18"/>
    <e v="#N/A"/>
    <x v="0"/>
    <s v="-"/>
    <s v="Ürün İş Listesi"/>
    <m/>
  </r>
  <r>
    <s v="Story"/>
    <s v="DAVS-108"/>
    <x v="1"/>
    <s v="Invoices Service – E-Fatura Aktarım Durumu Sorgulama Endpoint’inin Geliştirilmesi"/>
    <x v="18"/>
    <e v="#N/A"/>
    <x v="0"/>
    <s v="-"/>
    <s v="Ürün İş Listesi"/>
    <m/>
  </r>
  <r>
    <s v="Story"/>
    <s v="DAVS-107"/>
    <x v="1"/>
    <s v="Invoices Service – E-Fatura Dosyası Gönderme Endpoint’inin Geliştirilmesi"/>
    <x v="18"/>
    <e v="#N/A"/>
    <x v="0"/>
    <s v="-"/>
    <s v="Ürün İş Listesi"/>
    <m/>
  </r>
  <r>
    <s v="Story"/>
    <s v="DAVS-106"/>
    <x v="1"/>
    <s v="Rem Service – KEP Dosya Aktarım Durumu Sorgulama Endpoint’i Geliştirilmesi"/>
    <x v="18"/>
    <e v="#N/A"/>
    <x v="0"/>
    <s v="-"/>
    <s v="Ürün İş Listesi"/>
    <m/>
  </r>
  <r>
    <s v="Story"/>
    <s v="DAVS-105"/>
    <x v="1"/>
    <s v="Rem Service – KEP Üzerinden Dosya Gönderimi Endpoint’i Geliştirilmesi"/>
    <x v="18"/>
    <e v="#N/A"/>
    <x v="0"/>
    <s v="-"/>
    <s v="Ürün İş Listesi"/>
    <m/>
  </r>
  <r>
    <s v="Story"/>
    <s v="DAVS-101"/>
    <x v="1"/>
    <s v="Integrations Service – İrsaliye Kayıtlarını Filtreleme Endpoint’i Geliştirilmesi"/>
    <x v="18"/>
    <e v="#N/A"/>
    <x v="0"/>
    <s v="-"/>
    <s v="Ürün İş Listesi"/>
    <m/>
  </r>
  <r>
    <s v="Story"/>
    <s v="DAVS-100"/>
    <x v="1"/>
    <s v="Integrations Service – İrsaliye Listeleme Endpoint’i Geliştirilmesi"/>
    <x v="18"/>
    <e v="#N/A"/>
    <x v="0"/>
    <s v="-"/>
    <s v="Ürün İş Listesi"/>
    <m/>
  </r>
  <r>
    <s v="Story"/>
    <s v="DAVS-99"/>
    <x v="1"/>
    <s v="Integrations Service – Fatura Kayıtlarını Filtreleme Endpoint’i Geliştirilmesi"/>
    <x v="18"/>
    <e v="#N/A"/>
    <x v="0"/>
    <s v="-"/>
    <s v="Ürün İş Listesi"/>
    <m/>
  </r>
  <r>
    <s v="Story"/>
    <s v="DAVS-98"/>
    <x v="1"/>
    <s v="Integrations Service – Fatura Listeleme Endpoint’i Geliştirilmesi"/>
    <x v="18"/>
    <e v="#N/A"/>
    <x v="0"/>
    <s v="-"/>
    <s v="Ürün İş Listesi"/>
    <m/>
  </r>
  <r>
    <s v="Story"/>
    <s v="DAVS-97"/>
    <x v="1"/>
    <s v="Integrations Service – KEP İletilerini Filtreleme Endpoint’i Geliştirilmesi"/>
    <x v="18"/>
    <e v="#N/A"/>
    <x v="0"/>
    <s v="-"/>
    <s v="Ürün İş Listesi"/>
    <m/>
  </r>
  <r>
    <s v="Story"/>
    <s v="DAVS-96"/>
    <x v="1"/>
    <s v="Integrations Service – KEP İletilerini Listeleme Endpoint’i Geliştirilmesi"/>
    <x v="18"/>
    <e v="#N/A"/>
    <x v="0"/>
    <s v="-"/>
    <s v="Ürün İş Listesi"/>
    <m/>
  </r>
  <r>
    <s v="Story"/>
    <s v="DAVS-95"/>
    <x v="1"/>
    <s v="Integrations Service – KEP Hesaplarını Listeleme Endpoint’i Geliştirilmesi"/>
    <x v="18"/>
    <e v="#N/A"/>
    <x v="0"/>
    <s v="-"/>
    <s v="Ürün İş Listesi"/>
    <m/>
  </r>
  <r>
    <s v="Story"/>
    <s v="DAVS-94"/>
    <x v="1"/>
    <s v="Integrations Service – Entegrasyon Modüllerini Getirme Endpoint’i Geliştirilmesi"/>
    <x v="18"/>
    <e v="#N/A"/>
    <x v="0"/>
    <s v="-"/>
    <s v="Ürün İş Listesi"/>
    <m/>
  </r>
  <r>
    <s v="Story"/>
    <s v="DAVS-93"/>
    <x v="1"/>
    <s v="Document Operations Service – Parçalı Yüklemeyi Tamamlama Endpoint’i Geliştirilmesi"/>
    <x v="18"/>
    <e v="#N/A"/>
    <x v="0"/>
    <s v="-"/>
    <s v="Ürün İş Listesi"/>
    <m/>
  </r>
  <r>
    <s v="Story"/>
    <s v="DAVS-91"/>
    <x v="1"/>
    <s v="Document Operations Service – Dosya Yükleme Endpoint’i Geliştirilmesi"/>
    <x v="18"/>
    <e v="#N/A"/>
    <x v="0"/>
    <s v="-"/>
    <s v="Ürün İş Listesi"/>
    <m/>
  </r>
  <r>
    <s v="Story"/>
    <s v="DAVS-89"/>
    <x v="1"/>
    <s v="File Service – Çöp Kutusu Kalıcı Silme Endpoint'i Geliştirilmesi"/>
    <x v="18"/>
    <e v="#N/A"/>
    <x v="0"/>
    <s v="-"/>
    <s v="Ürün İş Listesi"/>
    <m/>
  </r>
  <r>
    <s v="Story"/>
    <s v="DAVS-88"/>
    <x v="1"/>
    <s v="File Service – Çöp Kutusundan Geri Taşıma Endpoint'i Geliştirilmesi"/>
    <x v="18"/>
    <e v="#N/A"/>
    <x v="0"/>
    <s v="-"/>
    <s v="Ürün İş Listesi"/>
    <m/>
  </r>
  <r>
    <s v="Story"/>
    <s v="DAVS-86"/>
    <x v="1"/>
    <s v="File Service – Dosya İsmini Güncelleme Endpoint'i Geliştirilmesi"/>
    <x v="18"/>
    <e v="#N/A"/>
    <x v="0"/>
    <s v="-"/>
    <s v="Ürün İş Listesi"/>
    <m/>
  </r>
  <r>
    <s v="Story"/>
    <s v="DAVS-85"/>
    <x v="1"/>
    <s v="File Service – Dosya Kopyalama Endpoint'i Geliştirilmesi"/>
    <x v="18"/>
    <e v="#N/A"/>
    <x v="0"/>
    <s v="-"/>
    <s v="Ürün İş Listesi"/>
    <m/>
  </r>
  <r>
    <s v="Story"/>
    <s v="DAVS-84"/>
    <x v="1"/>
    <s v="File Service – Dosya Taşıma Endpoint'i Geliştirilmesi"/>
    <x v="18"/>
    <e v="#N/A"/>
    <x v="0"/>
    <s v="-"/>
    <s v="Ürün İş Listesi"/>
    <m/>
  </r>
  <r>
    <s v="Story"/>
    <s v="DAVS-83"/>
    <x v="1"/>
    <s v="File Service – Dosyayı Çöp Kutusuna Taşıma Endpoint'i Geliştirilmesi"/>
    <x v="18"/>
    <e v="#N/A"/>
    <x v="0"/>
    <s v="-"/>
    <s v="Ürün İş Listesi"/>
    <m/>
  </r>
  <r>
    <s v="Story"/>
    <s v="DAVS-79"/>
    <x v="1"/>
    <s v="File Service – Dosya Arama Endpoint'i Geliştirilmesi"/>
    <x v="18"/>
    <e v="#N/A"/>
    <x v="0"/>
    <s v="-"/>
    <s v="Ürün İş Listesi"/>
    <m/>
  </r>
  <r>
    <s v="Story"/>
    <s v="DAVS-78"/>
    <x v="1"/>
    <s v="File Service – Ana Klasördeki Dosyaları Getirme Endpoint'i Geliştirilmesi"/>
    <x v="18"/>
    <e v="#N/A"/>
    <x v="0"/>
    <s v="-"/>
    <s v="Ürün İş Listesi"/>
    <m/>
  </r>
  <r>
    <s v="Story"/>
    <s v="DAVS-77"/>
    <x v="1"/>
    <s v="File Service – Önerilen Belgeleri Getirme Endpoint'i Geliştirilmesi"/>
    <x v="18"/>
    <e v="#N/A"/>
    <x v="0"/>
    <s v="-"/>
    <s v="Ürün İş Listesi"/>
    <m/>
  </r>
  <r>
    <s v="Story"/>
    <s v="DAVS-75"/>
    <x v="1"/>
    <s v="User Service – OTP Doğrulama ve Token Oluşturma Endpoint'i Geliştirilmesi"/>
    <x v="18"/>
    <e v="#N/A"/>
    <x v="0"/>
    <s v="-"/>
    <s v="Ürün İş Listesi"/>
    <m/>
  </r>
  <r>
    <s v="Story"/>
    <s v="DAVS-74"/>
    <x v="1"/>
    <s v="User Service – Giriş ve OTP Gönderimi Endpoint'i Geliştirilmesi"/>
    <x v="18"/>
    <e v="#N/A"/>
    <x v="0"/>
    <s v="-"/>
    <s v="Ürün İş Listesi"/>
    <m/>
  </r>
  <r>
    <s v="Story"/>
    <s v="DAVS-73"/>
    <x v="1"/>
    <s v="User Service – Organizasyona Ait Kullanıcıları Getirme Endpoint'i Geliştirilmesi"/>
    <x v="18"/>
    <e v="#N/A"/>
    <x v="0"/>
    <s v="-"/>
    <s v="Ürün İş Listesi"/>
    <m/>
  </r>
  <r>
    <s v="Story"/>
    <s v="DAVS-72"/>
    <x v="1"/>
    <s v="User Service – Kullanıcıyı Pasife Çekme Endpoint'i Geliştirilmesi"/>
    <x v="18"/>
    <e v="#N/A"/>
    <x v="0"/>
    <s v="-"/>
    <s v="Ürün İş Listesi"/>
    <m/>
  </r>
  <r>
    <s v="Story"/>
    <s v="DAVS-71"/>
    <x v="1"/>
    <s v="User Service – Kullanıcı Bilgisi Güncelleme Endpoint'i Geliştirilmesi"/>
    <x v="18"/>
    <e v="#N/A"/>
    <x v="0"/>
    <s v="-"/>
    <s v="Ürün İş Listesi"/>
    <m/>
  </r>
  <r>
    <s v="Story"/>
    <s v="DAVS-70"/>
    <x v="1"/>
    <s v="User Service – Yeni Kullanıcı Oluşturma Endpoint'i Geliştirilmesi"/>
    <x v="18"/>
    <e v="#N/A"/>
    <x v="0"/>
    <s v="-"/>
    <s v="Ürün İş Listesi"/>
    <m/>
  </r>
  <r>
    <s v="Story"/>
    <s v="DAVS-69"/>
    <x v="1"/>
    <s v="User Service – Kullanıcının Bilgilerini Getirme Endpoint'i Geliştirilmesi"/>
    <x v="18"/>
    <e v="#N/A"/>
    <x v="0"/>
    <s v="-"/>
    <s v="Ürün İş Listesi"/>
    <m/>
  </r>
  <r>
    <s v="Story"/>
    <s v="DAVS-68"/>
    <x v="1"/>
    <s v="Organization Service – Kota ve Kullanım Bilgisi Getirme Endpoint'i Geliştirilmesi"/>
    <x v="18"/>
    <e v="#N/A"/>
    <x v="0"/>
    <s v="-"/>
    <s v="Ürün İş Listesi"/>
    <m/>
  </r>
  <r>
    <s v="Story"/>
    <s v="CRM-691"/>
    <x v="1"/>
    <s v="Kurumsal KEP Öneri Firma Adı Karakter Sınırı Güncelleme"/>
    <x v="0"/>
    <e v="#N/A"/>
    <x v="0"/>
    <s v="-"/>
    <s v="Ürün İş Listesi"/>
    <n v="1"/>
  </r>
  <r>
    <s v="Story"/>
    <s v="CRM-689"/>
    <x v="1"/>
    <s v="Başvuru Formları CRM İçerisinde Güncellenmesi"/>
    <x v="0"/>
    <e v="#N/A"/>
    <x v="0"/>
    <s v="-"/>
    <s v="Ürün İş Listesi"/>
    <n v="1"/>
  </r>
  <r>
    <s v="Story"/>
    <s v="CRM-688"/>
    <x v="0"/>
    <s v="Müşteriye Askıda Olan Siparişi İçin Hatırlatma "/>
    <x v="0"/>
    <e v="#N/A"/>
    <x v="0"/>
    <s v="-"/>
    <s v="Ürün İş Listesi"/>
    <m/>
  </r>
  <r>
    <s v="Story"/>
    <s v="CRM-687"/>
    <x v="1"/>
    <s v="E-Ödeme Test Sunucusunun Kurulumu"/>
    <x v="0"/>
    <e v="#N/A"/>
    <x v="0"/>
    <s v="-"/>
    <s v="Ürün İş Listesi"/>
    <n v="2"/>
  </r>
  <r>
    <s v="Story"/>
    <s v="CRM-683"/>
    <x v="1"/>
    <s v="E-İmza Aktivasyon SMS'nin Türkkep CRM Üzerinden Tetiklenmesi"/>
    <x v="0"/>
    <e v="#N/A"/>
    <x v="0"/>
    <s v="-"/>
    <s v="Ürün İş Listesi"/>
    <n v="5"/>
  </r>
  <r>
    <s v="Story"/>
    <s v="CRM-690"/>
    <x v="0"/>
    <s v="Trendyol'dan Gelen Başvuruların Ayrıştırılması"/>
    <x v="0"/>
    <e v="#N/A"/>
    <x v="0"/>
    <s v="-"/>
    <s v="Ürün İş Listesi"/>
    <n v="2"/>
  </r>
  <r>
    <s v="Story"/>
    <s v="KA-1537"/>
    <x v="1"/>
    <s v="Uygulamada İngilizce İfadelerin Türkçeleştirilmesi"/>
    <x v="6"/>
    <e v="#N/A"/>
    <x v="0"/>
    <s v="-"/>
    <s v="Ürün İş Listesi"/>
    <n v="3"/>
  </r>
  <r>
    <s v="Story"/>
    <s v="MYS-798"/>
    <x v="1"/>
    <s v="Uygulamada İngilizce İfadelerin Türkçeleştirilmesi"/>
    <x v="12"/>
    <e v="#N/A"/>
    <x v="0"/>
    <s v="-"/>
    <s v="Ürün İş Listesi"/>
    <n v="2"/>
  </r>
  <r>
    <s v="Story"/>
    <s v="MU-146"/>
    <x v="1"/>
    <s v="UKDS Giriş Ekranı Alan Gösterimi"/>
    <x v="9"/>
    <e v="#N/A"/>
    <x v="0"/>
    <s v="-"/>
    <s v="Ürün İş Listesi"/>
    <n v="3"/>
  </r>
  <r>
    <s v="Story"/>
    <s v="MU-147"/>
    <x v="1"/>
    <s v="UKDS Güncellemeleri Mobil Uygulama Uyumlandırması ve Trendyol Başvuru Süreçleri"/>
    <x v="9"/>
    <e v="#N/A"/>
    <x v="0"/>
    <s v="-"/>
    <s v="Ürün İş Listesi"/>
    <n v="8"/>
  </r>
  <r>
    <s v="Story"/>
    <s v="WIK-713"/>
    <x v="1"/>
    <s v="Doğum Tarihi Alanının Tüm Bölgesini Tıklanabilir Olması"/>
    <x v="16"/>
    <e v="#N/A"/>
    <x v="0"/>
    <s v="-"/>
    <s v="Ürün İş Listesi"/>
    <n v="2"/>
  </r>
  <r>
    <s v="Story"/>
    <s v="WIK-715"/>
    <x v="1"/>
    <s v="Örnek Excel Formatındaki E-Posta Adresinin Güncellenmesi"/>
    <x v="16"/>
    <e v="#N/A"/>
    <x v="0"/>
    <s v="-"/>
    <s v="Ürün İş Listesi"/>
    <n v="1"/>
  </r>
  <r>
    <s v="Story"/>
    <s v="WIK-716"/>
    <x v="1"/>
    <s v="Islak İmza Sürecinde Gösterilen Uyarı Mesajı Kutusunun Boyutunun Küçültülmesi"/>
    <x v="16"/>
    <e v="#N/A"/>
    <x v="0"/>
    <s v="-"/>
    <s v="Ürün İş Listesi"/>
    <n v="1"/>
  </r>
  <r>
    <s v="Story"/>
    <s v="IEU-252"/>
    <x v="1"/>
    <s v="EYP 1.3 Dokümana Uygunluk Kapsamında Eksik Kontrollerin Tamamlanması"/>
    <x v="5"/>
    <e v="#N/A"/>
    <x v="0"/>
    <s v="-"/>
    <s v="Ürün İş Listesi"/>
    <n v="3"/>
  </r>
  <r>
    <s v="Story"/>
    <s v="IEU-253"/>
    <x v="1"/>
    <s v="EYP 2.0 Dokümana Uygunluk Kapsamında Eksik Kontrollerin Tamamlanması"/>
    <x v="5"/>
    <e v="#N/A"/>
    <x v="0"/>
    <s v="-"/>
    <s v="Ürün İş Listesi"/>
    <n v="3"/>
  </r>
  <r>
    <s v="Bug"/>
    <s v="IEU-257"/>
    <x v="1"/>
    <s v="Kota hesaplama servisinde bazı hesapların kotası veri tabanına yazılmaması"/>
    <x v="5"/>
    <e v="#N/A"/>
    <x v="0"/>
    <s v="-"/>
    <s v="Ürün İş Listesi"/>
    <n v="1"/>
  </r>
  <r>
    <s v="Story"/>
    <s v="MU-149"/>
    <x v="1"/>
    <s v="UKDS Süreç Takibi ve Hata Giderme Çalışmaları"/>
    <x v="9"/>
    <e v="#N/A"/>
    <x v="0"/>
    <s v="-"/>
    <s v="Ürün İş Listesi"/>
    <n v="5"/>
  </r>
  <r>
    <s v="Story"/>
    <s v="EFT-2266"/>
    <x v="1"/>
    <s v="Mevcut QR Code Image Alanlarının Kaldırılması – Sadece JavaScript ile Devam Edilmesi"/>
    <x v="4"/>
    <e v="#N/A"/>
    <x v="0"/>
    <s v="-"/>
    <s v="Ürün İş Listesi"/>
    <n v="5"/>
  </r>
  <r>
    <s v="Story"/>
    <s v="EFT-2261"/>
    <x v="1"/>
    <s v="Araştırma-Gelen Faturaların Sistem Üzerinde Görünmemesi Durumunun İncelenmesi"/>
    <x v="4"/>
    <e v="#N/A"/>
    <x v="0"/>
    <s v="-"/>
    <s v="Ürün İş Listesi"/>
    <n v="5"/>
  </r>
  <r>
    <s v="Story"/>
    <s v="EFT-2259"/>
    <x v="1"/>
    <s v="Web Servis/ 702 Kodlu İhraç Kayıtlı Faturalarda Değişiklik"/>
    <x v="4"/>
    <e v="#N/A"/>
    <x v="0"/>
    <s v="-"/>
    <s v="Ürün İş Listesi"/>
    <n v="2"/>
  </r>
  <r>
    <s v="Bug"/>
    <s v="EDF-781"/>
    <x v="1"/>
    <s v="Onaylı Defter Silme İşleminde GİB Kontrolü"/>
    <x v="3"/>
    <e v="#N/A"/>
    <x v="0"/>
    <s v="-"/>
    <s v="Ürün İş Listesi"/>
    <n v="1"/>
  </r>
  <r>
    <s v="Story"/>
    <s v="KA-1541"/>
    <x v="1"/>
    <s v="OverFrame – AllowedHosts IP Bağımlılığı Sorunu"/>
    <x v="6"/>
    <e v="#N/A"/>
    <x v="0"/>
    <s v="-"/>
    <s v="Ürün İş Listesi"/>
    <n v="5"/>
  </r>
  <r>
    <s v="Bug"/>
    <s v="EFT-2270"/>
    <x v="1"/>
    <s v="Web Serviste YeniGelenFaturalarıListele Metodu Şahıs Şirketi Bilgileri"/>
    <x v="4"/>
    <e v="#N/A"/>
    <x v="0"/>
    <s v="-"/>
    <s v="Ürün İş Listesi"/>
    <n v="2"/>
  </r>
  <r>
    <s v="Bug"/>
    <s v="EFT-2269"/>
    <x v="1"/>
    <s v="Web Serviste FaturaGonder Metodu 00 ile Başlayan TaxID Düzeltmesi"/>
    <x v="4"/>
    <e v="#N/A"/>
    <x v="0"/>
    <s v="-"/>
    <s v="Ürün İş Listesi"/>
    <n v="2"/>
  </r>
  <r>
    <s v="Story"/>
    <s v="EFT-2268"/>
    <x v="1"/>
    <s v="Konnektör – E-Fatura/İrsaliye Ekranlarında Notlar Alanında Scroll Fonksiyonun Eklenmesi"/>
    <x v="4"/>
    <e v="#N/A"/>
    <x v="0"/>
    <s v="-"/>
    <s v="Ürün İş Listesi"/>
    <n v="1"/>
  </r>
  <r>
    <s v="Bug"/>
    <s v="EFT-2267"/>
    <x v="1"/>
    <s v="Tüm XSLT’lerde GİB logosu güncellemesi"/>
    <x v="4"/>
    <e v="#N/A"/>
    <x v="0"/>
    <s v="-"/>
    <s v="Ürün İş Listesi"/>
    <n v="1"/>
  </r>
  <r>
    <s v="Story"/>
    <s v="DP-285"/>
    <x v="1"/>
    <s v="&quot;Harici Olarak İşaretleme&quot; ve Arşiv Bilgisi Alanlarin Eklenmesi"/>
    <x v="1"/>
    <e v="#N/A"/>
    <x v="0"/>
    <s v="-"/>
    <s v="Ürün İş Listesi"/>
    <n v="1"/>
  </r>
  <r>
    <s v="Story"/>
    <s v="CRM-692"/>
    <x v="1"/>
    <s v="Rest Servisinde Kullanılan Zaman Damgası Kullanıcısının Değiştirimesi"/>
    <x v="0"/>
    <e v="#N/A"/>
    <x v="0"/>
    <s v="-"/>
    <s v="Ürün İş Listesi"/>
    <n v="1"/>
  </r>
  <r>
    <s v="Story"/>
    <s v="CRM-693"/>
    <x v="1"/>
    <s v="Kurumsal KEP Adresi Öneri Güncelleme"/>
    <x v="0"/>
    <e v="#N/A"/>
    <x v="0"/>
    <s v="-"/>
    <s v="Ürün İş Listesi"/>
    <n v="2"/>
  </r>
  <r>
    <s v="Story"/>
    <s v="CRM-702"/>
    <x v="1"/>
    <s v="CRM Sözleşme PDF'i Unvan Uzunlukları ve Adres Formatı"/>
    <x v="0"/>
    <e v="#N/A"/>
    <x v="0"/>
    <s v="-"/>
    <s v="Ürün İş Listesi"/>
    <n v="1"/>
  </r>
  <r>
    <s v="Story"/>
    <s v="CRM-700"/>
    <x v="1"/>
    <s v="UKDS Bireysel KEP Kontrol Otomasyonu"/>
    <x v="0"/>
    <e v="#N/A"/>
    <x v="0"/>
    <s v="-"/>
    <s v="Ürün İş Listesi"/>
    <n v="5"/>
  </r>
  <r>
    <s v="Story"/>
    <s v="CRM-701"/>
    <x v="1"/>
    <s v="UKDS Kurumsal KEP Kontrol Otomasyonu"/>
    <x v="0"/>
    <e v="#N/A"/>
    <x v="0"/>
    <s v="-"/>
    <s v="Ürün İş Listesi"/>
    <n v="3"/>
  </r>
  <r>
    <s v="Story"/>
    <s v="WIK-717"/>
    <x v="1"/>
    <s v="Uygulama İçindeki “KEP Sender” İfadesinin Türkçeleştirilmesi"/>
    <x v="16"/>
    <e v="#N/A"/>
    <x v="0"/>
    <s v="-"/>
    <s v="Ürün İş Listesi"/>
    <n v="1"/>
  </r>
  <r>
    <s v="Story"/>
    <s v="WIK-721"/>
    <x v="1"/>
    <s v="İnceleme-Kütüphane Değişliği"/>
    <x v="16"/>
    <e v="#N/A"/>
    <x v="0"/>
    <s v="-"/>
    <s v="Ürün İş Listesi"/>
    <n v="3"/>
  </r>
  <r>
    <s v="Story"/>
    <s v="UKDS-176"/>
    <x v="1"/>
    <s v="Test Robot Ortamının Kurulması"/>
    <x v="16"/>
    <e v="#N/A"/>
    <x v="0"/>
    <s v="-"/>
    <s v="Ürün İş Listesi"/>
    <n v="3"/>
  </r>
  <r>
    <s v="Story"/>
    <s v="MU-127"/>
    <x v="1"/>
    <s v="Şifremi Unuttum” Ekranında Sayfa Geçişlerinde Oluşan Katmanlama Hatası"/>
    <x v="9"/>
    <e v="#N/A"/>
    <x v="0"/>
    <s v="-"/>
    <s v="Ürün İş Listesi"/>
    <n v="3"/>
  </r>
  <r>
    <s v="Bug"/>
    <s v="IEU-262"/>
    <x v="1"/>
    <s v="API Entegrasyonu: SBM Firması Yanıtında Türkçe Karakter Kodlama Sorunu (UTF-8)"/>
    <x v="5"/>
    <e v="#N/A"/>
    <x v="0"/>
    <s v="-"/>
    <s v="Ürün İş Listesi"/>
    <n v="3"/>
  </r>
  <r>
    <s v="Story"/>
    <s v="MYS-803"/>
    <x v="1"/>
    <s v="İngilizce Metinlerin Türkçeleştirilmesi"/>
    <x v="12"/>
    <e v="#N/A"/>
    <x v="0"/>
    <s v="-"/>
    <s v="Ürün İş Listesi"/>
    <n v="3"/>
  </r>
  <r>
    <s v="Bug"/>
    <s v="KA-1547"/>
    <x v="1"/>
    <s v="Toplu Dosya İmzalama İşleminde Chrome Performans Sorunu"/>
    <x v="6"/>
    <e v="#N/A"/>
    <x v="0"/>
    <s v="-"/>
    <s v="Ürün İş Listesi"/>
    <n v="3"/>
  </r>
  <r>
    <s v="Bug"/>
    <s v="KA-1548"/>
    <x v="1"/>
    <s v="Çoklu KEP İletisi Oluşturulduğunda İmzalama Hatası"/>
    <x v="6"/>
    <e v="#N/A"/>
    <x v="0"/>
    <s v="-"/>
    <s v="Ürün İş Listesi"/>
    <n v="3"/>
  </r>
  <r>
    <s v="Bug"/>
    <s v="MU-126"/>
    <x v="1"/>
    <s v="UKDS Login Ekranında Sayfa Geçişlerinde Görülen Katmanlama Hatası"/>
    <x v="9"/>
    <e v="#N/A"/>
    <x v="0"/>
    <s v="-"/>
    <s v="Ürün İş Listesi"/>
    <n v="3"/>
  </r>
  <r>
    <s v="Story"/>
    <s v="MU-152"/>
    <x v="1"/>
    <s v="Deferred Deep Link Entegrasyonu: Teknik Analiz ve MVP Uygulaması"/>
    <x v="9"/>
    <e v="#N/A"/>
    <x v="0"/>
    <s v="-"/>
    <s v="Ürün İş Listesi"/>
    <n v="5"/>
  </r>
  <r>
    <s v="Story"/>
    <s v="MU-153"/>
    <x v="0"/>
    <s v="Kullanıcı Davranış Analizi İçin Mobil Uygulama Event'lerinin Entegrasyonu"/>
    <x v="9"/>
    <e v="#N/A"/>
    <x v="0"/>
    <s v="-"/>
    <s v="Ürün İş Listesi"/>
    <n v="5"/>
  </r>
  <r>
    <s v="Bug"/>
    <s v="ES-303"/>
    <x v="1"/>
    <s v="Yetkilendirme Düzeltmesi"/>
    <x v="21"/>
    <e v="#N/A"/>
    <x v="0"/>
    <s v="-"/>
    <s v="Ürün İş Listesi"/>
    <n v="1"/>
  </r>
  <r>
    <s v="Sub-task"/>
    <s v="EFT-2277"/>
    <x v="1"/>
    <s v="EFT-2267 Mevcut default xslt dosyalarının GIB logosunun güncellenmesi"/>
    <x v="4"/>
    <e v="#N/A"/>
    <x v="0"/>
    <s v="-"/>
    <s v="Ürün İş Listesi"/>
    <n v="1"/>
  </r>
  <r>
    <s v="Story"/>
    <s v="EFT-2278"/>
    <x v="1"/>
    <s v="e-Fatura portalda parent yapısı için kullanılan imzalamanın set-up güncellemesi"/>
    <x v="4"/>
    <e v="#N/A"/>
    <x v="0"/>
    <s v="-"/>
    <s v="Ürün İş Listesi"/>
    <n v="2"/>
  </r>
  <r>
    <s v="Bug"/>
    <s v="EFT-2276"/>
    <x v="1"/>
    <s v="Regex Kurallarının Düzenlenmesi"/>
    <x v="4"/>
    <e v="#N/A"/>
    <x v="0"/>
    <s v="-"/>
    <s v="Ürün İş Listesi"/>
    <n v="1"/>
  </r>
  <r>
    <s v="Story"/>
    <s v="IEU-263"/>
    <x v="1"/>
    <s v="Entegrasyon Suit - UKDS Servis Uyarılarının Ortaklaştırılması"/>
    <x v="5"/>
    <e v="#N/A"/>
    <x v="0"/>
    <s v="-"/>
    <s v="Ürün İş Listesi"/>
    <n v="5"/>
  </r>
  <r>
    <s v="Story"/>
    <s v="EFT-2281"/>
    <x v="1"/>
    <s v="Prod Ortamda Xslt Dosyalarının Script Olması"/>
    <x v="4"/>
    <e v="#N/A"/>
    <x v="0"/>
    <s v="-"/>
    <s v="Ürün İş Listesi"/>
    <n v="5"/>
  </r>
  <r>
    <s v="Story"/>
    <s v="EFT-2279"/>
    <x v="1"/>
    <s v="Mail Gönderimlerinin Ortaklaştırılması"/>
    <x v="4"/>
    <e v="#N/A"/>
    <x v="0"/>
    <s v="-"/>
    <s v="Ürün İş Listesi"/>
    <n v="3"/>
  </r>
  <r>
    <s v="Story"/>
    <s v="EFT-2280"/>
    <x v="1"/>
    <s v="Kullanıcı Bildirim Stratejisinin Analizi ve Uygulama Bazında Dokümantasyonu"/>
    <x v="4"/>
    <e v="#N/A"/>
    <x v="0"/>
    <s v="-"/>
    <s v="Ürün İş Listesi"/>
    <n v="2"/>
  </r>
  <r>
    <s v="Story"/>
    <s v="EFT-2282"/>
    <x v="1"/>
    <s v="SAP Servisleri / Gelenirsliyeindir ve Gelenirsliyelistele Metodlarının İncelenmesi"/>
    <x v="4"/>
    <e v="#N/A"/>
    <x v="0"/>
    <s v="-"/>
    <s v="Ürün İş Listesi"/>
    <n v="2"/>
  </r>
  <r>
    <s v="Story"/>
    <s v="CRM-696"/>
    <x v="1"/>
    <s v="E-İmza Siparişleri Ek Düzenleme"/>
    <x v="0"/>
    <e v="#N/A"/>
    <x v="0"/>
    <s v="-"/>
    <s v="Ürün İş Listesi"/>
    <n v="3"/>
  </r>
  <r>
    <s v="Story"/>
    <s v="CRM-712"/>
    <x v="1"/>
    <s v="E-Ödeme Linki Gönderiminde Onay Süreci Şartı"/>
    <x v="0"/>
    <e v="#N/A"/>
    <x v="0"/>
    <s v="-"/>
    <s v="Ürün İş Listesi"/>
    <n v="1"/>
  </r>
  <r>
    <s v="Story"/>
    <s v="CRM-708"/>
    <x v="1"/>
    <s v="Halkbank Projesi için Statü Kodlarının Eklenmesi"/>
    <x v="0"/>
    <e v="#N/A"/>
    <x v="0"/>
    <s v="-"/>
    <s v="Ürün İş Listesi"/>
    <n v="5"/>
  </r>
  <r>
    <s v="Story"/>
    <s v="CRM-709"/>
    <x v="1"/>
    <s v="UKDS Kontrol Otomasyon Raporu"/>
    <x v="0"/>
    <e v="#N/A"/>
    <x v="0"/>
    <s v="-"/>
    <s v="Ürün İş Listesi"/>
    <n v="1"/>
  </r>
  <r>
    <s v="Story"/>
    <s v="CRM-710"/>
    <x v="1"/>
    <s v="UKDS Kontrol Otomasyonu Kurumsal KEP Öneri"/>
    <x v="0"/>
    <e v="#N/A"/>
    <x v="0"/>
    <s v="-"/>
    <s v="Ürün İş Listesi"/>
    <n v="3"/>
  </r>
  <r>
    <s v="Story"/>
    <s v="CRM-711"/>
    <x v="1"/>
    <s v="MERSİS Sonuç Dokümanı ile CRM Müşteri Ekranı VKN Eşleştirmesi"/>
    <x v="0"/>
    <e v="#N/A"/>
    <x v="0"/>
    <s v="-"/>
    <s v="Ürün İş Listesi"/>
    <n v="3"/>
  </r>
  <r>
    <s v="Story"/>
    <s v="UKDS-180"/>
    <x v="1"/>
    <s v="UKDS e- Devlet Onay Linki Süreci İçin Hatırlatma Bildirimleri"/>
    <x v="15"/>
    <e v="#N/A"/>
    <x v="0"/>
    <s v="-"/>
    <s v="Ürün İş Listesi"/>
    <m/>
  </r>
  <r>
    <s v="Story"/>
    <s v="WIK-732"/>
    <x v="1"/>
    <s v="Araştırma- Kep İK Servisleri İçin DB Partitioning İşleminin Teknik Değerlendirilmesi"/>
    <x v="16"/>
    <e v="#N/A"/>
    <x v="0"/>
    <s v="-"/>
    <s v="Ürün İş Listesi"/>
    <m/>
  </r>
  <r>
    <s v="Story"/>
    <s v="WIK-724"/>
    <x v="1"/>
    <s v="Uyarı Gösteriminde PrimeNG Kütüphanesi Entegrasyonunun Sağlanması"/>
    <x v="16"/>
    <e v="#N/A"/>
    <x v="0"/>
    <s v="-"/>
    <s v="Ürün İş Listesi"/>
    <n v="8"/>
  </r>
  <r>
    <s v="Story"/>
    <s v="WIK-725"/>
    <x v="1"/>
    <s v="Toast Mesajlarının Gruplandırmaya Göre Yeniden Düzenlenmesi ve Metinlerin İyileştirilmesi"/>
    <x v="16"/>
    <e v="#N/A"/>
    <x v="0"/>
    <s v="-"/>
    <s v="Ürün İş Listesi"/>
    <n v="3"/>
  </r>
  <r>
    <s v="Bug"/>
    <s v="KEP-304"/>
    <x v="1"/>
    <s v="KEP Adresi Arama Alanında EYP Görüntüleme Sorunu"/>
    <x v="7"/>
    <e v="#N/A"/>
    <x v="0"/>
    <s v="-"/>
    <s v="Ürün İş Listesi"/>
    <n v="2"/>
  </r>
  <r>
    <s v="Story"/>
    <s v="WIK-731"/>
    <x v="1"/>
    <s v="Araştırma- Kullanıcı Yönetimi Ekranı DB Partitioning İşleminin Teknik Değerlendirilmesi"/>
    <x v="16"/>
    <e v="#N/A"/>
    <x v="0"/>
    <s v="-"/>
    <s v="Ürün İş Listesi"/>
    <m/>
  </r>
  <r>
    <s v="Story"/>
    <s v="WIK-730"/>
    <x v="1"/>
    <s v="Araştırma- Duyuru Modülü İçin DB Partitioning İşleminin Teknik Değerlendirilmesi"/>
    <x v="16"/>
    <e v="#N/A"/>
    <x v="0"/>
    <s v="-"/>
    <s v="Ürün İş Listesi"/>
    <m/>
  </r>
  <r>
    <s v="Story"/>
    <s v="WIK-729"/>
    <x v="1"/>
    <s v="Araştırma- Çalışan Ekle Ekranı İçin DB Partitioning İşleminin Teknik Değerlendirilmesi"/>
    <x v="16"/>
    <e v="#N/A"/>
    <x v="0"/>
    <s v="-"/>
    <s v="Ürün İş Listesi"/>
    <m/>
  </r>
  <r>
    <s v="Story"/>
    <s v="WIK-728"/>
    <x v="1"/>
    <s v="Araştırma- Çalışanlar Ekranında DB Partitioning İşleminin Teknik Değerlendirilmesi"/>
    <x v="16"/>
    <e v="#N/A"/>
    <x v="0"/>
    <s v="-"/>
    <s v="Ürün İş Listesi"/>
    <m/>
  </r>
  <r>
    <s v="Story"/>
    <s v="WIK-727"/>
    <x v="1"/>
    <s v="Araştırma- İk Gönderimleri DB Partitioning İşleminin Teknik Değerlendirilmesi"/>
    <x v="16"/>
    <e v="#N/A"/>
    <x v="0"/>
    <s v="-"/>
    <s v="Ürün İş Listesi"/>
    <m/>
  </r>
  <r>
    <s v="Story"/>
    <s v="WIK-708"/>
    <x v="1"/>
    <s v="Araştırma- Anasayfa  DB Partitioning İşleminin Teknik Değerlendirilmesi"/>
    <x v="16"/>
    <e v="#N/A"/>
    <x v="0"/>
    <s v="-"/>
    <s v="Ürün İş Listesi"/>
    <m/>
  </r>
  <r>
    <s v="Story"/>
    <s v="UKDS-181"/>
    <x v="1"/>
    <s v="Kep İK,  Süreçleri İçin Bildirimlerin Ayrıştırılması"/>
    <x v="15"/>
    <e v="#N/A"/>
    <x v="0"/>
    <s v="-"/>
    <s v="Ürün İş Listesi"/>
    <m/>
  </r>
  <r>
    <s v="Bug"/>
    <s v="MYS-810"/>
    <x v="1"/>
    <s v="KEP İletisi İşlemi Sonrası Görev Statüsünün Hatalı Olarak 'Onay Bekliyor'da Kalması"/>
    <x v="12"/>
    <e v="#N/A"/>
    <x v="0"/>
    <s v="-"/>
    <s v="Ürün İş Listesi"/>
    <n v="2"/>
  </r>
  <r>
    <s v="Bug"/>
    <s v="MYS-809"/>
    <x v="1"/>
    <s v="SEP Entegrasyonu / Durum  Hatası"/>
    <x v="12"/>
    <e v="#N/A"/>
    <x v="0"/>
    <s v="-"/>
    <s v="Ürün İş Listesi"/>
    <n v="2"/>
  </r>
  <r>
    <s v="Story"/>
    <s v="MYS-806"/>
    <x v="1"/>
    <s v="Kullanıcı Yorumu Alanına Tooltip ve Grid Genişletme Fonksiyonun Eklenmesi"/>
    <x v="12"/>
    <e v="#N/A"/>
    <x v="0"/>
    <s v="-"/>
    <s v="Ürün İş Listesi"/>
    <n v="1"/>
  </r>
  <r>
    <s v="Story"/>
    <s v="MU-157"/>
    <x v="0"/>
    <s v="Uygulama İçi ve Push Notification Fonksiyonun Eklenmesi"/>
    <x v="9"/>
    <e v="#N/A"/>
    <x v="0"/>
    <s v="-"/>
    <s v="Ürün İş Listesi"/>
    <m/>
  </r>
  <r>
    <s v="Bug"/>
    <s v="MU-156"/>
    <x v="1"/>
    <s v="Tarih Seçimi Format Hatası: Ayın 10. günü &quot;010&quot; olarak formatlanıyor ve doğrulamayı geçemiyor."/>
    <x v="9"/>
    <e v="#N/A"/>
    <x v="0"/>
    <s v="-"/>
    <s v="Ürün İş Listesi"/>
    <n v="1"/>
  </r>
  <r>
    <s v="Story"/>
    <s v="MU-155"/>
    <x v="1"/>
    <s v="Webmail erişim Kontrolün Eklenmesi"/>
    <x v="9"/>
    <e v="#N/A"/>
    <x v="0"/>
    <s v="-"/>
    <s v="Ürün İş Listesi"/>
    <n v="1"/>
  </r>
  <r>
    <s v="Story"/>
    <s v="MU-141"/>
    <x v="1"/>
    <s v="Araştırma-FCM Token Alma Hatası Durumların Araştırılması"/>
    <x v="9"/>
    <s v="Done"/>
    <x v="1"/>
    <s v="-"/>
    <s v="Devam Eden Sprint"/>
    <m/>
  </r>
  <r>
    <s v="Bug"/>
    <s v="MU-125"/>
    <x v="1"/>
    <s v="_currentMailBoxData Alanının Başlatılmaması Nedeniyle Oluşan Hata"/>
    <x v="9"/>
    <e v="#N/A"/>
    <x v="0"/>
    <s v="-"/>
    <s v="Ürün İş Listesi"/>
    <n v="5"/>
  </r>
  <r>
    <s v="Story"/>
    <s v="KEP-307"/>
    <x v="1"/>
    <s v="Yetki Alanlarının Web ve Mobil Uygulamalarda Doğru Çalışmasının Test Edilmesi"/>
    <x v="7"/>
    <e v="#N/A"/>
    <x v="0"/>
    <s v="-"/>
    <s v="Ürün İş Listesi"/>
    <m/>
  </r>
  <r>
    <s v="Story"/>
    <s v="KEP-306"/>
    <x v="1"/>
    <s v="SOAP servislerde &quot;webmail erişim yetkisi&quot; Kontrolünün Mobil Uygulama için Eklenmesi"/>
    <x v="7"/>
    <e v="#N/A"/>
    <x v="0"/>
    <s v="-"/>
    <s v="Ürün İş Listesi"/>
    <n v="3"/>
  </r>
  <r>
    <s v="Bug"/>
    <s v="KEP-303"/>
    <x v="1"/>
    <s v="Bazı Senaryolarda &quot;Şifremi Unuttum&quot; Adımında Yaşanan Hata"/>
    <x v="7"/>
    <e v="#N/A"/>
    <x v="0"/>
    <s v="-"/>
    <s v="Ürün İş Listesi"/>
    <n v="5"/>
  </r>
  <r>
    <s v="Bug"/>
    <s v="KA-1554"/>
    <x v="1"/>
    <s v="KEP Assist Gelen Kutusunda EYP 1.3 iletisi görüntülenmek istendiğinde 500 hatası alınıyor ve ekran donuyor"/>
    <x v="6"/>
    <e v="#N/A"/>
    <x v="0"/>
    <s v="-"/>
    <s v="Ürün İş Listesi"/>
    <n v="1"/>
  </r>
  <r>
    <s v="Story"/>
    <s v="DP-284"/>
    <x v="1"/>
    <s v="Destek Portal Veritabanı Hostname Geçişi"/>
    <x v="1"/>
    <e v="#N/A"/>
    <x v="0"/>
    <s v="-"/>
    <s v="Ürün İş Listesi"/>
    <n v="1"/>
  </r>
  <r>
    <s v="Story"/>
    <s v="DAVS-176"/>
    <x v="1"/>
    <s v="Kullanıcı statüsünün güncellenmesi"/>
    <x v="18"/>
    <s v="Done"/>
    <x v="0"/>
    <s v="-"/>
    <s v="Ürün İş Listesi"/>
    <m/>
  </r>
  <r>
    <s v="Story"/>
    <s v="DAVS-175"/>
    <x v="1"/>
    <s v="E-Defter modülü Defter Rapor Berat dokümanının indirilmesi"/>
    <x v="18"/>
    <s v="Done"/>
    <x v="0"/>
    <s v="-"/>
    <s v="Ürün İş Listesi"/>
    <m/>
  </r>
  <r>
    <s v="Story"/>
    <s v="DAVS-174"/>
    <x v="1"/>
    <s v="E-Defter modülü sayfasının oluşturulması"/>
    <x v="18"/>
    <s v="Done"/>
    <x v="0"/>
    <s v="-"/>
    <s v="Ürün İş Listesi"/>
    <m/>
  </r>
  <r>
    <s v="Story"/>
    <s v="DAVS-173"/>
    <x v="1"/>
    <s v="E-Defter dokümanlarının indirilmesi"/>
    <x v="18"/>
    <s v="Done"/>
    <x v="0"/>
    <s v="-"/>
    <s v="Ürün İş Listesi"/>
    <m/>
  </r>
  <r>
    <s v="Story"/>
    <s v="DAVS-172"/>
    <x v="1"/>
    <s v="E-Defter kayıtlarının listelenmesi"/>
    <x v="18"/>
    <s v="Done"/>
    <x v="0"/>
    <s v="-"/>
    <s v="Ürün İş Listesi"/>
    <m/>
  </r>
  <r>
    <s v="Sub-task"/>
    <s v="DAVS-171"/>
    <x v="3"/>
    <s v="Kod refactoring çalışması"/>
    <x v="18"/>
    <e v="#N/A"/>
    <x v="0"/>
    <s v="-"/>
    <s v="Ürün İş Listesi"/>
    <m/>
  </r>
  <r>
    <s v="Sub-task"/>
    <s v="DAVS-168"/>
    <x v="1"/>
    <s v="Kod refactoring çalışması"/>
    <x v="18"/>
    <s v="Done"/>
    <x v="0"/>
    <s v="-"/>
    <s v="Ürün İş Listesi"/>
    <m/>
  </r>
  <r>
    <s v="Sub-task"/>
    <s v="DAVS-166"/>
    <x v="1"/>
    <s v="Kod refactoring çalışması"/>
    <x v="18"/>
    <s v="Done"/>
    <x v="0"/>
    <s v="-"/>
    <s v="Ürün İş Listesi"/>
    <m/>
  </r>
  <r>
    <s v="Story"/>
    <s v="DAVS-165"/>
    <x v="0"/>
    <s v="Faz-1 geliştirmeleri için kod refactoring çalışması"/>
    <x v="18"/>
    <e v="#N/A"/>
    <x v="0"/>
    <s v="-"/>
    <s v="Ürün İş Listesi"/>
    <m/>
  </r>
  <r>
    <s v="Story"/>
    <s v="DAVS-164"/>
    <x v="3"/>
    <s v="Servis dokümanının güncellenmesi"/>
    <x v="18"/>
    <e v="#N/A"/>
    <x v="0"/>
    <s v="-"/>
    <s v="Ürün İş Listesi"/>
    <m/>
  </r>
  <r>
    <s v="Story"/>
    <s v="DAVS-163"/>
    <x v="1"/>
    <s v="Entegrasyon modülünün kullanıcı yetkilerine göre erişilmesi - E-Defter"/>
    <x v="18"/>
    <s v="Done"/>
    <x v="0"/>
    <s v="-"/>
    <s v="Ürün İş Listesi"/>
    <m/>
  </r>
  <r>
    <s v="Story"/>
    <s v="DAVS-104"/>
    <x v="1"/>
    <s v="Integrations Service – Defter Belgesini Getirme Endpoint’i Geliştirilmesi"/>
    <x v="18"/>
    <s v="Done"/>
    <x v="0"/>
    <s v="-"/>
    <s v="Ürün İş Listesi"/>
    <m/>
  </r>
  <r>
    <s v="Story"/>
    <s v="DAVS-103"/>
    <x v="1"/>
    <s v="Integrations Service – Defter Kayıtlarını Filtreleme Endpoint’i Geliştirilmesi"/>
    <x v="18"/>
    <s v="Done"/>
    <x v="0"/>
    <s v="-"/>
    <s v="Ürün İş Listesi"/>
    <m/>
  </r>
  <r>
    <s v="Story"/>
    <s v="DAVS-102"/>
    <x v="1"/>
    <s v="Integrations Service – Defter Listeleme Endpoint’i Geliştirilmesi"/>
    <x v="18"/>
    <s v="Done"/>
    <x v="0"/>
    <s v="-"/>
    <s v="Ürün İş Listesi"/>
    <m/>
  </r>
  <r>
    <s v="Story"/>
    <s v="CRM-717"/>
    <x v="0"/>
    <s v="CRM Satış Raporundaki Olumsuz Durumlar"/>
    <x v="0"/>
    <e v="#N/A"/>
    <x v="0"/>
    <s v="-"/>
    <s v="Ürün İş Listesi"/>
    <m/>
  </r>
  <r>
    <s v="Story"/>
    <s v="CRM-716"/>
    <x v="1"/>
    <s v="UKDS Şahıs Şirketi Müşteri Tipi Kontrol Otomasyonu"/>
    <x v="0"/>
    <e v="#N/A"/>
    <x v="0"/>
    <s v="-"/>
    <s v="Ürün İş Listesi"/>
    <n v="3"/>
  </r>
  <r>
    <s v="Story"/>
    <s v="CRM-713"/>
    <x v="1"/>
    <s v="UKDS'den Gelen Münferit Kayıtlarda Faaliyet Belgesi ve İmza Sirküsü Zorunluluğunun Kaldırılması"/>
    <x v="0"/>
    <e v="#N/A"/>
    <x v="0"/>
    <s v="-"/>
    <s v="Ürün İş Listesi"/>
    <n v="1"/>
  </r>
  <r>
    <s v="Bug"/>
    <s v="EFT-2295"/>
    <x v="1"/>
    <s v="'0' Başlayan VKN'lerde Excel Aktarım Hatası Hk."/>
    <x v="4"/>
    <e v="#N/A"/>
    <x v="0"/>
    <s v="-"/>
    <s v="Ürün İş Listesi"/>
    <n v="2"/>
  </r>
  <r>
    <s v="Story"/>
    <s v="EFT-2287"/>
    <x v="1"/>
    <s v="140 Sunucusunda &quot;Deleted&quot; Klasörünün Otomatik Temizlenmesi"/>
    <x v="4"/>
    <e v="#N/A"/>
    <x v="0"/>
    <s v="-"/>
    <s v="Ürün İş Listesi"/>
    <n v="3"/>
  </r>
  <r>
    <s v="Story"/>
    <s v="DP-287"/>
    <x v="1"/>
    <s v="Template Tablosu İnceleme"/>
    <x v="1"/>
    <e v="#N/A"/>
    <x v="0"/>
    <s v="-"/>
    <s v="Ürün İş Listesi"/>
    <n v="3"/>
  </r>
  <r>
    <s v="Story"/>
    <s v="EDF-785"/>
    <x v="1"/>
    <s v="Her Seferinde Aynı Hatayı Alan Parçaların Diğer Defter İşlemlerini Aksatmasının Engellemesi"/>
    <x v="3"/>
    <e v="#N/A"/>
    <x v="0"/>
    <s v="-"/>
    <s v="Ürün İş Listesi"/>
    <n v="3"/>
  </r>
  <r>
    <s v="Bug"/>
    <s v="WIK-736"/>
    <x v="1"/>
    <s v="KEP İK Delil Raporları Alanında Düzenleme"/>
    <x v="16"/>
    <e v="#N/A"/>
    <x v="0"/>
    <s v="-"/>
    <s v="Ürün İş Listesi"/>
    <n v="5"/>
  </r>
  <r>
    <s v="Story"/>
    <s v="WIK-733"/>
    <x v="1"/>
    <s v="Uygulamayı Kullanmadan İptal Eden Müşteriler İçin İptal Süreci Metodu Oluşturulması"/>
    <x v="16"/>
    <e v="#N/A"/>
    <x v="0"/>
    <s v="-"/>
    <s v="Ürün İş Listesi"/>
    <n v="3"/>
  </r>
  <r>
    <s v="Story"/>
    <s v="UKDS-187"/>
    <x v="0"/>
    <s v="CRM Üzerinden Açılan UKDS Başvurularında E-Devlet Onayı İçin Hatırlatma Maillerinin Gönderilmesi"/>
    <x v="15"/>
    <e v="#N/A"/>
    <x v="0"/>
    <s v="-"/>
    <s v="Ürün İş Listesi"/>
    <n v="1"/>
  </r>
  <r>
    <s v="Story"/>
    <s v="UKDS-186"/>
    <x v="1"/>
    <s v="CRM Süreçlerinde BTK Onayında Bekleyen Kayıtların Otomatik İptali ve “Süresi Geçti” Statüsünün Tanımlanması"/>
    <x v="15"/>
    <e v="#N/A"/>
    <x v="0"/>
    <s v="-"/>
    <s v="Ürün İş Listesi"/>
    <n v="1"/>
  </r>
  <r>
    <s v="Story"/>
    <s v="UKDS-185"/>
    <x v="1"/>
    <s v="Paket Seçimi Sonrasında Kullanıcının Ödeme Alanına Yönlendirilmesi ve Ödeme Tamamlanmadan Sürece Devam Edilmemesi"/>
    <x v="15"/>
    <e v="#N/A"/>
    <x v="0"/>
    <s v="-"/>
    <s v="Ürün İş Listesi"/>
    <n v="3"/>
  </r>
  <r>
    <s v="Story"/>
    <s v="UKDS-183"/>
    <x v="1"/>
    <s v="Kidos Ekran/ KEP Adres Bilgisi Görüntüleme ve Excel Aktarımı"/>
    <x v="15"/>
    <e v="#N/A"/>
    <x v="0"/>
    <s v="-"/>
    <s v="Ürün İş Listesi"/>
    <m/>
  </r>
  <r>
    <s v="Story"/>
    <s v="UKDS-182"/>
    <x v="1"/>
    <s v="Ek İşler Hk"/>
    <x v="15"/>
    <e v="#N/A"/>
    <x v="0"/>
    <s v="-"/>
    <s v="Ürün İş Listesi"/>
    <m/>
  </r>
  <r>
    <s v="Story"/>
    <s v="TIM-453"/>
    <x v="1"/>
    <s v="E-İmza Girişinde TCKN Tanımlı Olmayan Kullanıcılarda Hata Bildirimi Gösterilmesi"/>
    <x v="13"/>
    <e v="#N/A"/>
    <x v="0"/>
    <s v="-"/>
    <s v="Ürün İş Listesi"/>
    <m/>
  </r>
  <r>
    <s v="Story"/>
    <s v="SMSGW-11"/>
    <x v="1"/>
    <s v="Bakiye Alt Limit Uyarı ve Parametrik Mail Bildirimi"/>
    <x v="22"/>
    <e v="#N/A"/>
    <x v="0"/>
    <s v="-"/>
    <s v="Ürün İş Listesi"/>
    <m/>
  </r>
  <r>
    <s v="Story"/>
    <s v="MYS-815"/>
    <x v="1"/>
    <s v="BPA_LST_ATTRIBUTEVALUES_SP"/>
    <x v="12"/>
    <e v="#N/A"/>
    <x v="0"/>
    <s v="-"/>
    <s v="Ürün İş Listesi"/>
    <n v="1"/>
  </r>
  <r>
    <s v="Bug"/>
    <s v="MU-168"/>
    <x v="1"/>
    <s v="&quot;Şifremi Unuttum&quot; Ekranında KEP Adresi, TCKN ve GSM Alanlarında Format Doğrulaması (Regex Kontrolü) Eksikliği"/>
    <x v="9"/>
    <e v="#N/A"/>
    <x v="0"/>
    <s v="-"/>
    <s v="Ürün İş Listesi"/>
    <n v="5"/>
  </r>
  <r>
    <s v="Bug"/>
    <s v="MU-167"/>
    <x v="1"/>
    <s v="Posta Kutularında (Inbox) Aşağı Kaydırma Yapıldığında Eski İletiler Yavaş Yükleniyor"/>
    <x v="9"/>
    <e v="#N/A"/>
    <x v="0"/>
    <s v="-"/>
    <s v="Ürün İş Listesi"/>
    <m/>
  </r>
  <r>
    <s v="Story"/>
    <s v="MU-164"/>
    <x v="6"/>
    <s v="Android için Debug Apk Oluşturulması"/>
    <x v="9"/>
    <e v="#N/A"/>
    <x v="0"/>
    <s v="-"/>
    <s v="Ürün İş Listesi"/>
    <n v="2"/>
  </r>
  <r>
    <s v="Bug"/>
    <s v="MU-162"/>
    <x v="1"/>
    <s v="Face ID (yüz tanıma) ile girişte “Bağlantı sorunu oluştu” hatası"/>
    <x v="9"/>
    <e v="#N/A"/>
    <x v="0"/>
    <s v="-"/>
    <s v="Ürün İş Listesi"/>
    <n v="3"/>
  </r>
  <r>
    <s v="Story"/>
    <s v="MU-160"/>
    <x v="1"/>
    <s v="Ayarlar Şifre Değiştirme"/>
    <x v="9"/>
    <e v="#N/A"/>
    <x v="0"/>
    <s v="-"/>
    <s v="Ürün İş Listesi"/>
    <n v="3"/>
  </r>
  <r>
    <s v="Story"/>
    <s v="MU-159"/>
    <x v="1"/>
    <s v="App Rate Pop-up Eklenmesi"/>
    <x v="9"/>
    <e v="#N/A"/>
    <x v="0"/>
    <s v="-"/>
    <s v="Ürün İş Listesi"/>
    <n v="2"/>
  </r>
  <r>
    <s v="Story"/>
    <s v="KEP-308"/>
    <x v="1"/>
    <s v="SOAP servislerde &quot;görme yetkisi&quot; Kontrolünün Mobil Uygulama için Eklenmesi"/>
    <x v="7"/>
    <e v="#N/A"/>
    <x v="0"/>
    <s v="-"/>
    <s v="Ürün İş Listesi"/>
    <m/>
  </r>
  <r>
    <s v="Sub-task"/>
    <s v="KA-1559"/>
    <x v="1"/>
    <s v="Sub-Task Veri Modelleri ve İşlem Akışı Hk."/>
    <x v="6"/>
    <e v="#N/A"/>
    <x v="0"/>
    <s v="-"/>
    <s v="Ürün İş Listesi"/>
    <m/>
  </r>
  <r>
    <s v="Story"/>
    <s v="KA-1556"/>
    <x v="1"/>
    <s v="Hesap Hata Takibi "/>
    <x v="6"/>
    <e v="#N/A"/>
    <x v="0"/>
    <s v="-"/>
    <s v="Ürün İş Listesi"/>
    <n v="3"/>
  </r>
  <r>
    <s v="Bug"/>
    <s v="KA-1555"/>
    <x v="1"/>
    <s v="KEP Assist Otomatik Yanıt Süreç Hatası"/>
    <x v="6"/>
    <e v="#N/A"/>
    <x v="0"/>
    <s v="-"/>
    <s v="Ürün İş Listesi"/>
    <n v="3"/>
  </r>
  <r>
    <s v="Story"/>
    <s v="IEU-273"/>
    <x v="1"/>
    <s v="EYP Parser v20 – Alan Eksiklikleri ve Boş Response Sorunları"/>
    <x v="5"/>
    <e v="#N/A"/>
    <x v="0"/>
    <s v="-"/>
    <s v="Ürün İş Listesi"/>
    <n v="3"/>
  </r>
  <r>
    <s v="Story"/>
    <s v="IEU-272"/>
    <x v="1"/>
    <s v="EYP Parser v13 – Alan Eksiklikleri ve Boş Response Sorunları"/>
    <x v="5"/>
    <e v="#N/A"/>
    <x v="0"/>
    <s v="-"/>
    <s v="Ürün İş Listesi"/>
    <n v="3"/>
  </r>
  <r>
    <s v="Story"/>
    <s v="IEU-264"/>
    <x v="6"/>
    <s v="Entegrasyon Suit - UKDS Web Servis Entegrasyonunun Teknik Dokümantasyonunun Hazırlanması"/>
    <x v="5"/>
    <s v="TO TEST"/>
    <x v="1"/>
    <s v="Gelecek Sprint"/>
    <s v="Devam Eden ve Gelecek Sprint"/>
    <n v="2"/>
  </r>
  <r>
    <s v="Story"/>
    <s v="IEU-258"/>
    <x v="0"/>
    <s v="İnceleme/ e-Güven İmza Test API’si İncelemesi ve Olası Değişiklik Senaryolarının Değerlendirilmesi"/>
    <x v="5"/>
    <e v="#N/A"/>
    <x v="0"/>
    <s v="-"/>
    <s v="Ürün İş Listesi"/>
    <m/>
  </r>
  <r>
    <s v="Bug"/>
    <s v="EFT-2296"/>
    <x v="1"/>
    <s v="Gelen Fatura Kalemleri Raporunda PartyName Alanı Yoksa Fatura Kalemi Eklenememesi"/>
    <x v="4"/>
    <e v="#N/A"/>
    <x v="0"/>
    <s v="-"/>
    <s v="Ürün İş Listesi"/>
    <n v="1"/>
  </r>
  <r>
    <s v="Story"/>
    <s v="EFT-2290"/>
    <x v="0"/>
    <s v="GİB Sicil Servis Testi ile e-Belge Hizmet İptali"/>
    <x v="4"/>
    <e v="#N/A"/>
    <x v="0"/>
    <s v="-"/>
    <s v="Ürün İş Listesi"/>
    <m/>
  </r>
  <r>
    <s v="Story"/>
    <s v="EFT-2289"/>
    <x v="1"/>
    <s v="Gelen Fatura için Otomatik İade Faturası Oluşturma Butonu Eklenmesi"/>
    <x v="4"/>
    <e v="#N/A"/>
    <x v="0"/>
    <s v="-"/>
    <s v="Ürün İş Listesi"/>
    <m/>
  </r>
  <r>
    <s v="Story"/>
    <s v="EFT-2288"/>
    <x v="1"/>
    <s v="Fatura Takibi için Okundu-Okunmadı Özelliği Eklenmesi"/>
    <x v="4"/>
    <e v="#N/A"/>
    <x v="0"/>
    <s v="-"/>
    <s v="Ürün İş Listesi"/>
    <m/>
  </r>
  <r>
    <s v="Sub-task"/>
    <s v="DAVS-170"/>
    <x v="2"/>
    <s v="Kod refactoring çalışması"/>
    <x v="18"/>
    <e v="#N/A"/>
    <x v="0"/>
    <s v="-"/>
    <s v="Ürün İş Listesi"/>
    <m/>
  </r>
  <r>
    <s v="Story"/>
    <s v="CRM-727"/>
    <x v="1"/>
    <s v="Sanal Pos Ödeme Limiti Güncellemesi"/>
    <x v="0"/>
    <e v="#N/A"/>
    <x v="0"/>
    <s v="-"/>
    <s v="Ürün İş Listesi"/>
    <n v="1"/>
  </r>
  <r>
    <s v="Story"/>
    <s v="CRM-726"/>
    <x v="1"/>
    <s v="Form Kayıtlarının CRM’de Potansiyel Müşteri Olarak Oluşturulması"/>
    <x v="0"/>
    <e v="#N/A"/>
    <x v="0"/>
    <s v="-"/>
    <s v="Ürün İş Listesi"/>
    <n v="3"/>
  </r>
  <r>
    <s v="Story"/>
    <s v="CRM-725"/>
    <x v="1"/>
    <s v="Kısmı İade Fatura Kaydı"/>
    <x v="0"/>
    <e v="#N/A"/>
    <x v="0"/>
    <s v="-"/>
    <s v="Ürün İş Listesi"/>
    <n v="2"/>
  </r>
  <r>
    <s v="Story"/>
    <s v="CRM-724"/>
    <x v="1"/>
    <s v="KIDOS Kayıtlarında MERSİS Sorgu Dokümanı Ekleme Hatası"/>
    <x v="0"/>
    <s v="Done"/>
    <x v="1"/>
    <s v="-"/>
    <s v="Devam Eden Sprint"/>
    <m/>
  </r>
  <r>
    <s v="Story"/>
    <s v="CRM-721"/>
    <x v="0"/>
    <s v="KEP IK KKB Belgesi (PDF) Üretimi"/>
    <x v="0"/>
    <e v="#N/A"/>
    <x v="0"/>
    <s v="-"/>
    <s v="Ürün İş Listesi"/>
    <m/>
  </r>
  <r>
    <s v="Story"/>
    <s v="CRM-720"/>
    <x v="1"/>
    <s v="Ödeme Öncelikli Sipariş Yönetimi"/>
    <x v="0"/>
    <e v="#N/A"/>
    <x v="0"/>
    <s v="-"/>
    <s v="Ürün İş Listesi"/>
    <n v="2"/>
  </r>
  <r>
    <s v="Story"/>
    <s v="CRM-719"/>
    <x v="1"/>
    <s v="Bireysel ve Kurumsal KEP Sözleşmelerinde(PDF) Eklenecek Bilgiler"/>
    <x v="0"/>
    <e v="#N/A"/>
    <x v="0"/>
    <s v="-"/>
    <s v="Ürün İş Listesi"/>
    <n v="2"/>
  </r>
  <r>
    <s v="Story"/>
    <s v="CRM-705"/>
    <x v="1"/>
    <s v="İptal Siparişler Ek Düzenleme"/>
    <x v="0"/>
    <e v="#N/A"/>
    <x v="0"/>
    <s v="-"/>
    <s v="Ürün İş Listesi"/>
    <m/>
  </r>
  <r>
    <s v="Story"/>
    <s v="MU-158"/>
    <x v="1"/>
    <s v="Şifre Unuttum Ekranlarının Tasarımlarının Güncellenmesi"/>
    <x v="9"/>
    <e v="#N/A"/>
    <x v="0"/>
    <s v="-"/>
    <s v="Ürün İş Listesi"/>
    <n v="3"/>
  </r>
  <r>
    <s v="Story"/>
    <s v="IEU-245"/>
    <x v="1"/>
    <s v="EYP-Service için Teknik Rehbere Göre EYP 1.3 ve 2.0 Testlerinin Gerçekleştirilmesi"/>
    <x v="17"/>
    <e v="#N/A"/>
    <x v="0"/>
    <s v="-"/>
    <s v="Ürün İş Listesi"/>
    <m/>
  </r>
  <r>
    <s v="Story"/>
    <s v="IEU-246"/>
    <x v="1"/>
    <s v="timestamp-controller Altındaki Metotlara CloudApiHost Alanının Eklenmesi ve API-Access Token Kontrollü Erişim"/>
    <x v="17"/>
    <e v="#N/A"/>
    <x v="0"/>
    <s v="-"/>
    <s v="Ürün İş Listesi"/>
    <m/>
  </r>
  <r>
    <s v="Story"/>
    <s v="IEU-247"/>
    <x v="1"/>
    <s v="Servisteki Hataların Dokümantasyonu"/>
    <x v="17"/>
    <e v="#N/A"/>
    <x v="0"/>
    <s v="-"/>
    <s v="Ürün İş Listesi"/>
    <m/>
  </r>
  <r>
    <s v="Story"/>
    <s v="KAN-63"/>
    <x v="1"/>
    <s v="2025-BTA-013 FKM'ne Geçiş Projesi Canlı Ortamı Domain Geçiş Hazırlıkları ve Geçiş"/>
    <x v="19"/>
    <e v="#N/A"/>
    <x v="0"/>
    <s v="-"/>
    <s v="Ürün İş Listesi"/>
    <m/>
  </r>
  <r>
    <s v="Story"/>
    <s v="KA-1530"/>
    <x v="1"/>
    <s v="Gelen İletiler EYP 2.0 Görüntüleme Desteği ve Ek Alanların Gösterimi"/>
    <x v="6"/>
    <e v="#N/A"/>
    <x v="0"/>
    <s v="-"/>
    <s v="Ürün İş Listesi"/>
    <m/>
  </r>
  <r>
    <s v="Story"/>
    <s v="KA-1531"/>
    <x v="1"/>
    <s v="KEP ve UETS Servislerinden Gelen İletilerde Takvimleme Mekanizması"/>
    <x v="6"/>
    <e v="#N/A"/>
    <x v="0"/>
    <s v="-"/>
    <s v="Ürün İş Listesi"/>
    <m/>
  </r>
  <r>
    <s v="Story"/>
    <s v="KA-1533"/>
    <x v="1"/>
    <s v="Güncelleme Paketi hazırlanması"/>
    <x v="6"/>
    <e v="#N/A"/>
    <x v="0"/>
    <s v="-"/>
    <s v="Ürün İş Listesi"/>
    <m/>
  </r>
  <r>
    <s v="Story"/>
    <s v="KA-1532"/>
    <x v="1"/>
    <s v="2025-BTA-013 FKM'ne Geçiş Projesi Canlı Ortamı Domain Geçiş Hazırlıkları ve Geçiş"/>
    <x v="6"/>
    <e v="#N/A"/>
    <x v="0"/>
    <s v="-"/>
    <s v="Ürün İş Listesi"/>
    <m/>
  </r>
  <r>
    <s v="Story"/>
    <s v="MU-137"/>
    <x v="1"/>
    <s v="Kep Gönderimi – İleti Tipi Seçimini BottomSheet ile Göster"/>
    <x v="9"/>
    <e v="#N/A"/>
    <x v="0"/>
    <s v="-"/>
    <s v="Ürün İş Listesi"/>
    <m/>
  </r>
  <r>
    <s v="Story"/>
    <s v="MU-136"/>
    <x v="1"/>
    <s v="Şifremi Unuttum – İnternet Yok Uyarısı"/>
    <x v="9"/>
    <e v="#N/A"/>
    <x v="0"/>
    <s v="-"/>
    <s v="Ürün İş Listesi"/>
    <m/>
  </r>
  <r>
    <s v="Story"/>
    <s v="MU-139"/>
    <x v="1"/>
    <s v="Kep Gönderimden Sonra Giden Kutusu Otomatik Açılması"/>
    <x v="9"/>
    <e v="#N/A"/>
    <x v="0"/>
    <s v="-"/>
    <s v="Ürün İş Listesi"/>
    <m/>
  </r>
  <r>
    <s v="Story"/>
    <s v="MU-140"/>
    <x v="1"/>
    <s v="SMS Doğrulama/ Kod Silindiğin Butonun Pasif Olması"/>
    <x v="9"/>
    <e v="#N/A"/>
    <x v="0"/>
    <s v="-"/>
    <s v="Ürün İş Listesi"/>
    <m/>
  </r>
  <r>
    <s v="Story"/>
    <s v="MU-143"/>
    <x v="1"/>
    <s v="&quot;İleti Detayı (Barkod)&quot; Alanına Bilgilendirme Eklenmesi"/>
    <x v="9"/>
    <e v="#N/A"/>
    <x v="0"/>
    <s v="-"/>
    <s v="Ürün İş Listesi"/>
    <m/>
  </r>
  <r>
    <s v="Story"/>
    <s v="CRM-682"/>
    <x v="6"/>
    <s v="E-Belge Entegrasyon Yönetimi Alanı Düzenleme"/>
    <x v="0"/>
    <s v="TO TEST"/>
    <x v="1"/>
    <s v="Gelecek Sprint"/>
    <s v="Devam Eden ve Gelecek Sprint"/>
    <n v="2"/>
  </r>
  <r>
    <s v="Story"/>
    <s v="CRM-677"/>
    <x v="1"/>
    <s v="Ent. Suit Yenileme ve Modül Yenileme Akışının Düzenlenmesi"/>
    <x v="0"/>
    <e v="#N/A"/>
    <x v="0"/>
    <s v="-"/>
    <s v="Ürün İş Listesi"/>
    <m/>
  </r>
  <r>
    <s v="Story"/>
    <s v="UKDS-172"/>
    <x v="1"/>
    <s v="getApplicationsByMobile API’sine Yeni Parametrelerin Eklenmesi"/>
    <x v="15"/>
    <e v="#N/A"/>
    <x v="0"/>
    <s v="-"/>
    <s v="Ürün İş Listesi"/>
    <m/>
  </r>
  <r>
    <s v="Story"/>
    <s v="KEP-302"/>
    <x v="3"/>
    <s v="e-Güven İmzalama API Testi"/>
    <x v="7"/>
    <s v="Development"/>
    <x v="1"/>
    <s v="Gelecek Sprint"/>
    <s v="Devam Eden ve Gelecek Sprint"/>
    <n v="8"/>
  </r>
  <r>
    <s v="Story"/>
    <s v="YZCK-17"/>
    <x v="1"/>
    <s v="Chatbot Webhook Güvenlik Servisi Geliştirmesi"/>
    <x v="23"/>
    <e v="#N/A"/>
    <x v="0"/>
    <s v="-"/>
    <s v="Ürün İş Listesi"/>
    <m/>
  </r>
  <r>
    <s v="Story"/>
    <s v="YZCK-16"/>
    <x v="1"/>
    <s v="Chatbot Mobil Uygulama FrontEnd Geliştirme"/>
    <x v="23"/>
    <e v="#N/A"/>
    <x v="0"/>
    <s v="-"/>
    <s v="Ürün İş Listesi"/>
    <m/>
  </r>
  <r>
    <s v="Story"/>
    <s v="YZCK-15"/>
    <x v="1"/>
    <s v="Araştırma-Max Iteration Hatası – Agent Döngü Problemi ve Çözüm Uygulamaları"/>
    <x v="23"/>
    <e v="#N/A"/>
    <x v="0"/>
    <s v="-"/>
    <s v="Ürün İş Listesi"/>
    <m/>
  </r>
  <r>
    <s v="Story"/>
    <s v="YZCK-10"/>
    <x v="1"/>
    <s v="Chat History Workflow ve PostgreSQL Entegrasyonu"/>
    <x v="23"/>
    <e v="#N/A"/>
    <x v="0"/>
    <s v="-"/>
    <s v="Ürün İş Listesi"/>
    <m/>
  </r>
  <r>
    <s v="Story"/>
    <s v="YZCK-9"/>
    <x v="3"/>
    <s v="Vectorel Veri Tabanında Q&amp;A Verilerinin Artırılması"/>
    <x v="23"/>
    <e v="#N/A"/>
    <x v="0"/>
    <s v="-"/>
    <s v="Ürün İş Listesi"/>
    <m/>
  </r>
  <r>
    <s v="Bug"/>
    <s v="YZCK-8"/>
    <x v="1"/>
    <s v="Excelde Bulunan Linklerin Clickable Olması"/>
    <x v="23"/>
    <e v="#N/A"/>
    <x v="0"/>
    <s v="-"/>
    <s v="Ürün İş Listesi"/>
    <m/>
  </r>
  <r>
    <s v="Story"/>
    <s v="YZCK-7"/>
    <x v="1"/>
    <s v="Chatbot Frontend Geliştirme Yaklaşımı İçin Teknik Araştırma"/>
    <x v="23"/>
    <e v="#N/A"/>
    <x v="0"/>
    <s v="-"/>
    <s v="Ürün İş Listesi"/>
    <m/>
  </r>
  <r>
    <s v="Bug"/>
    <s v="YZCK-6"/>
    <x v="1"/>
    <s v="Promptta Bulunmayan Verilerin Hata Mesajı Düzeltmesi"/>
    <x v="23"/>
    <e v="#N/A"/>
    <x v="0"/>
    <s v="-"/>
    <s v="Ürün İş Listesi"/>
    <m/>
  </r>
  <r>
    <s v="Story"/>
    <s v="YZCK-5"/>
    <x v="1"/>
    <s v="Çağrı Merkezi Senaryolarının Database Node (Qdrant)' a Eklenmesi"/>
    <x v="23"/>
    <e v="#N/A"/>
    <x v="0"/>
    <s v="-"/>
    <s v="Ürün İş Listesi"/>
    <m/>
  </r>
  <r>
    <s v="Bug"/>
    <s v="WIK-627"/>
    <x v="1"/>
    <s v="Kardekod logo ayar ekranı konumların kayması hk."/>
    <x v="16"/>
    <e v="#N/A"/>
    <x v="0"/>
    <s v="-"/>
    <s v="Ürün İş Listesi"/>
    <m/>
  </r>
  <r>
    <s v="Bug"/>
    <s v="WIK-621"/>
    <x v="1"/>
    <s v="Karekod görsel sorunu"/>
    <x v="16"/>
    <e v="#N/A"/>
    <x v="0"/>
    <s v="-"/>
    <s v="Ürün İş Listesi"/>
    <m/>
  </r>
  <r>
    <s v="Bug"/>
    <s v="WIK-612"/>
    <x v="1"/>
    <s v="Duyuru modülü Taslakların güncellenmemesi"/>
    <x v="16"/>
    <e v="#N/A"/>
    <x v="0"/>
    <s v="-"/>
    <s v="Ürün İş Listesi"/>
    <m/>
  </r>
  <r>
    <s v="Bug"/>
    <s v="UKDS-165"/>
    <x v="1"/>
    <s v="Çalışan Ekle Toplu İşlemlerde Paging Sorunu Hk"/>
    <x v="15"/>
    <e v="#N/A"/>
    <x v="0"/>
    <s v="-"/>
    <s v="Ürün İş Listesi"/>
    <m/>
  </r>
  <r>
    <s v="Bug"/>
    <s v="UKDS-122"/>
    <x v="1"/>
    <s v="KİDOS Kurumsal başvurularda VKN hatası"/>
    <x v="15"/>
    <e v="#N/A"/>
    <x v="0"/>
    <s v="-"/>
    <s v="Ürün İş Listesi"/>
    <m/>
  </r>
  <r>
    <s v="Bug"/>
    <s v="MYS-816"/>
    <x v="1"/>
    <s v="MYS(agesa) Görevler Toplu İşlemler Alanında SEP İletileri İçin Toplu Aksiyon Butonları Çalışmıyor "/>
    <x v="12"/>
    <e v="#N/A"/>
    <x v="0"/>
    <s v="-"/>
    <s v="Ürün İş Listesi"/>
    <m/>
  </r>
  <r>
    <s v="Bug"/>
    <s v="MYS-732"/>
    <x v="1"/>
    <s v="SEP İletisi Gönderme Hatası"/>
    <x v="12"/>
    <e v="#N/A"/>
    <x v="0"/>
    <s v="-"/>
    <s v="Ürün İş Listesi"/>
    <m/>
  </r>
  <r>
    <s v="Bug"/>
    <s v="MYS-731"/>
    <x v="1"/>
    <s v="EYP'lerin Taslaklara Kopyalanma Hatası"/>
    <x v="12"/>
    <e v="#N/A"/>
    <x v="0"/>
    <s v="-"/>
    <s v="Ürün İş Listesi"/>
    <m/>
  </r>
  <r>
    <s v="Bug"/>
    <s v="MYS-727"/>
    <x v="1"/>
    <s v="Basılı İleti -&gt; Taslaklar Ekranında Silme İşlemi Sırasında Hata ve Uyarılar"/>
    <x v="12"/>
    <e v="#N/A"/>
    <x v="0"/>
    <s v="-"/>
    <s v="Ürün İş Listesi"/>
    <m/>
  </r>
  <r>
    <s v="Bug"/>
    <s v="MUL-194"/>
    <x v="1"/>
    <s v="Toplu Alıcı Ekleme/Kaydetme Hk."/>
    <x v="11"/>
    <e v="#N/A"/>
    <x v="0"/>
    <s v="-"/>
    <s v="Ürün İş Listesi"/>
    <m/>
  </r>
  <r>
    <s v="Bug"/>
    <s v="MUL-193"/>
    <x v="1"/>
    <s v="Test Servisleri Genel Test Bulguları-2"/>
    <x v="11"/>
    <e v="#N/A"/>
    <x v="0"/>
    <s v="-"/>
    <s v="Ürün İş Listesi"/>
    <m/>
  </r>
  <r>
    <s v="Bug"/>
    <s v="MUL-191"/>
    <x v="1"/>
    <s v="Test Servisleri Genel Test Bulguları"/>
    <x v="11"/>
    <e v="#N/A"/>
    <x v="0"/>
    <s v="-"/>
    <s v="Ürün İş Listesi"/>
    <m/>
  </r>
  <r>
    <s v="Bug"/>
    <s v="MUL-185"/>
    <x v="1"/>
    <s v="Doküman Kişiselleştir Hatası"/>
    <x v="11"/>
    <e v="#N/A"/>
    <x v="0"/>
    <s v="-"/>
    <s v="Ürün İş Listesi"/>
    <m/>
  </r>
  <r>
    <s v="Bug"/>
    <s v="MUL-182"/>
    <x v="1"/>
    <s v="İTO 65K'lık belge yükleme sonrası oluşan hata"/>
    <x v="11"/>
    <e v="#N/A"/>
    <x v="0"/>
    <s v="-"/>
    <s v="Ürün İş Listesi"/>
    <m/>
  </r>
  <r>
    <s v="Bug"/>
    <s v="MUL-181"/>
    <x v="1"/>
    <s v="MKR yüksek ölçekli dosyaların indirilmesinde hata"/>
    <x v="11"/>
    <e v="#N/A"/>
    <x v="0"/>
    <s v="-"/>
    <s v="Ürün İş Listesi"/>
    <m/>
  </r>
  <r>
    <s v="Bug"/>
    <s v="MUL-177"/>
    <x v="1"/>
    <s v="Daha önce silinen belgelerin başka bir belge yüklerken tekrar listelenmesi"/>
    <x v="11"/>
    <e v="#N/A"/>
    <x v="0"/>
    <s v="-"/>
    <s v="Ürün İş Listesi"/>
    <m/>
  </r>
  <r>
    <s v="Bug"/>
    <s v="MUL-84"/>
    <x v="1"/>
    <s v="Kep iletisi içerik alanındaki metinlerin webmail'den görüntülenme düzenlemesi"/>
    <x v="11"/>
    <e v="#N/A"/>
    <x v="0"/>
    <s v="-"/>
    <s v="Ürün İş Listesi"/>
    <m/>
  </r>
  <r>
    <s v="Bug"/>
    <s v="MU-174"/>
    <x v="1"/>
    <s v="KEP Mobil Uygulama HTML İçerik Sorunu "/>
    <x v="9"/>
    <e v="#N/A"/>
    <x v="0"/>
    <s v="-"/>
    <s v="Ürün İş Listesi"/>
    <m/>
  </r>
  <r>
    <s v="Bug"/>
    <s v="MU-173"/>
    <x v="1"/>
    <s v="Yanlış Posta Kutusunda Görünüyor (Gelen Kutusu İken Giden Kutusu Yazıyor)"/>
    <x v="9"/>
    <e v="#N/A"/>
    <x v="0"/>
    <s v="-"/>
    <s v="Ürün İş Listesi"/>
    <m/>
  </r>
  <r>
    <s v="Bug"/>
    <s v="MU-172"/>
    <x v="1"/>
    <s v="Tarih Seçim Bileşeninde Geri Tuşu Kullanımı: Gün Görünümünden Ay Görünümüne Dönülmüyor, Direkt Yıla Atlıyor"/>
    <x v="9"/>
    <e v="#N/A"/>
    <x v="0"/>
    <s v="-"/>
    <s v="Ürün İş Listesi"/>
    <m/>
  </r>
  <r>
    <s v="Bug"/>
    <s v="MU-171"/>
    <x v="1"/>
    <s v="UKDS Başvurusu Onayında Akış Kesintisi: &quot;Hayır İptal Etme&quot; Seçeneği Uygulamadan Atıyor (Logout)"/>
    <x v="9"/>
    <e v="#N/A"/>
    <x v="0"/>
    <s v="-"/>
    <s v="Ürün İş Listesi"/>
    <n v="1"/>
  </r>
  <r>
    <s v="Bug"/>
    <s v="MU-170"/>
    <x v="1"/>
    <s v="Android'de Uygulama İlk Kez Açılırken Bildirim İzni İsteği İki Kez Görünüyor (Reddetmeye Rağmen)"/>
    <x v="9"/>
    <e v="#N/A"/>
    <x v="0"/>
    <s v="-"/>
    <s v="Ürün İş Listesi"/>
    <m/>
  </r>
  <r>
    <s v="Bug"/>
    <s v="MU-169"/>
    <x v="1"/>
    <s v="Oturum Kapatma (Logout) Sonrası Giriş Ekranında Biyometrik Kimlik Doğrulama Otomatik Tetiklenmiyor"/>
    <x v="9"/>
    <e v="#N/A"/>
    <x v="0"/>
    <s v="-"/>
    <s v="Ürün İş Listesi"/>
    <m/>
  </r>
  <r>
    <s v="Bug"/>
    <s v="MU-128"/>
    <x v="1"/>
    <s v="Cihazlarda FCM Token Alma Sürecinde Zaman Zaman Oluşan Hata"/>
    <x v="9"/>
    <s v="Done"/>
    <x v="0"/>
    <s v="-"/>
    <s v="Ürün İş Listesi"/>
    <m/>
  </r>
  <r>
    <s v="Bug"/>
    <s v="MU-123"/>
    <x v="1"/>
    <s v="OTP Doğrulama Alanında Silinen Kod Sonrası &quot;Doğrula&quot; Butonunun Aktif Kalması"/>
    <x v="9"/>
    <e v="#N/A"/>
    <x v="0"/>
    <s v="-"/>
    <s v="Ürün İş Listesi"/>
    <m/>
  </r>
  <r>
    <s v="Bug"/>
    <s v="KEP-169"/>
    <x v="1"/>
    <s v="EYP İndirme Sorunu"/>
    <x v="7"/>
    <e v="#N/A"/>
    <x v="0"/>
    <s v="-"/>
    <s v="Ürün İş Listesi"/>
    <m/>
  </r>
  <r>
    <s v="Bug"/>
    <s v="KEP-104"/>
    <x v="1"/>
    <s v="Desteği Olmayan Web Sunucu Uygulaması"/>
    <x v="7"/>
    <e v="#N/A"/>
    <x v="0"/>
    <s v="-"/>
    <s v="Ürün İş Listesi"/>
    <m/>
  </r>
  <r>
    <s v="Bug"/>
    <s v="KA-1562"/>
    <x v="1"/>
    <s v="Bazı KEP Adreslerinden Gelen İletilerin Ekleri gözükmemektedir."/>
    <x v="6"/>
    <e v="#N/A"/>
    <x v="0"/>
    <s v="-"/>
    <s v="Ürün İş Listesi"/>
    <m/>
  </r>
  <r>
    <s v="Bug"/>
    <s v="KA-1546"/>
    <x v="1"/>
    <s v="Toplu İmza Sürecinde Sıra Atlama ve FaultException Hatası"/>
    <x v="6"/>
    <e v="#N/A"/>
    <x v="0"/>
    <s v="-"/>
    <s v="Ürün İş Listesi"/>
    <m/>
  </r>
  <r>
    <s v="Bug"/>
    <s v="KA-1529"/>
    <x v="1"/>
    <s v="İmzalanan iletilerde &quot;İmzalayanlar&quot; alanında yanlış isim bilgisi görünmesi"/>
    <x v="6"/>
    <e v="#N/A"/>
    <x v="0"/>
    <s v="-"/>
    <s v="Ürün İş Listesi"/>
    <m/>
  </r>
  <r>
    <s v="Bug"/>
    <s v="IEU-281"/>
    <x v="1"/>
    <s v="INT-SUITE Ortamında Bellek Tüketimi Artışı araştırması"/>
    <x v="5"/>
    <e v="#N/A"/>
    <x v="0"/>
    <s v="-"/>
    <s v="Ürün İş Listesi"/>
    <n v="3"/>
  </r>
  <r>
    <s v="Bug"/>
    <s v="IEU-279"/>
    <x v="1"/>
    <s v="KEP Hesaplarında Onay Sürecindeki Login Hatası"/>
    <x v="5"/>
    <e v="#N/A"/>
    <x v="0"/>
    <s v="-"/>
    <s v="Ürün İş Listesi"/>
    <m/>
  </r>
  <r>
    <s v="Bug"/>
    <s v="IEU-277"/>
    <x v="0"/>
    <s v="Servisde Listeleme Sorunu: İletilerin Eksik Görüntülenmesi"/>
    <x v="5"/>
    <e v="#N/A"/>
    <x v="0"/>
    <s v="-"/>
    <s v="Ürün İş Listesi"/>
    <m/>
  </r>
  <r>
    <s v="Bug"/>
    <s v="IEU-243"/>
    <x v="1"/>
    <s v="EYP 2.0 Formatındaki Dosyanın Parse Edilirken Hata Alınması"/>
    <x v="5"/>
    <e v="#N/A"/>
    <x v="0"/>
    <s v="-"/>
    <s v="Ürün İş Listesi"/>
    <m/>
  </r>
  <r>
    <s v="Bug"/>
    <s v="IEU-242"/>
    <x v="1"/>
    <s v="-_x0009_EYP 1.3’te gerçek kişi oluştururken hata alınması"/>
    <x v="5"/>
    <e v="#N/A"/>
    <x v="0"/>
    <s v="-"/>
    <s v="Ürün İş Listesi"/>
    <m/>
  </r>
  <r>
    <s v="Bug"/>
    <s v="IEU-237"/>
    <x v="0"/>
    <s v="HSM İmzalamalardaki Hatalar"/>
    <x v="5"/>
    <e v="#N/A"/>
    <x v="0"/>
    <s v="-"/>
    <s v="Ürün İş Listesi"/>
    <m/>
  </r>
  <r>
    <s v="Bug"/>
    <s v="IEU-118"/>
    <x v="1"/>
    <s v="Mutabakat metodunda gelen ileti adetlerinin sorgu sonucuna yansıtılamaması"/>
    <x v="5"/>
    <e v="#N/A"/>
    <x v="0"/>
    <s v="-"/>
    <s v="Ürün İş Listesi"/>
    <m/>
  </r>
  <r>
    <s v="Bug"/>
    <s v="IEU-108"/>
    <x v="1"/>
    <s v="Yüksek boyutlu KEP iletisi oluşturma hatası hakkında"/>
    <x v="5"/>
    <e v="#N/A"/>
    <x v="0"/>
    <s v="-"/>
    <s v="Ürün İş Listesi"/>
    <m/>
  </r>
  <r>
    <s v="Bug"/>
    <s v="EFT-2308"/>
    <x v="1"/>
    <s v="e-Arşiv ve e-Fatura Gönderilen Faturalar Sayfalarından 'e-Posta Gönder' Butonunun Kaldırılması"/>
    <x v="4"/>
    <e v="#N/A"/>
    <x v="0"/>
    <s v="-"/>
    <s v="Ürün İş Listesi"/>
    <m/>
  </r>
  <r>
    <s v="Bug"/>
    <s v="EFT-2301"/>
    <x v="1"/>
    <s v="Pasif Olan Kullanıcılara Bildirim Maillerinin Gönderilmemesi"/>
    <x v="4"/>
    <e v="#N/A"/>
    <x v="0"/>
    <s v="-"/>
    <s v="Ürün İş Listesi"/>
    <m/>
  </r>
  <r>
    <s v="Bug"/>
    <s v="EFT-2067"/>
    <x v="1"/>
    <s v="Konnektörde Seçilen Faturanın Mail Olarak Gönderilememesi"/>
    <x v="4"/>
    <e v="#N/A"/>
    <x v="0"/>
    <s v="-"/>
    <s v="Ürün İş Listesi"/>
    <m/>
  </r>
  <r>
    <s v="Bug"/>
    <s v="EFT-2055"/>
    <x v="1"/>
    <s v="E-Fatura Portal Hizmet Sözleşmesi Alanında Belge Yükleme Limit Kaldırılması"/>
    <x v="4"/>
    <e v="#N/A"/>
    <x v="0"/>
    <s v="-"/>
    <s v="Ürün İş Listesi"/>
    <m/>
  </r>
  <r>
    <s v="Bug"/>
    <s v="EFT-2022"/>
    <x v="1"/>
    <s v="Konnektörde İrsaliye Oluşturma Ekranında “Cari Seç” ve “Ürün Seç” Butonlarının Kısayollarında ki Hata Hk. "/>
    <x v="4"/>
    <e v="#N/A"/>
    <x v="0"/>
    <s v="-"/>
    <s v="Ürün İş Listesi"/>
    <m/>
  </r>
  <r>
    <s v="Bug"/>
    <s v="EFT-1996"/>
    <x v="1"/>
    <s v="Portalde Fatura Girişte 'Hesaplanan KDV' değeri ile Fatura Kesildikten Sonra ki 'Hesaplanan KDV' Değeri Arasında ki Fark "/>
    <x v="4"/>
    <e v="#N/A"/>
    <x v="0"/>
    <s v="-"/>
    <s v="Ürün İş Listesi"/>
    <m/>
  </r>
  <r>
    <s v="Bug"/>
    <s v="EDF-791"/>
    <x v="1"/>
    <s v="Ondalık Birim Nokta Olduğu Defter XML'lerinin Düzeltilmesi"/>
    <x v="3"/>
    <e v="#N/A"/>
    <x v="0"/>
    <s v="-"/>
    <s v="Ürün İş Listesi"/>
    <n v="2"/>
  </r>
  <r>
    <s v="Bug"/>
    <s v="EDF-789"/>
    <x v="1"/>
    <s v="Şifre Hatırlat Link Düzeltmesi"/>
    <x v="3"/>
    <e v="#N/A"/>
    <x v="0"/>
    <s v="-"/>
    <s v="Ürün İş Listesi"/>
    <m/>
  </r>
  <r>
    <s v="Bug"/>
    <s v="EDF-738"/>
    <x v="1"/>
    <s v="Scheduler Servis İyileştirmesi"/>
    <x v="3"/>
    <e v="#N/A"/>
    <x v="0"/>
    <s v="-"/>
    <s v="Ürün İş Listesi"/>
    <m/>
  </r>
  <r>
    <s v="Bug"/>
    <s v="EDF-737"/>
    <x v="1"/>
    <s v="Veritabanında Open Transaction Uyarısı Hk."/>
    <x v="3"/>
    <e v="#N/A"/>
    <x v="0"/>
    <s v="-"/>
    <s v="Ürün İş Listesi"/>
    <m/>
  </r>
  <r>
    <s v="Bug"/>
    <s v="EDF-735"/>
    <x v="1"/>
    <s v="Bloke Olan Kullanıcı 'Şifre Hatırlat' Butonuna Tıkladığında Ekranda Uyarı Mesajı"/>
    <x v="3"/>
    <e v="#N/A"/>
    <x v="0"/>
    <s v="-"/>
    <s v="Ürün İş Listesi"/>
    <m/>
  </r>
  <r>
    <s v="Bug"/>
    <s v="EDF-701"/>
    <x v="1"/>
    <s v="Defter Raporu Kuyrukta Bekleme Sorunu "/>
    <x v="3"/>
    <e v="#N/A"/>
    <x v="0"/>
    <s v="-"/>
    <s v="Ürün İş Listesi"/>
    <m/>
  </r>
  <r>
    <s v="Bug"/>
    <s v="DP-274"/>
    <x v="1"/>
    <s v="KEP-Assist Kep İmza İşlemleri"/>
    <x v="1"/>
    <e v="#N/A"/>
    <x v="0"/>
    <s v="-"/>
    <s v="Ürün İş Listesi"/>
    <m/>
  </r>
  <r>
    <s v="Bug"/>
    <s v="DP-265"/>
    <x v="1"/>
    <s v="Gönderilen E-Fatura ve E-İrsaliye'de 1163 Olup İçinde 2004 Durumlu Zarf Olanlarda Hata Alması"/>
    <x v="1"/>
    <e v="#N/A"/>
    <x v="0"/>
    <s v="-"/>
    <s v="Ürün İş Listesi"/>
    <m/>
  </r>
  <r>
    <s v="Bug"/>
    <s v="DP-264"/>
    <x v="1"/>
    <s v="E-Fatura&gt;İptal Firma Modülü Timeout Hata"/>
    <x v="1"/>
    <e v="#N/A"/>
    <x v="0"/>
    <s v="-"/>
    <s v="Ürün İş Listesi"/>
    <m/>
  </r>
  <r>
    <s v="Bug"/>
    <s v="DP-263"/>
    <x v="1"/>
    <s v="E-Fatura Modülünde Toplu Zarf Sorgulama Ebasebulka İşlem Yapılamaması"/>
    <x v="1"/>
    <e v="#N/A"/>
    <x v="0"/>
    <s v="-"/>
    <s v="Ürün İş Listesi"/>
    <m/>
  </r>
  <r>
    <s v="Bug"/>
    <s v="DP-261"/>
    <x v="1"/>
    <s v="Gönderilen Faturalarda 1163 Faturaların Zarf Kontrolde 1000 Durumuna Gelmesi"/>
    <x v="1"/>
    <e v="#N/A"/>
    <x v="0"/>
    <s v="-"/>
    <s v="Ürün İş Listesi"/>
    <m/>
  </r>
  <r>
    <s v="Bug"/>
    <s v="DP-260"/>
    <x v="1"/>
    <s v="E-Fatura&gt;Gelen Faturalarda Yanıt Zarf Kontrolü "/>
    <x v="1"/>
    <e v="#N/A"/>
    <x v="0"/>
    <s v="-"/>
    <s v="Ürün İş Listesi"/>
    <m/>
  </r>
  <r>
    <s v="Bug"/>
    <s v="DP-259"/>
    <x v="1"/>
    <s v="Rapor &gt; E-Fatura Sayfasında Sorgulama Hatası"/>
    <x v="1"/>
    <e v="#N/A"/>
    <x v="0"/>
    <s v="-"/>
    <s v="Ürün İş Listesi"/>
    <m/>
  </r>
  <r>
    <s v="Bug"/>
    <s v="DP-258"/>
    <x v="1"/>
    <s v="E-Fatura&gt; Gönderilen Fatura İşlemleri&gt; 1163 Faturaları Hk."/>
    <x v="1"/>
    <e v="#N/A"/>
    <x v="0"/>
    <s v="-"/>
    <s v="Ürün İş Listesi"/>
    <m/>
  </r>
  <r>
    <s v="Bug"/>
    <s v="DP-253"/>
    <x v="1"/>
    <s v="Raporlar Modülünde 2 Günden Fazla Günlerde Alınan Hata "/>
    <x v="1"/>
    <e v="#N/A"/>
    <x v="0"/>
    <s v="-"/>
    <s v="Ürün İş Listesi"/>
    <m/>
  </r>
  <r>
    <s v="Bug"/>
    <s v="CRM-539"/>
    <x v="1"/>
    <s v="Toplu KEP IK Bireysel KEP Açılışlarında Rezerve Tablosunun Kontrolü"/>
    <x v="0"/>
    <e v="#N/A"/>
    <x v="0"/>
    <s v="-"/>
    <s v="Ürün İş Listesi"/>
    <m/>
  </r>
  <r>
    <s v="Bug"/>
    <s v="CRM-523"/>
    <x v="1"/>
    <s v="Pazarama Bug Fix"/>
    <x v="0"/>
    <e v="#N/A"/>
    <x v="0"/>
    <s v="-"/>
    <s v="Ürün İş Listesi"/>
    <m/>
  </r>
  <r>
    <s v="Bug"/>
    <s v="CRM-522"/>
    <x v="1"/>
    <s v="Teklif Onay Sayfasında Özel İndirim Alanı Hk."/>
    <x v="0"/>
    <e v="#N/A"/>
    <x v="0"/>
    <s v="-"/>
    <s v="Ürün İş Listesi"/>
    <m/>
  </r>
  <r>
    <s v="Bug"/>
    <s v="CRM-516"/>
    <x v="1"/>
    <s v="Kısmen İade Tutar Bug"/>
    <x v="0"/>
    <e v="#N/A"/>
    <x v="0"/>
    <s v="-"/>
    <s v="Ürün İş Listesi"/>
    <m/>
  </r>
  <r>
    <s v="Story"/>
    <s v="CRM-718"/>
    <x v="1"/>
    <s v="Üretim Modülü Ek Geliştirme"/>
    <x v="0"/>
    <e v="#N/A"/>
    <x v="0"/>
    <s v="-"/>
    <s v="Ürün İş Listesi"/>
    <n v="1"/>
  </r>
  <r>
    <s v="Story"/>
    <s v="CRM-728"/>
    <x v="1"/>
    <s v="KEP Öneri Metodu Karakter Hatası"/>
    <x v="0"/>
    <e v="#N/A"/>
    <x v="0"/>
    <s v="-"/>
    <s v="Ürün İş Listesi"/>
    <n v="1"/>
  </r>
  <r>
    <s v="Story"/>
    <s v="CRM-732"/>
    <x v="1"/>
    <s v="Ödeme Altyapısının Servis ile UKDS ve MU ile Paylaşılması "/>
    <x v="0"/>
    <e v="#N/A"/>
    <x v="0"/>
    <s v="-"/>
    <s v="Ürün İş Listesi"/>
    <n v="3"/>
  </r>
  <r>
    <s v="Story"/>
    <s v="CRM-744"/>
    <x v="5"/>
    <s v="Datassist &amp; CRM Entegrasyonu - Kurumsal Müşteri ve Teklif Kayıtları Oluşturma "/>
    <x v="0"/>
    <e v="#N/A"/>
    <x v="0"/>
    <s v="-"/>
    <s v="Ürün İş Listesi"/>
    <n v="3"/>
  </r>
  <r>
    <s v="Story"/>
    <s v="CRM-747"/>
    <x v="1"/>
    <s v="Datassist &amp; CRM Entegrasyonu - Kurumsal Teklif İçin Sipariş Detayı ve Sözleşme Kayıtları Oluşturma"/>
    <x v="0"/>
    <e v="#N/A"/>
    <x v="0"/>
    <s v="-"/>
    <s v="Ürün İş Listesi"/>
    <n v="3"/>
  </r>
  <r>
    <s v="Story"/>
    <s v="CRM-748"/>
    <x v="5"/>
    <s v="Datassist &amp; CRM Entegrasyonu - Bireysel Sipariş Detayı Oluşturma"/>
    <x v="0"/>
    <e v="#N/A"/>
    <x v="0"/>
    <s v="-"/>
    <s v="Ürün İş Listesi"/>
    <n v="3"/>
  </r>
  <r>
    <s v="Story"/>
    <s v="CRM-740"/>
    <x v="1"/>
    <s v="KEP Adresi Açılışında UKDS’ye KEP ID Gönderimi"/>
    <x v="0"/>
    <e v="#N/A"/>
    <x v="0"/>
    <s v="-"/>
    <s v="Ürün İş Listesi"/>
    <n v="2"/>
  </r>
  <r>
    <s v="Story"/>
    <s v="CRM-742"/>
    <x v="1"/>
    <s v="UKDS Servisine API Access Token Gönderimi"/>
    <x v="0"/>
    <e v="#N/A"/>
    <x v="0"/>
    <s v="-"/>
    <s v="Ürün İş Listesi"/>
    <n v="3"/>
  </r>
  <r>
    <s v="Story"/>
    <s v="CRM-743"/>
    <x v="1"/>
    <s v="RezerveKEP Metoduna API Access Token Parametresi Eklenmesi"/>
    <x v="0"/>
    <e v="#N/A"/>
    <x v="0"/>
    <s v="-"/>
    <s v="Ürün İş Listesi"/>
    <n v="2"/>
  </r>
  <r>
    <s v="Story"/>
    <s v="CRM-745"/>
    <x v="1"/>
    <s v="UKDS Kontrol Otomasyonu - E-Devlet Onay İbaresi Alanı Ek Metin"/>
    <x v="0"/>
    <e v="#N/A"/>
    <x v="0"/>
    <s v="-"/>
    <s v="Ürün İş Listesi"/>
    <n v="1"/>
  </r>
  <r>
    <s v="Story"/>
    <s v="CRM-749"/>
    <x v="1"/>
    <s v="KEP Oluştur Butonu - Kuyruk Ayrımı"/>
    <x v="0"/>
    <e v="#N/A"/>
    <x v="0"/>
    <s v="-"/>
    <s v="Ürün İş Listesi"/>
    <n v="1"/>
  </r>
  <r>
    <s v="Story"/>
    <s v="IEU-278"/>
    <x v="1"/>
    <s v="UKDS Metodlarındaki Güncellemelerin Entegrasyon Suit Tarafında Uygulanması"/>
    <x v="5"/>
    <e v="#N/A"/>
    <x v="0"/>
    <s v="-"/>
    <s v="Ürün İş Listesi"/>
    <n v="5"/>
  </r>
  <r>
    <s v="Bug"/>
    <s v="IEU-280"/>
    <x v="1"/>
    <s v="EYP 2.0 Paketine İkinci İmza Ekleme İşleminde &quot;Zaten İmzalıdır&quot; Hatası"/>
    <x v="5"/>
    <e v="#N/A"/>
    <x v="0"/>
    <s v="-"/>
    <s v="Ürün İş Listesi"/>
    <n v="3"/>
  </r>
  <r>
    <s v="Story"/>
    <s v="KA-1563"/>
    <x v="1"/>
    <s v="Word-PDF Dönüşümü APİ (Office + API) Test ve Doğrulaması"/>
    <x v="6"/>
    <s v="Done"/>
    <x v="0"/>
    <s v="-"/>
    <s v="Ürün İş Listesi"/>
    <n v="5"/>
  </r>
  <r>
    <s v="Story"/>
    <s v="KA-1564"/>
    <x v="1"/>
    <s v="EvoPDF ile Word → PDF Dönüşüm Aracı Değerlendirmesi"/>
    <x v="6"/>
    <e v="#N/A"/>
    <x v="0"/>
    <s v="-"/>
    <s v="Ürün İş Listesi"/>
    <n v="2"/>
  </r>
  <r>
    <s v="Story"/>
    <s v="MYS-817"/>
    <x v="1"/>
    <s v="Cevap Şablon Modülünün SEP Yanıt Süreç Akışının Sağlanması"/>
    <x v="12"/>
    <e v="#N/A"/>
    <x v="0"/>
    <s v="-"/>
    <s v="Ürün İş Listesi"/>
    <n v="5"/>
  </r>
  <r>
    <s v="Story"/>
    <s v="CRM-741"/>
    <x v="5"/>
    <s v="Tekliflerde İade Faturası Sonrası Eksik Fatura Kontrolü"/>
    <x v="0"/>
    <e v="#N/A"/>
    <x v="0"/>
    <s v="-"/>
    <s v="Ürün İş Listesi"/>
    <n v="5"/>
  </r>
  <r>
    <s v="Story"/>
    <s v="CRM-736"/>
    <x v="1"/>
    <s v="E-Belge Ürünleri Zorunlu Eşitlemeler"/>
    <x v="0"/>
    <e v="#N/A"/>
    <x v="0"/>
    <s v="-"/>
    <s v="Ürün İş Listesi"/>
    <n v="3"/>
  </r>
  <r>
    <s v="Story"/>
    <s v="IEU-282"/>
    <x v="1"/>
    <s v="Araştırma/ İmzalama Sürecinde Aynı Anda Gelen Çoklu İstek Akışının Belirlenmesi"/>
    <x v="5"/>
    <e v="#N/A"/>
    <x v="0"/>
    <s v="-"/>
    <s v="Ürün İş Listesi"/>
    <n v="3"/>
  </r>
  <r>
    <s v="Story"/>
    <s v="IEU-283"/>
    <x v="1"/>
    <s v="Araştırma KEP Gönderim Süreçlerinin Tek Metotta Birleştirilmesi ve Optimizasyonu"/>
    <x v="5"/>
    <e v="#N/A"/>
    <x v="0"/>
    <s v="-"/>
    <s v="Ürün İş Listesi"/>
    <n v="3"/>
  </r>
  <r>
    <s v="Story"/>
    <s v="MU-163"/>
    <x v="3"/>
    <s v="Paket Seçimi Sonrasında Kullanıcının Ödeme Alanına Yönlendirilmesi ve Ödeme Tamamlanmadan Sürece Devam Edilmemesi"/>
    <x v="9"/>
    <e v="#N/A"/>
    <x v="0"/>
    <s v="-"/>
    <s v="Ürün İş Listesi"/>
    <n v="8"/>
  </r>
  <r>
    <s v="Story"/>
    <s v="MU-176"/>
    <x v="1"/>
    <s v="CRM Onayı Bekleyen KEP Adresleri İçin Yönlendirme Sayfalarının Tasarım Güncellemesi"/>
    <x v="9"/>
    <e v="#N/A"/>
    <x v="0"/>
    <s v="-"/>
    <s v="Ürün İş Listesi"/>
    <n v="2"/>
  </r>
  <r>
    <s v="Story"/>
    <s v="MU-177"/>
    <x v="1"/>
    <s v="CRM Onayı Bekleyen KEP Adresleri İçin Yönlendirme Sayfalarının API Entegrasyonu"/>
    <x v="9"/>
    <e v="#N/A"/>
    <x v="0"/>
    <s v="-"/>
    <s v="Ürün İş Listesi"/>
    <n v="2"/>
  </r>
  <r>
    <s v="Story"/>
    <s v="MYS-821"/>
    <x v="1"/>
    <s v="TEST - E-Tebligat Metninde Satır Başı Sorunu"/>
    <x v="12"/>
    <e v="#N/A"/>
    <x v="0"/>
    <s v="-"/>
    <s v="Ürün İş Listesi"/>
    <m/>
  </r>
  <r>
    <s v="Story"/>
    <s v="MYS-820"/>
    <x v="1"/>
    <s v="KEP-Gelen İleti Listeleme Ekranında Giden İleti ID Gösterimi"/>
    <x v="12"/>
    <e v="#N/A"/>
    <x v="0"/>
    <s v="-"/>
    <s v="Ürün İş Listesi"/>
    <n v="3"/>
  </r>
  <r>
    <s v="Story"/>
    <s v="UKDS-198"/>
    <x v="1"/>
    <s v="UKDS ana servis ve önyüzde yeni tipe göre güncelleme"/>
    <x v="15"/>
    <e v="#N/A"/>
    <x v="0"/>
    <s v="-"/>
    <s v="Ürün İş Listesi"/>
    <n v="2"/>
  </r>
  <r>
    <s v="Story"/>
    <s v="UKDS-189"/>
    <x v="1"/>
    <s v="&quot;Entegrasyon Suit UKDS&quot; servisinin remake çalışması hk"/>
    <x v="15"/>
    <e v="#N/A"/>
    <x v="0"/>
    <s v="-"/>
    <s v="Ürün İş Listesi"/>
    <n v="2"/>
  </r>
  <r>
    <s v="Story"/>
    <s v="UKDS-191"/>
    <x v="1"/>
    <s v="Entegrasyon Suit Üzerinden UKDS Modülü Satıldığında UKDS’ye Bilgi Gönderilecek Yeni Methodun Oluşturulması"/>
    <x v="15"/>
    <e v="#N/A"/>
    <x v="0"/>
    <s v="-"/>
    <s v="Ürün İş Listesi"/>
    <n v="2"/>
  </r>
  <r>
    <s v="Story"/>
    <s v="UKDS-194"/>
    <x v="1"/>
    <s v="Ön Başvuru Oluşturma Metoduna kepid, producttype ve value Parametrelerinin Eklenmesi"/>
    <x v="15"/>
    <e v="#N/A"/>
    <x v="0"/>
    <s v="-"/>
    <s v="Ürün İş Listesi"/>
    <n v="2"/>
  </r>
  <r>
    <s v="Story"/>
    <s v="UKDS-195"/>
    <x v="1"/>
    <s v="Ön Başvuru Düzenleme Metoduna Yeni Parametrelerin Eklenmesi"/>
    <x v="15"/>
    <e v="#N/A"/>
    <x v="0"/>
    <s v="-"/>
    <s v="Ürün İş Listesi"/>
    <n v="1"/>
  </r>
  <r>
    <s v="Story"/>
    <s v="UKDS-197"/>
    <x v="1"/>
    <s v="Get Integration/application/{applicationId} Methodunun Response’una kepid Eklenmesi"/>
    <x v="15"/>
    <e v="#N/A"/>
    <x v="0"/>
    <s v="-"/>
    <s v="Ürün İş Listesi"/>
    <n v="1"/>
  </r>
  <r>
    <s v="Story"/>
    <s v="UKDS-196"/>
    <x v="1"/>
    <s v="Tüm Başvuruları Listeleme Metodunda kepid Zorunluluğunun Kaldırılması"/>
    <x v="15"/>
    <e v="#N/A"/>
    <x v="0"/>
    <s v="-"/>
    <s v="Ürün İş Listesi"/>
    <n v="1"/>
  </r>
  <r>
    <s v="Story"/>
    <s v="UKDS-193"/>
    <x v="1"/>
    <s v="Yeni Bir Başvuru Tipi Eklenmesi: IKENTEGRASYON"/>
    <x v="15"/>
    <e v="#N/A"/>
    <x v="0"/>
    <s v="-"/>
    <s v="Ürün İş Listesi"/>
    <n v="1"/>
  </r>
  <r>
    <s v="Story"/>
    <s v="UKDS-192"/>
    <x v="1"/>
    <s v="changestatuscrm Methoduna ‘kepid’ Parametresinin Eklenmesi"/>
    <x v="15"/>
    <e v="#N/A"/>
    <x v="0"/>
    <s v="-"/>
    <s v="Ürün İş Listesi"/>
    <n v="1"/>
  </r>
  <r>
    <s v="Story"/>
    <s v="YZCK-19"/>
    <x v="1"/>
    <s v="Ara Servis Katmanında IP Kontrolünün Yapılabilmesi"/>
    <x v="23"/>
    <e v="#N/A"/>
    <x v="0"/>
    <s v="-"/>
    <s v="Ürün İş Listesi"/>
    <m/>
  </r>
  <r>
    <s v="Story"/>
    <s v="YZCK-18"/>
    <x v="0"/>
    <s v="Araştırma- Chat Değerlendirme Workflow'da Ürün Bazlı Değerlendirme Sonucu"/>
    <x v="23"/>
    <e v="#N/A"/>
    <x v="0"/>
    <s v="-"/>
    <s v="Ürün İş Listesi"/>
    <m/>
  </r>
  <r>
    <s v="Story"/>
    <s v="UKDS-200"/>
    <x v="1"/>
    <s v="Kidos Ekranlarına Aktif/Pasif Statün Eklenmesi"/>
    <x v="15"/>
    <e v="#N/A"/>
    <x v="0"/>
    <s v="-"/>
    <s v="Ürün İş Listesi"/>
    <m/>
  </r>
  <r>
    <s v="Story"/>
    <s v="UKDS-199"/>
    <x v="0"/>
    <s v="UKDS Paket Seçimi Sonrası Ödeme Adımı Servis Entegrasyonunun Gerçekleştirilmesi"/>
    <x v="15"/>
    <e v="#N/A"/>
    <x v="0"/>
    <s v="-"/>
    <s v="Ürün İş Listesi"/>
    <m/>
  </r>
  <r>
    <s v="Story"/>
    <s v="MU-175"/>
    <x v="6"/>
    <s v="API Bağlantılarındaki Responselar için Model Düzenlemeleri"/>
    <x v="9"/>
    <e v="#N/A"/>
    <x v="0"/>
    <s v="-"/>
    <s v="Ürün İş Listesi"/>
    <n v="5"/>
  </r>
  <r>
    <s v="Sub-task"/>
    <s v="EFT-2311"/>
    <x v="1"/>
    <s v="e-Fatura Portal"/>
    <x v="4"/>
    <e v="#N/A"/>
    <x v="0"/>
    <s v="-"/>
    <s v="Ürün İş Listesi"/>
    <m/>
  </r>
  <r>
    <s v="Story"/>
    <s v="EFT-2310"/>
    <x v="0"/>
    <s v="İlaçTıbbiAçıklama Alanın Tıklanabilir Input Tablosuna Dönüştürülmesi"/>
    <x v="4"/>
    <e v="#N/A"/>
    <x v="0"/>
    <s v="-"/>
    <s v="Ürün İş Listesi"/>
    <m/>
  </r>
  <r>
    <s v="Story"/>
    <s v="EFT-2309"/>
    <x v="0"/>
    <s v="e-Fatura - İlk Aktivasyon Esnasında Mükelleflerin İmza/Mali Mühür Sertifikasyon Başlangıç-Bitiş Tarih Loglama"/>
    <x v="4"/>
    <e v="#N/A"/>
    <x v="0"/>
    <s v="-"/>
    <s v="Ürün İş Listesi"/>
    <m/>
  </r>
  <r>
    <s v="Story"/>
    <s v="EFT-2298"/>
    <x v="1"/>
    <s v="GİB - &quot;CurrencyCodeList&quot; Güncellenmesi "/>
    <x v="4"/>
    <e v="#N/A"/>
    <x v="0"/>
    <s v="-"/>
    <s v="Ürün İş Listesi"/>
    <m/>
  </r>
  <r>
    <s v="Story"/>
    <s v="EFT-2297"/>
    <x v="1"/>
    <s v="GİB - ILAC_TIBBICIHAZ Profilinde &quot;AdditionalItemIdentification&quot; Kontrolü "/>
    <x v="4"/>
    <e v="#N/A"/>
    <x v="0"/>
    <s v="-"/>
    <s v="Ürün İş Listesi"/>
    <m/>
  </r>
  <r>
    <s v="Story"/>
    <s v="DP-288"/>
    <x v="1"/>
    <s v="KEP Assist - Hesap Hata Takibi Tablosu Eklenmesi"/>
    <x v="1"/>
    <e v="#N/A"/>
    <x v="0"/>
    <s v="-"/>
    <s v="Ürün İş Listesi"/>
    <m/>
  </r>
  <r>
    <s v="Story"/>
    <s v="CRM-746"/>
    <x v="0"/>
    <s v="Sipariş Detayı Sayfası – İyileştirme Çalışması"/>
    <x v="0"/>
    <e v="#N/A"/>
    <x v="0"/>
    <s v="-"/>
    <s v="Ürün İş Listesi"/>
    <m/>
  </r>
  <r>
    <s v="Story"/>
    <s v="CRM-739"/>
    <x v="1"/>
    <s v="KEP Zorunlu Eşitlemeler"/>
    <x v="0"/>
    <e v="#N/A"/>
    <x v="0"/>
    <s v="-"/>
    <s v="Ürün İş Listesi"/>
    <n v="2"/>
  </r>
  <r>
    <s v="Story"/>
    <s v="CRM-738"/>
    <x v="6"/>
    <s v="KEP Opsiyonel Eşitlemeler"/>
    <x v="0"/>
    <s v="TO TEST"/>
    <x v="1"/>
    <s v="Gelecek Sprint"/>
    <s v="Devam Eden ve Gelecek Sprint"/>
    <m/>
  </r>
  <r>
    <s v="Story"/>
    <s v="CRM-737"/>
    <x v="5"/>
    <s v="Kurumsal Çözümler Zorunlu Eşitlemeler"/>
    <x v="0"/>
    <s v="In Test"/>
    <x v="1"/>
    <s v="Gelecek Sprint"/>
    <s v="Devam Eden ve Gelecek Sprint"/>
    <n v="2"/>
  </r>
  <r>
    <s v="Story"/>
    <s v="CRM-734"/>
    <x v="0"/>
    <s v="KEP IK Başvuru Süreci CRM ve UKDS Sistemleri Arası Doğrulama"/>
    <x v="0"/>
    <e v="#N/A"/>
    <x v="0"/>
    <s v="-"/>
    <s v="Ürün İş Listesi"/>
    <m/>
  </r>
  <r>
    <s v="Story"/>
    <s v="CRM-733"/>
    <x v="0"/>
    <s v="UKDS Kaynaklı Başvuru Durumlarının CRM Sisteminde Görüntülenmesi"/>
    <x v="0"/>
    <e v="#N/A"/>
    <x v="0"/>
    <s v="-"/>
    <s v="Ürün İş Listesi"/>
    <m/>
  </r>
  <r>
    <s v="Story"/>
    <s v="CRM-729"/>
    <x v="0"/>
    <s v="Ent. Suit Sözleşme Bitiş Bildirimi"/>
    <x v="0"/>
    <e v="#N/A"/>
    <x v="0"/>
    <s v="-"/>
    <s v="Ürün İş Listesi"/>
    <m/>
  </r>
  <r>
    <s v="Story"/>
    <s v="UKDS-201"/>
    <x v="1"/>
    <s v="Toplu Çalışan Ekleme – Excel Format Doğrulama Akışındaki Tarih Formatının Kontrolü"/>
    <x v="15"/>
    <e v="#N/A"/>
    <x v="0"/>
    <s v="-"/>
    <s v="Ürün İş Listesi"/>
    <n v="3"/>
  </r>
  <r>
    <s v="Story"/>
    <s v="WIK-741"/>
    <x v="1"/>
    <s v="Çalışan Ekle Ekranında Ad–Soyad Bilgilerinin Tüm Fonksiyonlarda Görüntülenmesi ve Aranabilir Hale Getirilmesi"/>
    <x v="16"/>
    <e v="#N/A"/>
    <x v="0"/>
    <s v="-"/>
    <s v="Ürün İş Listesi"/>
    <n v="5"/>
  </r>
  <r>
    <s v="Story"/>
    <s v="WIK-743"/>
    <x v="1"/>
    <s v="Çalışanlar Ekranına Çalışan Grubu Kolonu Eklenmesi"/>
    <x v="16"/>
    <e v="#N/A"/>
    <x v="0"/>
    <s v="-"/>
    <s v="Ürün İş Listesi"/>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779C4B-9AA3-4229-8459-CEE5BCF66803}" name="PivotTable2"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P4:V15" firstHeaderRow="1" firstDataRow="2" firstDataCol="1" rowPageCount="1" colPageCount="1"/>
  <pivotFields count="10">
    <pivotField showAll="0"/>
    <pivotField showAll="0"/>
    <pivotField axis="axisCol" multipleItemSelectionAllowed="1" showAll="0">
      <items count="11">
        <item h="1" x="2"/>
        <item x="1"/>
        <item x="3"/>
        <item x="4"/>
        <item x="0"/>
        <item x="6"/>
        <item h="1" x="7"/>
        <item x="5"/>
        <item h="1" m="1" x="9"/>
        <item h="1" m="1" x="8"/>
        <item t="default"/>
      </items>
    </pivotField>
    <pivotField showAll="0"/>
    <pivotField axis="axisRow" showAll="0">
      <items count="31">
        <item x="0"/>
        <item x="1"/>
        <item x="3"/>
        <item x="4"/>
        <item x="5"/>
        <item x="7"/>
        <item x="6"/>
        <item x="16"/>
        <item x="9"/>
        <item x="12"/>
        <item h="1" x="10"/>
        <item h="1" x="11"/>
        <item x="13"/>
        <item x="14"/>
        <item x="15"/>
        <item x="8"/>
        <item x="2"/>
        <item h="1" x="17"/>
        <item h="1" m="1" x="29"/>
        <item h="1" m="1" x="27"/>
        <item h="1" x="18"/>
        <item h="1" m="1" x="28"/>
        <item x="24"/>
        <item h="1" x="26"/>
        <item h="1" x="20"/>
        <item h="1" x="19"/>
        <item h="1" x="21"/>
        <item h="1" x="22"/>
        <item x="23"/>
        <item h="1" x="25"/>
        <item t="default"/>
      </items>
    </pivotField>
    <pivotField showAll="0"/>
    <pivotField axis="axisPage" showAll="0">
      <items count="4">
        <item x="0"/>
        <item x="2"/>
        <item x="1"/>
        <item t="default"/>
      </items>
    </pivotField>
    <pivotField showAll="0"/>
    <pivotField dataField="1" showAll="0"/>
    <pivotField showAll="0"/>
  </pivotFields>
  <rowFields count="1">
    <field x="4"/>
  </rowFields>
  <rowItems count="10">
    <i>
      <x/>
    </i>
    <i>
      <x v="2"/>
    </i>
    <i>
      <x v="3"/>
    </i>
    <i>
      <x v="4"/>
    </i>
    <i>
      <x v="5"/>
    </i>
    <i>
      <x v="6"/>
    </i>
    <i>
      <x v="7"/>
    </i>
    <i>
      <x v="8"/>
    </i>
    <i>
      <x v="22"/>
    </i>
    <i t="grand">
      <x/>
    </i>
  </rowItems>
  <colFields count="1">
    <field x="2"/>
  </colFields>
  <colItems count="6">
    <i>
      <x v="1"/>
    </i>
    <i>
      <x v="2"/>
    </i>
    <i>
      <x v="4"/>
    </i>
    <i>
      <x v="5"/>
    </i>
    <i>
      <x v="7"/>
    </i>
    <i t="grand">
      <x/>
    </i>
  </colItems>
  <pageFields count="1">
    <pageField fld="6" item="2" hier="-1"/>
  </pageFields>
  <dataFields count="1">
    <dataField name="Say Durum" fld="8" subtotal="count" baseField="0" baseItem="0"/>
  </dataFields>
  <formats count="3">
    <format dxfId="28">
      <pivotArea outline="0" collapsedLevelsAreSubtotals="1" fieldPosition="0">
        <references count="1">
          <reference field="2" count="4" selected="0">
            <x v="1"/>
            <x v="3"/>
            <x v="4"/>
            <x v="5"/>
          </reference>
        </references>
      </pivotArea>
    </format>
    <format dxfId="27">
      <pivotArea dataOnly="0" labelOnly="1" fieldPosition="0">
        <references count="1">
          <reference field="2" count="4">
            <x v="1"/>
            <x v="3"/>
            <x v="4"/>
            <x v="5"/>
          </reference>
        </references>
      </pivotArea>
    </format>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3090C9-A89A-4586-8354-637E30867D8C}" name="PivotTable1"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AC4:AI15" firstHeaderRow="1" firstDataRow="2" firstDataCol="1" rowPageCount="1" colPageCount="1"/>
  <pivotFields count="10">
    <pivotField showAll="0"/>
    <pivotField showAll="0"/>
    <pivotField axis="axisCol" multipleItemSelectionAllowed="1" showAll="0">
      <items count="11">
        <item h="1" x="2"/>
        <item x="1"/>
        <item x="3"/>
        <item x="5"/>
        <item x="4"/>
        <item x="0"/>
        <item x="6"/>
        <item x="7"/>
        <item h="1" m="1" x="9"/>
        <item h="1" m="1" x="8"/>
        <item t="default"/>
      </items>
    </pivotField>
    <pivotField showAll="0"/>
    <pivotField axis="axisRow" showAll="0">
      <items count="31">
        <item x="0"/>
        <item x="1"/>
        <item x="3"/>
        <item x="4"/>
        <item x="5"/>
        <item x="7"/>
        <item x="6"/>
        <item x="16"/>
        <item x="9"/>
        <item x="12"/>
        <item x="10"/>
        <item x="11"/>
        <item x="13"/>
        <item x="14"/>
        <item x="15"/>
        <item x="8"/>
        <item x="2"/>
        <item h="1" x="17"/>
        <item h="1" x="26"/>
        <item h="1" m="1" x="29"/>
        <item h="1" m="1" x="27"/>
        <item h="1" x="18"/>
        <item h="1" m="1" x="28"/>
        <item h="1" x="24"/>
        <item h="1" x="20"/>
        <item h="1" x="19"/>
        <item h="1" x="21"/>
        <item h="1" x="22"/>
        <item x="23"/>
        <item h="1" x="25"/>
        <item t="default"/>
      </items>
    </pivotField>
    <pivotField showAll="0"/>
    <pivotField axis="axisPage" showAll="0">
      <items count="4">
        <item x="0"/>
        <item x="2"/>
        <item x="1"/>
        <item t="default"/>
      </items>
    </pivotField>
    <pivotField showAll="0"/>
    <pivotField showAll="0"/>
    <pivotField dataField="1" showAll="0"/>
  </pivotFields>
  <rowFields count="1">
    <field x="4"/>
  </rowFields>
  <rowItems count="10">
    <i>
      <x/>
    </i>
    <i>
      <x v="2"/>
    </i>
    <i>
      <x v="3"/>
    </i>
    <i>
      <x v="4"/>
    </i>
    <i>
      <x v="5"/>
    </i>
    <i>
      <x v="6"/>
    </i>
    <i>
      <x v="7"/>
    </i>
    <i>
      <x v="8"/>
    </i>
    <i>
      <x v="11"/>
    </i>
    <i t="grand">
      <x/>
    </i>
  </rowItems>
  <colFields count="1">
    <field x="2"/>
  </colFields>
  <colItems count="6">
    <i>
      <x v="1"/>
    </i>
    <i>
      <x v="2"/>
    </i>
    <i>
      <x v="3"/>
    </i>
    <i>
      <x v="5"/>
    </i>
    <i>
      <x v="6"/>
    </i>
    <i t="grand">
      <x/>
    </i>
  </colItems>
  <pageFields count="1">
    <pageField fld="6" item="2" hier="-1"/>
  </pageFields>
  <dataFields count="1">
    <dataField name="Toplam Story Point2" fld="9" baseField="0" baseItem="0"/>
  </dataFields>
  <formats count="3">
    <format dxfId="31">
      <pivotArea outline="0" collapsedLevelsAreSubtotals="1" fieldPosition="0">
        <references count="1">
          <reference field="2" count="4" selected="0">
            <x v="1"/>
            <x v="4"/>
            <x v="5"/>
            <x v="6"/>
          </reference>
        </references>
      </pivotArea>
    </format>
    <format dxfId="30">
      <pivotArea dataOnly="0" labelOnly="1" fieldPosition="0">
        <references count="1">
          <reference field="2" count="4">
            <x v="1"/>
            <x v="4"/>
            <x v="5"/>
            <x v="6"/>
          </reference>
        </references>
      </pivotArea>
    </format>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370D5C-95F2-4227-ABD4-D88BCD9B3424}" name="PivotTable6"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AQ4:AT14" firstHeaderRow="1" firstDataRow="2" firstDataCol="1" rowPageCount="2" colPageCount="1"/>
  <pivotFields count="10">
    <pivotField axis="axisCol" showAll="0">
      <items count="9">
        <item x="1"/>
        <item m="1" x="6"/>
        <item x="0"/>
        <item x="2"/>
        <item m="1" x="5"/>
        <item x="3"/>
        <item x="4"/>
        <item m="1" x="7"/>
        <item t="default"/>
      </items>
    </pivotField>
    <pivotField showAll="0"/>
    <pivotField axis="axisPage" multipleItemSelectionAllowed="1" showAll="0">
      <items count="11">
        <item h="1" x="2"/>
        <item m="1" x="8"/>
        <item x="1"/>
        <item x="3"/>
        <item x="5"/>
        <item x="4"/>
        <item m="1" x="9"/>
        <item x="0"/>
        <item x="6"/>
        <item h="1" x="7"/>
        <item t="default"/>
      </items>
    </pivotField>
    <pivotField showAll="0"/>
    <pivotField axis="axisRow" showAll="0">
      <items count="31">
        <item x="0"/>
        <item x="1"/>
        <item x="3"/>
        <item x="4"/>
        <item x="5"/>
        <item x="7"/>
        <item x="6"/>
        <item x="16"/>
        <item x="9"/>
        <item x="12"/>
        <item h="1" x="10"/>
        <item h="1" x="11"/>
        <item x="13"/>
        <item x="14"/>
        <item x="15"/>
        <item x="8"/>
        <item x="2"/>
        <item h="1" x="17"/>
        <item h="1" m="1" x="29"/>
        <item h="1" m="1" x="27"/>
        <item h="1" x="18"/>
        <item h="1" m="1" x="28"/>
        <item h="1" x="24"/>
        <item h="1" x="26"/>
        <item h="1" x="20"/>
        <item h="1" x="19"/>
        <item h="1" x="21"/>
        <item h="1" x="22"/>
        <item x="23"/>
        <item h="1" x="25"/>
        <item t="default"/>
      </items>
    </pivotField>
    <pivotField showAll="0"/>
    <pivotField axis="axisPage" showAll="0">
      <items count="4">
        <item x="0"/>
        <item x="2"/>
        <item x="1"/>
        <item t="default"/>
      </items>
    </pivotField>
    <pivotField showAll="0"/>
    <pivotField dataField="1" showAll="0"/>
    <pivotField showAll="0"/>
  </pivotFields>
  <rowFields count="1">
    <field x="4"/>
  </rowFields>
  <rowItems count="9">
    <i>
      <x/>
    </i>
    <i>
      <x v="2"/>
    </i>
    <i>
      <x v="3"/>
    </i>
    <i>
      <x v="4"/>
    </i>
    <i>
      <x v="5"/>
    </i>
    <i>
      <x v="6"/>
    </i>
    <i>
      <x v="7"/>
    </i>
    <i>
      <x v="8"/>
    </i>
    <i t="grand">
      <x/>
    </i>
  </rowItems>
  <colFields count="1">
    <field x="0"/>
  </colFields>
  <colItems count="3">
    <i>
      <x/>
    </i>
    <i>
      <x v="2"/>
    </i>
    <i t="grand">
      <x/>
    </i>
  </colItems>
  <pageFields count="2">
    <pageField fld="6" item="2" hier="-1"/>
    <pageField fld="2" hier="-1"/>
  </pageFields>
  <dataFields count="1">
    <dataField name="Say Durum" fld="8" subtotal="count" baseField="0" baseItem="0"/>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3DAC35-C17F-46E5-BED0-7215FCA7D224}" name="PivotTable4"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AC30:AH48" firstHeaderRow="1" firstDataRow="2" firstDataCol="1" rowPageCount="1" colPageCount="1"/>
  <pivotFields count="10">
    <pivotField showAll="0"/>
    <pivotField showAll="0"/>
    <pivotField axis="axisPage" multipleItemSelectionAllowed="1" showAll="0">
      <items count="11">
        <item h="1" x="2"/>
        <item x="1"/>
        <item x="3"/>
        <item x="5"/>
        <item x="4"/>
        <item x="0"/>
        <item x="6"/>
        <item x="7"/>
        <item h="1" m="1" x="9"/>
        <item h="1" m="1" x="8"/>
        <item t="default"/>
      </items>
    </pivotField>
    <pivotField showAll="0"/>
    <pivotField axis="axisRow" showAll="0">
      <items count="31">
        <item x="0"/>
        <item x="1"/>
        <item x="3"/>
        <item x="4"/>
        <item x="5"/>
        <item x="7"/>
        <item x="6"/>
        <item x="16"/>
        <item x="9"/>
        <item x="12"/>
        <item h="1" x="10"/>
        <item h="1" x="11"/>
        <item x="13"/>
        <item x="14"/>
        <item x="15"/>
        <item x="8"/>
        <item x="2"/>
        <item h="1" x="17"/>
        <item h="1" x="26"/>
        <item h="1" m="1" x="29"/>
        <item h="1" m="1" x="27"/>
        <item h="1" x="18"/>
        <item h="1" m="1" x="28"/>
        <item h="1" x="24"/>
        <item h="1" x="20"/>
        <item h="1" x="19"/>
        <item h="1" x="21"/>
        <item h="1" x="22"/>
        <item x="23"/>
        <item h="1" x="25"/>
        <item t="default"/>
      </items>
    </pivotField>
    <pivotField showAll="0"/>
    <pivotField showAll="0"/>
    <pivotField showAll="0"/>
    <pivotField axis="axisCol" dataField="1" showAll="0">
      <items count="6">
        <item x="0"/>
        <item x="4"/>
        <item x="2"/>
        <item x="1"/>
        <item x="3"/>
        <item t="default"/>
      </items>
    </pivotField>
    <pivotField showAll="0"/>
  </pivotFields>
  <rowFields count="1">
    <field x="4"/>
  </rowFields>
  <rowItems count="17">
    <i>
      <x/>
    </i>
    <i>
      <x v="1"/>
    </i>
    <i>
      <x v="2"/>
    </i>
    <i>
      <x v="3"/>
    </i>
    <i>
      <x v="4"/>
    </i>
    <i>
      <x v="5"/>
    </i>
    <i>
      <x v="6"/>
    </i>
    <i>
      <x v="7"/>
    </i>
    <i>
      <x v="8"/>
    </i>
    <i>
      <x v="9"/>
    </i>
    <i>
      <x v="12"/>
    </i>
    <i>
      <x v="13"/>
    </i>
    <i>
      <x v="14"/>
    </i>
    <i>
      <x v="15"/>
    </i>
    <i>
      <x v="16"/>
    </i>
    <i>
      <x v="28"/>
    </i>
    <i t="grand">
      <x/>
    </i>
  </rowItems>
  <colFields count="1">
    <field x="8"/>
  </colFields>
  <colItems count="5">
    <i>
      <x/>
    </i>
    <i>
      <x v="2"/>
    </i>
    <i>
      <x v="3"/>
    </i>
    <i>
      <x v="4"/>
    </i>
    <i t="grand">
      <x/>
    </i>
  </colItems>
  <pageFields count="1">
    <pageField fld="2" hier="-1"/>
  </pageFields>
  <dataFields count="1">
    <dataField name="Say Durum"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FEF132-5FE4-4492-A3E0-5FF66DD6D9DC}" name="PivotTable7"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AQ30:AV48" firstHeaderRow="1" firstDataRow="2" firstDataCol="1"/>
  <pivotFields count="10">
    <pivotField axis="axisCol" showAll="0">
      <items count="9">
        <item x="1"/>
        <item m="1" x="6"/>
        <item x="0"/>
        <item x="2"/>
        <item m="1" x="5"/>
        <item x="3"/>
        <item x="4"/>
        <item m="1" x="7"/>
        <item t="default"/>
      </items>
    </pivotField>
    <pivotField showAll="0"/>
    <pivotField multipleItemSelectionAllowed="1" showAll="0"/>
    <pivotField showAll="0"/>
    <pivotField axis="axisRow" showAll="0">
      <items count="31">
        <item x="0"/>
        <item x="1"/>
        <item x="3"/>
        <item x="4"/>
        <item x="5"/>
        <item x="7"/>
        <item x="6"/>
        <item x="16"/>
        <item x="9"/>
        <item x="12"/>
        <item h="1" x="10"/>
        <item h="1" x="11"/>
        <item x="13"/>
        <item x="14"/>
        <item x="15"/>
        <item x="8"/>
        <item x="2"/>
        <item h="1" x="17"/>
        <item h="1" m="1" x="29"/>
        <item h="1" m="1" x="27"/>
        <item h="1" x="18"/>
        <item h="1" m="1" x="28"/>
        <item h="1" x="24"/>
        <item h="1" x="26"/>
        <item h="1" x="20"/>
        <item h="1" x="19"/>
        <item h="1" x="21"/>
        <item h="1" x="22"/>
        <item x="23"/>
        <item h="1" x="25"/>
        <item t="default"/>
      </items>
    </pivotField>
    <pivotField showAll="0"/>
    <pivotField showAll="0"/>
    <pivotField showAll="0"/>
    <pivotField dataField="1" showAll="0"/>
    <pivotField showAll="0"/>
  </pivotFields>
  <rowFields count="1">
    <field x="4"/>
  </rowFields>
  <rowItems count="17">
    <i>
      <x/>
    </i>
    <i>
      <x v="1"/>
    </i>
    <i>
      <x v="2"/>
    </i>
    <i>
      <x v="3"/>
    </i>
    <i>
      <x v="4"/>
    </i>
    <i>
      <x v="5"/>
    </i>
    <i>
      <x v="6"/>
    </i>
    <i>
      <x v="7"/>
    </i>
    <i>
      <x v="8"/>
    </i>
    <i>
      <x v="9"/>
    </i>
    <i>
      <x v="12"/>
    </i>
    <i>
      <x v="13"/>
    </i>
    <i>
      <x v="14"/>
    </i>
    <i>
      <x v="15"/>
    </i>
    <i>
      <x v="16"/>
    </i>
    <i>
      <x v="28"/>
    </i>
    <i t="grand">
      <x/>
    </i>
  </rowItems>
  <colFields count="1">
    <field x="0"/>
  </colFields>
  <colItems count="5">
    <i>
      <x/>
    </i>
    <i>
      <x v="2"/>
    </i>
    <i>
      <x v="3"/>
    </i>
    <i>
      <x v="5"/>
    </i>
    <i t="grand">
      <x/>
    </i>
  </colItems>
  <dataFields count="1">
    <dataField name="Say Durum" fld="8" subtotal="count" baseField="0"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A083B4-0009-4E81-89CB-9366279B19E1}" name="PivotTable3" cacheId="1"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location ref="P29:W48" firstHeaderRow="1" firstDataRow="2" firstDataCol="1" rowPageCount="1" colPageCount="1"/>
  <pivotFields count="10">
    <pivotField showAll="0"/>
    <pivotField showAll="0"/>
    <pivotField axis="axisCol" showAll="0">
      <items count="10">
        <item x="1"/>
        <item x="3"/>
        <item x="5"/>
        <item x="0"/>
        <item x="6"/>
        <item m="1" x="7"/>
        <item h="1" x="2"/>
        <item x="4"/>
        <item h="1" m="1" x="8"/>
        <item t="default"/>
      </items>
    </pivotField>
    <pivotField showAll="0"/>
    <pivotField axis="axisRow" showAll="0">
      <items count="30">
        <item x="0"/>
        <item x="1"/>
        <item x="3"/>
        <item x="4"/>
        <item x="5"/>
        <item x="7"/>
        <item x="6"/>
        <item x="16"/>
        <item x="9"/>
        <item x="12"/>
        <item h="1" x="10"/>
        <item h="1" x="11"/>
        <item x="13"/>
        <item x="14"/>
        <item x="15"/>
        <item x="8"/>
        <item x="2"/>
        <item x="17"/>
        <item h="1" m="1" x="28"/>
        <item h="1" m="1" x="25"/>
        <item h="1" x="18"/>
        <item h="1" m="1" x="26"/>
        <item h="1" m="1" x="27"/>
        <item h="1" x="20"/>
        <item h="1" x="19"/>
        <item h="1" x="21"/>
        <item h="1" x="22"/>
        <item x="23"/>
        <item h="1" m="1" x="24"/>
        <item t="default"/>
      </items>
    </pivotField>
    <pivotField showAll="0"/>
    <pivotField axis="axisPage" showAll="0">
      <items count="3">
        <item x="0"/>
        <item x="1"/>
        <item t="default"/>
      </items>
    </pivotField>
    <pivotField showAll="0"/>
    <pivotField dataField="1" showAll="0"/>
    <pivotField showAll="0"/>
  </pivotFields>
  <rowFields count="1">
    <field x="4"/>
  </rowFields>
  <rowItems count="18">
    <i>
      <x/>
    </i>
    <i>
      <x v="1"/>
    </i>
    <i>
      <x v="2"/>
    </i>
    <i>
      <x v="3"/>
    </i>
    <i>
      <x v="4"/>
    </i>
    <i>
      <x v="5"/>
    </i>
    <i>
      <x v="6"/>
    </i>
    <i>
      <x v="7"/>
    </i>
    <i>
      <x v="8"/>
    </i>
    <i>
      <x v="9"/>
    </i>
    <i>
      <x v="12"/>
    </i>
    <i>
      <x v="13"/>
    </i>
    <i>
      <x v="14"/>
    </i>
    <i>
      <x v="15"/>
    </i>
    <i>
      <x v="16"/>
    </i>
    <i>
      <x v="17"/>
    </i>
    <i>
      <x v="27"/>
    </i>
    <i t="grand">
      <x/>
    </i>
  </rowItems>
  <colFields count="1">
    <field x="2"/>
  </colFields>
  <colItems count="7">
    <i>
      <x/>
    </i>
    <i>
      <x v="1"/>
    </i>
    <i>
      <x v="2"/>
    </i>
    <i>
      <x v="3"/>
    </i>
    <i>
      <x v="4"/>
    </i>
    <i>
      <x v="7"/>
    </i>
    <i t="grand">
      <x/>
    </i>
  </colItems>
  <pageFields count="1">
    <pageField fld="6" hier="-1"/>
  </pageFields>
  <dataFields count="1">
    <dataField name="Say Durum" fld="8" subtotal="count" baseField="0" baseItem="0"/>
  </dataFields>
  <formats count="3">
    <format dxfId="36">
      <pivotArea outline="0" collapsedLevelsAreSubtotals="1" fieldPosition="0">
        <references count="1">
          <reference field="2" count="6" selected="0">
            <x v="0"/>
            <x v="1"/>
            <x v="2"/>
            <x v="3"/>
            <x v="4"/>
            <x v="7"/>
          </reference>
        </references>
      </pivotArea>
    </format>
    <format dxfId="35">
      <pivotArea dataOnly="0" labelOnly="1" fieldPosition="0">
        <references count="1">
          <reference field="2" count="6">
            <x v="0"/>
            <x v="1"/>
            <x v="2"/>
            <x v="3"/>
            <x v="4"/>
            <x v="7"/>
          </reference>
        </references>
      </pivotArea>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25" dT="2025-07-25T14:01:35.69" personId="{DFDD04CB-BF8F-4F24-AEBA-CDD017DE1E0E}" id="{EA88F590-FBB9-4D50-B13E-8258E097B1EC}">
    <text>Uğur Dündar kontrolü bekliyor.</text>
  </threadedComment>
  <threadedComment ref="D175" dT="2025-07-25T14:00:49.88" personId="{DFDD04CB-BF8F-4F24-AEBA-CDD017DE1E0E}" id="{E43BD3DB-4076-4A9B-9384-3223334B3D0A}">
    <text>Madde müşterinin taleplerini takip etmek için açık bırakılıyor. Kapatılmayacak</text>
  </threadedComment>
  <threadedComment ref="D187" dT="2025-07-25T14:01:07.15" personId="{DFDD04CB-BF8F-4F24-AEBA-CDD017DE1E0E}" id="{35C7E3F2-4193-442E-AFCC-19D5921BC04D}">
    <text>Ara verildi. Acil Değil.</text>
  </threadedComment>
</ThreadedComments>
</file>

<file path=xl/worksheets/_rels/sheet2.xml.rels><?xml version="1.0" encoding="UTF-8" standalone="yes"?>
<Relationships xmlns="http://schemas.openxmlformats.org/package/2006/relationships"><Relationship Id="rId13" Type="http://schemas.openxmlformats.org/officeDocument/2006/relationships/hyperlink" Target="http://192.168.124.186:8080/browse/UKDS-194" TargetMode="External"/><Relationship Id="rId18" Type="http://schemas.openxmlformats.org/officeDocument/2006/relationships/hyperlink" Target="http://192.168.124.186:8080/browse/UKDS-192" TargetMode="External"/><Relationship Id="rId26" Type="http://schemas.openxmlformats.org/officeDocument/2006/relationships/hyperlink" Target="http://192.168.124.186:8080/browse/WIK-751" TargetMode="External"/><Relationship Id="rId39" Type="http://schemas.openxmlformats.org/officeDocument/2006/relationships/hyperlink" Target="http://192.168.124.186:8080/browse/WIK-795" TargetMode="External"/><Relationship Id="rId21" Type="http://schemas.openxmlformats.org/officeDocument/2006/relationships/hyperlink" Target="http://192.168.124.186:8080/browse/WIK-743" TargetMode="External"/><Relationship Id="rId34" Type="http://schemas.openxmlformats.org/officeDocument/2006/relationships/hyperlink" Target="http://192.168.124.186:8080/browse/WIK-765" TargetMode="External"/><Relationship Id="rId42" Type="http://schemas.openxmlformats.org/officeDocument/2006/relationships/hyperlink" Target="http://192.168.124.186:8080/browse/UKDS-214" TargetMode="External"/><Relationship Id="rId47" Type="http://schemas.openxmlformats.org/officeDocument/2006/relationships/hyperlink" Target="http://192.168.124.186:8080/browse/UKDS-223" TargetMode="External"/><Relationship Id="rId50" Type="http://schemas.openxmlformats.org/officeDocument/2006/relationships/hyperlink" Target="http://192.168.124.186:8080/browse/UKDS-220" TargetMode="External"/><Relationship Id="rId55" Type="http://schemas.openxmlformats.org/officeDocument/2006/relationships/hyperlink" Target="http://192.168.124.186:8080/browse/KEP-317" TargetMode="External"/><Relationship Id="rId7" Type="http://schemas.openxmlformats.org/officeDocument/2006/relationships/hyperlink" Target="http://192.168.124.186:8080/browse/MUL-204" TargetMode="External"/><Relationship Id="rId2" Type="http://schemas.openxmlformats.org/officeDocument/2006/relationships/pivotTable" Target="../pivotTables/pivotTable2.xml"/><Relationship Id="rId16" Type="http://schemas.openxmlformats.org/officeDocument/2006/relationships/hyperlink" Target="http://192.168.124.186:8080/browse/UKDS-196" TargetMode="External"/><Relationship Id="rId29" Type="http://schemas.openxmlformats.org/officeDocument/2006/relationships/hyperlink" Target="http://192.168.124.186:8080/browse/UKDS-179" TargetMode="External"/><Relationship Id="rId11" Type="http://schemas.openxmlformats.org/officeDocument/2006/relationships/hyperlink" Target="http://192.168.124.186:8080/browse/UKDS-189" TargetMode="External"/><Relationship Id="rId24" Type="http://schemas.openxmlformats.org/officeDocument/2006/relationships/hyperlink" Target="http://192.168.124.186:8080/browse/WIK-747" TargetMode="External"/><Relationship Id="rId32" Type="http://schemas.openxmlformats.org/officeDocument/2006/relationships/hyperlink" Target="http://192.168.124.186:8080/browse/WIK-761" TargetMode="External"/><Relationship Id="rId37" Type="http://schemas.openxmlformats.org/officeDocument/2006/relationships/hyperlink" Target="http://192.168.124.186:8080/browse/UKDS-205" TargetMode="External"/><Relationship Id="rId40" Type="http://schemas.openxmlformats.org/officeDocument/2006/relationships/hyperlink" Target="http://192.168.124.186:8080/browse/WIK-796" TargetMode="External"/><Relationship Id="rId45" Type="http://schemas.openxmlformats.org/officeDocument/2006/relationships/hyperlink" Target="http://192.168.124.186:8080/browse/WIK-800" TargetMode="External"/><Relationship Id="rId53" Type="http://schemas.openxmlformats.org/officeDocument/2006/relationships/hyperlink" Target="http://192.168.124.186:8080/browse/WIK-810" TargetMode="External"/><Relationship Id="rId58" Type="http://schemas.openxmlformats.org/officeDocument/2006/relationships/hyperlink" Target="http://192.168.124.186:8080/browse/MU-223" TargetMode="External"/><Relationship Id="rId5" Type="http://schemas.openxmlformats.org/officeDocument/2006/relationships/pivotTable" Target="../pivotTables/pivotTable5.xml"/><Relationship Id="rId61" Type="http://schemas.openxmlformats.org/officeDocument/2006/relationships/comments" Target="../comments1.xml"/><Relationship Id="rId19" Type="http://schemas.openxmlformats.org/officeDocument/2006/relationships/hyperlink" Target="http://192.168.124.186:8080/browse/UKDS-201" TargetMode="External"/><Relationship Id="rId14" Type="http://schemas.openxmlformats.org/officeDocument/2006/relationships/hyperlink" Target="http://192.168.124.186:8080/browse/UKDS-195" TargetMode="External"/><Relationship Id="rId22" Type="http://schemas.openxmlformats.org/officeDocument/2006/relationships/hyperlink" Target="http://192.168.124.186:8080/browse/WIK-749" TargetMode="External"/><Relationship Id="rId27" Type="http://schemas.openxmlformats.org/officeDocument/2006/relationships/hyperlink" Target="http://192.168.124.186:8080/browse/WIK-753" TargetMode="External"/><Relationship Id="rId30" Type="http://schemas.openxmlformats.org/officeDocument/2006/relationships/hyperlink" Target="http://192.168.124.186:8080/browse/WIK-760" TargetMode="External"/><Relationship Id="rId35" Type="http://schemas.openxmlformats.org/officeDocument/2006/relationships/hyperlink" Target="http://192.168.124.186:8080/browse/WIK-767" TargetMode="External"/><Relationship Id="rId43" Type="http://schemas.openxmlformats.org/officeDocument/2006/relationships/hyperlink" Target="http://192.168.124.186:8080/browse/UKDS-215" TargetMode="External"/><Relationship Id="rId48" Type="http://schemas.openxmlformats.org/officeDocument/2006/relationships/hyperlink" Target="http://192.168.124.186:8080/browse/UKDS-219" TargetMode="External"/><Relationship Id="rId56" Type="http://schemas.openxmlformats.org/officeDocument/2006/relationships/hyperlink" Target="http://192.168.124.186:8080/browse/KEP-318" TargetMode="External"/><Relationship Id="rId8" Type="http://schemas.openxmlformats.org/officeDocument/2006/relationships/hyperlink" Target="http://192.168.124.186:8080/browse/MUL-205" TargetMode="External"/><Relationship Id="rId51" Type="http://schemas.openxmlformats.org/officeDocument/2006/relationships/hyperlink" Target="http://192.168.124.186:8080/browse/UKDS-222" TargetMode="External"/><Relationship Id="rId3" Type="http://schemas.openxmlformats.org/officeDocument/2006/relationships/pivotTable" Target="../pivotTables/pivotTable3.xml"/><Relationship Id="rId12" Type="http://schemas.openxmlformats.org/officeDocument/2006/relationships/hyperlink" Target="http://192.168.124.186:8080/browse/UKDS-191" TargetMode="External"/><Relationship Id="rId17" Type="http://schemas.openxmlformats.org/officeDocument/2006/relationships/hyperlink" Target="http://192.168.124.186:8080/browse/UKDS-193" TargetMode="External"/><Relationship Id="rId25" Type="http://schemas.openxmlformats.org/officeDocument/2006/relationships/hyperlink" Target="http://192.168.124.186:8080/browse/WIK-754" TargetMode="External"/><Relationship Id="rId33" Type="http://schemas.openxmlformats.org/officeDocument/2006/relationships/hyperlink" Target="http://192.168.124.186:8080/browse/WIK-763" TargetMode="External"/><Relationship Id="rId38" Type="http://schemas.openxmlformats.org/officeDocument/2006/relationships/hyperlink" Target="http://192.168.124.186:8080/browse/WIK-794" TargetMode="External"/><Relationship Id="rId46" Type="http://schemas.openxmlformats.org/officeDocument/2006/relationships/hyperlink" Target="http://192.168.124.186:8080/browse/WIK-791" TargetMode="External"/><Relationship Id="rId59" Type="http://schemas.openxmlformats.org/officeDocument/2006/relationships/drawing" Target="../drawings/drawing1.xml"/><Relationship Id="rId20" Type="http://schemas.openxmlformats.org/officeDocument/2006/relationships/hyperlink" Target="http://192.168.124.186:8080/browse/WIK-741" TargetMode="External"/><Relationship Id="rId41" Type="http://schemas.openxmlformats.org/officeDocument/2006/relationships/hyperlink" Target="http://192.168.124.186:8080/browse/WIK-793" TargetMode="External"/><Relationship Id="rId54" Type="http://schemas.openxmlformats.org/officeDocument/2006/relationships/hyperlink" Target="http://192.168.124.186:8080/browse/WIK-812" TargetMode="External"/><Relationship Id="rId62" Type="http://schemas.microsoft.com/office/2017/10/relationships/threadedComment" Target="../threadedComments/threadedComment1.xml"/><Relationship Id="rId1" Type="http://schemas.openxmlformats.org/officeDocument/2006/relationships/pivotTable" Target="../pivotTables/pivotTable1.xml"/><Relationship Id="rId6" Type="http://schemas.openxmlformats.org/officeDocument/2006/relationships/pivotTable" Target="../pivotTables/pivotTable6.xml"/><Relationship Id="rId15" Type="http://schemas.openxmlformats.org/officeDocument/2006/relationships/hyperlink" Target="http://192.168.124.186:8080/browse/UKDS-197" TargetMode="External"/><Relationship Id="rId23" Type="http://schemas.openxmlformats.org/officeDocument/2006/relationships/hyperlink" Target="http://192.168.124.186:8080/browse/WIK-748" TargetMode="External"/><Relationship Id="rId28" Type="http://schemas.openxmlformats.org/officeDocument/2006/relationships/hyperlink" Target="http://192.168.124.186:8080/browse/UKDS-203" TargetMode="External"/><Relationship Id="rId36" Type="http://schemas.openxmlformats.org/officeDocument/2006/relationships/hyperlink" Target="http://192.168.124.186:8080/browse/WIK-768" TargetMode="External"/><Relationship Id="rId49" Type="http://schemas.openxmlformats.org/officeDocument/2006/relationships/hyperlink" Target="http://192.168.124.186:8080/browse/UKDS-221" TargetMode="External"/><Relationship Id="rId57" Type="http://schemas.openxmlformats.org/officeDocument/2006/relationships/hyperlink" Target="http://192.168.124.186:8080/browse/UKDS-217" TargetMode="External"/><Relationship Id="rId10" Type="http://schemas.openxmlformats.org/officeDocument/2006/relationships/hyperlink" Target="http://192.168.124.186:8080/browse/UKDS-198" TargetMode="External"/><Relationship Id="rId31" Type="http://schemas.openxmlformats.org/officeDocument/2006/relationships/hyperlink" Target="http://192.168.124.186:8080/browse/WIK-759" TargetMode="External"/><Relationship Id="rId44" Type="http://schemas.openxmlformats.org/officeDocument/2006/relationships/hyperlink" Target="http://192.168.124.186:8080/browse/WIK-803" TargetMode="External"/><Relationship Id="rId52" Type="http://schemas.openxmlformats.org/officeDocument/2006/relationships/hyperlink" Target="http://192.168.124.186:8080/browse/WIK-815" TargetMode="External"/><Relationship Id="rId60" Type="http://schemas.openxmlformats.org/officeDocument/2006/relationships/vmlDrawing" Target="../drawings/vmlDrawing1.vml"/><Relationship Id="rId4" Type="http://schemas.openxmlformats.org/officeDocument/2006/relationships/pivotTable" Target="../pivotTables/pivotTable4.xml"/><Relationship Id="rId9" Type="http://schemas.openxmlformats.org/officeDocument/2006/relationships/hyperlink" Target="http://192.168.124.186:8080/browse/MUL-206"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192.168.124.186:8080/browse/UKDS-221" TargetMode="External"/><Relationship Id="rId13" Type="http://schemas.openxmlformats.org/officeDocument/2006/relationships/hyperlink" Target="http://192.168.124.186:8080/browse/WIK-810" TargetMode="External"/><Relationship Id="rId3" Type="http://schemas.openxmlformats.org/officeDocument/2006/relationships/hyperlink" Target="http://192.168.124.186:8080/browse/WIK-768" TargetMode="External"/><Relationship Id="rId7" Type="http://schemas.openxmlformats.org/officeDocument/2006/relationships/hyperlink" Target="http://192.168.124.186:8080/browse/UKDS-219" TargetMode="External"/><Relationship Id="rId12" Type="http://schemas.openxmlformats.org/officeDocument/2006/relationships/hyperlink" Target="http://192.168.124.186:8080/browse/WIK-815" TargetMode="External"/><Relationship Id="rId17" Type="http://schemas.openxmlformats.org/officeDocument/2006/relationships/drawing" Target="../drawings/drawing2.xml"/><Relationship Id="rId2" Type="http://schemas.openxmlformats.org/officeDocument/2006/relationships/hyperlink" Target="http://192.168.124.186:8080/browse/WIK-765" TargetMode="External"/><Relationship Id="rId16" Type="http://schemas.openxmlformats.org/officeDocument/2006/relationships/hyperlink" Target="http://192.168.124.186:8080/browse/KEP-318" TargetMode="External"/><Relationship Id="rId1" Type="http://schemas.openxmlformats.org/officeDocument/2006/relationships/hyperlink" Target="http://192.168.124.186:8080/browse/KEP-302" TargetMode="External"/><Relationship Id="rId6" Type="http://schemas.openxmlformats.org/officeDocument/2006/relationships/hyperlink" Target="http://192.168.124.186:8080/browse/UKDS-223" TargetMode="External"/><Relationship Id="rId11" Type="http://schemas.openxmlformats.org/officeDocument/2006/relationships/hyperlink" Target="http://192.168.124.186:8080/browse/MUL-213" TargetMode="External"/><Relationship Id="rId5" Type="http://schemas.openxmlformats.org/officeDocument/2006/relationships/hyperlink" Target="http://192.168.124.186:8080/browse/WIK-791" TargetMode="External"/><Relationship Id="rId15" Type="http://schemas.openxmlformats.org/officeDocument/2006/relationships/hyperlink" Target="http://192.168.124.186:8080/browse/KEP-317" TargetMode="External"/><Relationship Id="rId10" Type="http://schemas.openxmlformats.org/officeDocument/2006/relationships/hyperlink" Target="http://192.168.124.186:8080/browse/UKDS-222" TargetMode="External"/><Relationship Id="rId4" Type="http://schemas.openxmlformats.org/officeDocument/2006/relationships/hyperlink" Target="http://192.168.124.186:8080/browse/WIK-793" TargetMode="External"/><Relationship Id="rId9" Type="http://schemas.openxmlformats.org/officeDocument/2006/relationships/hyperlink" Target="http://192.168.124.186:8080/browse/UKDS-220" TargetMode="External"/><Relationship Id="rId14" Type="http://schemas.openxmlformats.org/officeDocument/2006/relationships/hyperlink" Target="http://192.168.124.186:8080/browse/WIK-812"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192.168.124.186:8080/browse/UKDS-219" TargetMode="External"/><Relationship Id="rId13" Type="http://schemas.openxmlformats.org/officeDocument/2006/relationships/printerSettings" Target="../printerSettings/printerSettings1.bin"/><Relationship Id="rId3" Type="http://schemas.openxmlformats.org/officeDocument/2006/relationships/hyperlink" Target="http://192.168.124.186:8080/browse/KEP-317" TargetMode="External"/><Relationship Id="rId7" Type="http://schemas.openxmlformats.org/officeDocument/2006/relationships/hyperlink" Target="http://192.168.124.186:8080/browse/UKDS-223" TargetMode="External"/><Relationship Id="rId12" Type="http://schemas.openxmlformats.org/officeDocument/2006/relationships/hyperlink" Target="http://192.168.124.186:8080/browse/MU-223" TargetMode="External"/><Relationship Id="rId2" Type="http://schemas.openxmlformats.org/officeDocument/2006/relationships/hyperlink" Target="http://192.168.124.186:8080/browse/KEP-302" TargetMode="External"/><Relationship Id="rId1" Type="http://schemas.openxmlformats.org/officeDocument/2006/relationships/hyperlink" Target="http://192.168.124.186:8080/browse/TIM-456" TargetMode="External"/><Relationship Id="rId6" Type="http://schemas.openxmlformats.org/officeDocument/2006/relationships/hyperlink" Target="http://192.168.124.186:8080/browse/WIK-791" TargetMode="External"/><Relationship Id="rId11" Type="http://schemas.openxmlformats.org/officeDocument/2006/relationships/hyperlink" Target="http://192.168.124.186:8080/browse/UKDS-222" TargetMode="External"/><Relationship Id="rId5" Type="http://schemas.openxmlformats.org/officeDocument/2006/relationships/hyperlink" Target="http://192.168.124.186:8080/browse/WIK-793" TargetMode="External"/><Relationship Id="rId10" Type="http://schemas.openxmlformats.org/officeDocument/2006/relationships/hyperlink" Target="http://192.168.124.186:8080/browse/UKDS-220" TargetMode="External"/><Relationship Id="rId4" Type="http://schemas.openxmlformats.org/officeDocument/2006/relationships/hyperlink" Target="http://192.168.124.186:8080/browse/KEP-318" TargetMode="External"/><Relationship Id="rId9" Type="http://schemas.openxmlformats.org/officeDocument/2006/relationships/hyperlink" Target="http://192.168.124.186:8080/browse/UKDS-221" TargetMode="External"/><Relationship Id="rId1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0B778-09E3-4A2E-B9D3-6E384A24FE57}">
  <dimension ref="C3:N37"/>
  <sheetViews>
    <sheetView showGridLines="0" topLeftCell="B1" zoomScale="85" zoomScaleNormal="85" workbookViewId="0">
      <selection activeCell="N7" sqref="N7"/>
    </sheetView>
  </sheetViews>
  <sheetFormatPr defaultRowHeight="15" x14ac:dyDescent="0.25"/>
  <cols>
    <col min="3" max="3" width="32.140625" bestFit="1" customWidth="1"/>
    <col min="4" max="4" width="23" customWidth="1"/>
    <col min="5" max="5" width="12" customWidth="1"/>
    <col min="6" max="6" width="20.28515625" customWidth="1"/>
    <col min="7" max="7" width="20" customWidth="1"/>
    <col min="8" max="9" width="2.5703125" customWidth="1"/>
    <col min="10" max="10" width="30.7109375" customWidth="1"/>
    <col min="11" max="11" width="28.42578125" customWidth="1"/>
    <col min="12" max="12" width="18.5703125" customWidth="1"/>
    <col min="13" max="13" width="19.28515625" customWidth="1"/>
    <col min="14" max="14" width="11.140625" customWidth="1"/>
    <col min="15" max="15" width="10.7109375" customWidth="1"/>
  </cols>
  <sheetData>
    <row r="3" spans="3:14" x14ac:dyDescent="0.25">
      <c r="D3" s="47" t="s">
        <v>1835</v>
      </c>
      <c r="E3" s="48"/>
      <c r="F3" s="48"/>
      <c r="G3" s="49"/>
      <c r="J3" s="47" t="s">
        <v>1836</v>
      </c>
      <c r="K3" s="48"/>
      <c r="L3" s="48"/>
      <c r="M3" s="49"/>
    </row>
    <row r="4" spans="3:14" ht="45" x14ac:dyDescent="0.25">
      <c r="C4" s="12" t="s">
        <v>1837</v>
      </c>
      <c r="D4" s="13" t="s">
        <v>1985</v>
      </c>
      <c r="E4" s="13" t="s">
        <v>1986</v>
      </c>
      <c r="F4" s="13" t="s">
        <v>1838</v>
      </c>
      <c r="G4" s="13" t="s">
        <v>1839</v>
      </c>
      <c r="J4" s="13" t="s">
        <v>1984</v>
      </c>
      <c r="K4" s="13" t="s">
        <v>1841</v>
      </c>
      <c r="L4" s="13" t="s">
        <v>1838</v>
      </c>
      <c r="M4" s="13" t="s">
        <v>1840</v>
      </c>
    </row>
    <row r="5" spans="3:14" x14ac:dyDescent="0.25">
      <c r="C5" s="14" t="s">
        <v>12</v>
      </c>
      <c r="D5" s="15">
        <f>VLOOKUP(C5,'Ürün İş Listesi'!$P$30:$Z$50,8,0)</f>
        <v>152</v>
      </c>
      <c r="E5" s="15">
        <f>VLOOKUP(C5,'Ürün İş Listesi'!$AQ$32:$AR$48,2,0)</f>
        <v>10</v>
      </c>
      <c r="F5" s="15">
        <f>G5*D5</f>
        <v>128</v>
      </c>
      <c r="G5" s="16">
        <f>VLOOKUP(C5,'Ürün İş Listesi'!$P$30:$Z$50,11,0)</f>
        <v>0.84210526315789469</v>
      </c>
      <c r="J5" s="15">
        <f>IFERROR(VLOOKUP(C5,'Ürün İş Listesi'!$AQ$5:$AT$23,4,0),"")</f>
        <v>25</v>
      </c>
      <c r="K5" s="15">
        <f>IFERROR(VLOOKUP(C5,'Ürün İş Listesi'!$AQ$5:$AR$23,2,0),"")</f>
        <v>0</v>
      </c>
      <c r="L5" s="15">
        <f>IFERROR(M5*J5,"-")</f>
        <v>22</v>
      </c>
      <c r="M5" s="16">
        <f>IFERROR(VLOOKUP(C5,'Ürün İş Listesi'!$P$5:$Z$23,11,0),"")</f>
        <v>0.88</v>
      </c>
    </row>
    <row r="6" spans="3:14" x14ac:dyDescent="0.25">
      <c r="C6" s="14" t="s">
        <v>35</v>
      </c>
      <c r="D6" s="15">
        <f>VLOOKUP(C6,'Ürün İş Listesi'!$P$30:$Z$50,8,0)</f>
        <v>29</v>
      </c>
      <c r="E6" s="15">
        <f>VLOOKUP(C6,'Ürün İş Listesi'!$AQ$32:$AR$48,2,0)</f>
        <v>11</v>
      </c>
      <c r="F6" s="15">
        <f t="shared" ref="F6:F20" si="0">G6*D6</f>
        <v>26</v>
      </c>
      <c r="G6" s="16">
        <f>VLOOKUP(C6,'Ürün İş Listesi'!$P$30:$Z$50,11,0)</f>
        <v>0.89655172413793105</v>
      </c>
      <c r="J6" s="15" t="str">
        <f>IFERROR(VLOOKUP(C6,'Ürün İş Listesi'!$AQ$5:$AT$23,4,0),"")</f>
        <v/>
      </c>
      <c r="K6" s="15" t="str">
        <f>IFERROR(VLOOKUP(C6,'Ürün İş Listesi'!$AQ$5:$AR$23,2,0),"")</f>
        <v/>
      </c>
      <c r="L6" s="15" t="str">
        <f t="shared" ref="L6:L20" si="1">IFERROR(M6*J6,"-")</f>
        <v>-</v>
      </c>
      <c r="M6" s="16" t="str">
        <f>IFERROR(VLOOKUP(C6,'Ürün İş Listesi'!$P$5:$Z$23,11,0),"")</f>
        <v/>
      </c>
    </row>
    <row r="7" spans="3:14" x14ac:dyDescent="0.25">
      <c r="C7" s="14" t="s">
        <v>38</v>
      </c>
      <c r="D7" s="15">
        <f>VLOOKUP(C7,'Ürün İş Listesi'!$P$30:$Z$50,8,0)</f>
        <v>26</v>
      </c>
      <c r="E7" s="15">
        <f>VLOOKUP(C7,'Ürün İş Listesi'!$AQ$32:$AR$48,2,0)</f>
        <v>12</v>
      </c>
      <c r="F7" s="15">
        <f t="shared" si="0"/>
        <v>26</v>
      </c>
      <c r="G7" s="16">
        <f>VLOOKUP(C7,'Ürün İş Listesi'!$P$30:$Z$50,11,0)</f>
        <v>1</v>
      </c>
      <c r="J7" s="15">
        <f>IFERROR(VLOOKUP(C7,'Ürün İş Listesi'!$AQ$5:$AT$23,4,0),"")</f>
        <v>3</v>
      </c>
      <c r="K7" s="15">
        <f>IFERROR(VLOOKUP(C7,'Ürün İş Listesi'!$AQ$5:$AR$23,2,0),"")</f>
        <v>0</v>
      </c>
      <c r="L7" s="15">
        <f t="shared" si="1"/>
        <v>1</v>
      </c>
      <c r="M7" s="16">
        <f>IFERROR(VLOOKUP(C7,'Ürün İş Listesi'!$P$5:$Z$23,11,0),"")</f>
        <v>0.33333333333333331</v>
      </c>
      <c r="N7" t="s">
        <v>3828</v>
      </c>
    </row>
    <row r="8" spans="3:14" x14ac:dyDescent="0.25">
      <c r="C8" s="14" t="s">
        <v>41</v>
      </c>
      <c r="D8" s="15">
        <f>VLOOKUP(C8,'Ürün İş Listesi'!$P$30:$Z$50,8,0)</f>
        <v>127</v>
      </c>
      <c r="E8" s="15">
        <f>VLOOKUP(C8,'Ürün İş Listesi'!$AQ$32:$AR$48,2,0)</f>
        <v>38</v>
      </c>
      <c r="F8" s="15">
        <f t="shared" si="0"/>
        <v>108</v>
      </c>
      <c r="G8" s="16">
        <f>VLOOKUP(C8,'Ürün İş Listesi'!$P$30:$Z$50,11,0)</f>
        <v>0.85039370078740162</v>
      </c>
      <c r="J8" s="15">
        <f>IFERROR(VLOOKUP(C8,'Ürün İş Listesi'!$AQ$5:$AT$23,4,0),"")</f>
        <v>8</v>
      </c>
      <c r="K8" s="15">
        <f>IFERROR(VLOOKUP(C8,'Ürün İş Listesi'!$AQ$5:$AR$23,2,0),"")</f>
        <v>5</v>
      </c>
      <c r="L8" s="15">
        <f t="shared" si="1"/>
        <v>7</v>
      </c>
      <c r="M8" s="16">
        <f>IFERROR(VLOOKUP(C8,'Ürün İş Listesi'!$P$5:$Z$23,11,0),"")</f>
        <v>0.875</v>
      </c>
    </row>
    <row r="9" spans="3:14" x14ac:dyDescent="0.25">
      <c r="C9" s="14" t="s">
        <v>44</v>
      </c>
      <c r="D9" s="15">
        <f>VLOOKUP(C9,'Ürün İş Listesi'!$P$30:$Z$50,8,0)</f>
        <v>74</v>
      </c>
      <c r="E9" s="15">
        <f>VLOOKUP(C9,'Ürün İş Listesi'!$AQ$32:$AR$48,2,0)</f>
        <v>37</v>
      </c>
      <c r="F9" s="15">
        <f t="shared" si="0"/>
        <v>65</v>
      </c>
      <c r="G9" s="16">
        <f>VLOOKUP(C9,'Ürün İş Listesi'!$P$30:$Z$50,11,0)</f>
        <v>0.8783783783783784</v>
      </c>
      <c r="J9" s="15">
        <f>IFERROR(VLOOKUP(C9,'Ürün İş Listesi'!$AQ$5:$AT$23,4,0),"")</f>
        <v>8</v>
      </c>
      <c r="K9" s="15">
        <f>IFERROR(VLOOKUP(C9,'Ürün İş Listesi'!$AQ$5:$AR$23,2,0),"")</f>
        <v>1</v>
      </c>
      <c r="L9" s="15">
        <f t="shared" si="1"/>
        <v>6</v>
      </c>
      <c r="M9" s="16">
        <f>IFERROR(VLOOKUP(C9,'Ürün İş Listesi'!$P$5:$Z$23,11,0),"")</f>
        <v>0.75</v>
      </c>
    </row>
    <row r="10" spans="3:14" x14ac:dyDescent="0.25">
      <c r="C10" s="14" t="s">
        <v>47</v>
      </c>
      <c r="D10" s="15">
        <f>VLOOKUP(C10,'Ürün İş Listesi'!$P$30:$Z$50,8,0)</f>
        <v>48</v>
      </c>
      <c r="E10" s="15">
        <f>VLOOKUP(C10,'Ürün İş Listesi'!$AQ$32:$AR$48,2,0)</f>
        <v>7</v>
      </c>
      <c r="F10" s="15">
        <f t="shared" si="0"/>
        <v>42</v>
      </c>
      <c r="G10" s="16">
        <f>VLOOKUP(C10,'Ürün İş Listesi'!$P$30:$Z$50,11,0)</f>
        <v>0.875</v>
      </c>
      <c r="J10" s="15">
        <f>IFERROR(VLOOKUP(C10,'Ürün İş Listesi'!$AQ$5:$AT$23,4,0),"")</f>
        <v>4</v>
      </c>
      <c r="K10" s="15">
        <f>IFERROR(VLOOKUP(C10,'Ürün İş Listesi'!$AQ$5:$AR$23,2,0),"")</f>
        <v>1</v>
      </c>
      <c r="L10" s="15">
        <f t="shared" si="1"/>
        <v>2</v>
      </c>
      <c r="M10" s="16">
        <f>IFERROR(VLOOKUP(C10,'Ürün İş Listesi'!$P$5:$Z$23,11,0),"")</f>
        <v>0.5</v>
      </c>
      <c r="N10" t="s">
        <v>2560</v>
      </c>
    </row>
    <row r="11" spans="3:14" x14ac:dyDescent="0.25">
      <c r="C11" s="14" t="s">
        <v>50</v>
      </c>
      <c r="D11" s="15">
        <f>VLOOKUP(C11,'Ürün İş Listesi'!$P$30:$Z$50,8,0)</f>
        <v>49</v>
      </c>
      <c r="E11" s="15">
        <f>VLOOKUP(C11,'Ürün İş Listesi'!$AQ$32:$AR$48,2,0)</f>
        <v>18</v>
      </c>
      <c r="F11" s="15">
        <f t="shared" si="0"/>
        <v>48</v>
      </c>
      <c r="G11" s="16">
        <f>VLOOKUP(C11,'Ürün İş Listesi'!$P$30:$Z$50,11,0)</f>
        <v>0.97959183673469385</v>
      </c>
      <c r="J11" s="15">
        <f>IFERROR(VLOOKUP(C11,'Ürün İş Listesi'!$AQ$5:$AT$23,4,0),"")</f>
        <v>7</v>
      </c>
      <c r="K11" s="15">
        <f>IFERROR(VLOOKUP(C11,'Ürün İş Listesi'!$AQ$5:$AR$23,2,0),"")</f>
        <v>2</v>
      </c>
      <c r="L11" s="15">
        <f t="shared" si="1"/>
        <v>5</v>
      </c>
      <c r="M11" s="16">
        <f>IFERROR(VLOOKUP(C11,'Ürün İş Listesi'!$P$5:$Z$23,11,0),"")</f>
        <v>0.7142857142857143</v>
      </c>
    </row>
    <row r="12" spans="3:14" x14ac:dyDescent="0.25">
      <c r="C12" s="14" t="s">
        <v>53</v>
      </c>
      <c r="D12" s="15">
        <f>VLOOKUP(C12,'Ürün İş Listesi'!$P$30:$Z$50,8,0)</f>
        <v>90</v>
      </c>
      <c r="E12" s="15">
        <f>VLOOKUP(C12,'Ürün İş Listesi'!$AQ$32:$AR$48,2,0)</f>
        <v>27</v>
      </c>
      <c r="F12" s="15">
        <f t="shared" si="0"/>
        <v>82</v>
      </c>
      <c r="G12" s="16">
        <f>VLOOKUP(C12,'Ürün İş Listesi'!$P$30:$Z$50,11,0)</f>
        <v>0.91111111111111109</v>
      </c>
      <c r="J12" s="15">
        <f>IFERROR(VLOOKUP(C12,'Ürün İş Listesi'!$AQ$5:$AT$23,4,0),"")</f>
        <v>8</v>
      </c>
      <c r="K12" s="15">
        <f>IFERROR(VLOOKUP(C12,'Ürün İş Listesi'!$AQ$5:$AR$23,2,0),"")</f>
        <v>1</v>
      </c>
      <c r="L12" s="15">
        <f t="shared" si="1"/>
        <v>6</v>
      </c>
      <c r="M12" s="16">
        <f>IFERROR(VLOOKUP(C12,'Ürün İş Listesi'!$P$5:$Z$23,11,0),"")</f>
        <v>0.75</v>
      </c>
    </row>
    <row r="13" spans="3:14" x14ac:dyDescent="0.25">
      <c r="C13" s="14" t="s">
        <v>130</v>
      </c>
      <c r="D13" s="15">
        <f>VLOOKUP(C13,'Ürün İş Listesi'!$P$30:$Z$50,8,0)</f>
        <v>6</v>
      </c>
      <c r="E13" s="15">
        <f>VLOOKUP(C13,'Ürün İş Listesi'!$AQ$32:$AR$48,2,0)</f>
        <v>1</v>
      </c>
      <c r="F13" s="15">
        <f t="shared" si="0"/>
        <v>5</v>
      </c>
      <c r="G13" s="16">
        <f>VLOOKUP(C13,'Ürün İş Listesi'!$P$30:$Z$50,11,0)</f>
        <v>0.83333333333333337</v>
      </c>
      <c r="J13" s="15" t="str">
        <f>IFERROR(VLOOKUP(C13,'Ürün İş Listesi'!$AQ$5:$AT$23,4,0),"")</f>
        <v/>
      </c>
      <c r="K13" s="15" t="str">
        <f>IFERROR(VLOOKUP(C13,'Ürün İş Listesi'!$AQ$5:$AR$23,2,0),"")</f>
        <v/>
      </c>
      <c r="L13" s="15" t="str">
        <f t="shared" si="1"/>
        <v>-</v>
      </c>
      <c r="M13" s="16" t="str">
        <f>IFERROR(VLOOKUP(C13,'Ürün İş Listesi'!$P$5:$Z$23,11,0),"")</f>
        <v/>
      </c>
    </row>
    <row r="14" spans="3:14" x14ac:dyDescent="0.25">
      <c r="C14" s="14" t="s">
        <v>56</v>
      </c>
      <c r="D14" s="15">
        <f>VLOOKUP(C14,'Ürün İş Listesi'!$P$30:$Z$50,8,0)</f>
        <v>110</v>
      </c>
      <c r="E14" s="15">
        <f>VLOOKUP(C14,'Ürün İş Listesi'!$AQ$32:$AR$48,2,0)</f>
        <v>63</v>
      </c>
      <c r="F14" s="15">
        <f t="shared" si="0"/>
        <v>96</v>
      </c>
      <c r="G14" s="16">
        <f>VLOOKUP(C14,'Ürün İş Listesi'!$P$30:$Z$50,11,0)</f>
        <v>0.87272727272727268</v>
      </c>
      <c r="J14" s="15">
        <f>IFERROR(VLOOKUP(C14,'Ürün İş Listesi'!$AQ$5:$AT$23,4,0),"")</f>
        <v>7</v>
      </c>
      <c r="K14" s="15">
        <f>IFERROR(VLOOKUP(C14,'Ürün İş Listesi'!$AQ$5:$AR$23,2,0),"")</f>
        <v>4</v>
      </c>
      <c r="L14" s="15">
        <f t="shared" si="1"/>
        <v>6</v>
      </c>
      <c r="M14" s="16">
        <f>IFERROR(VLOOKUP(C14,'Ürün İş Listesi'!$P$5:$Z$23,11,0),"")</f>
        <v>0.8571428571428571</v>
      </c>
    </row>
    <row r="15" spans="3:14" x14ac:dyDescent="0.25">
      <c r="C15" s="14" t="s">
        <v>59</v>
      </c>
      <c r="D15" s="15">
        <f>VLOOKUP(C15,'Ürün İş Listesi'!$P$30:$Z$50,8,0)</f>
        <v>41</v>
      </c>
      <c r="E15" s="15">
        <f>VLOOKUP(C15,'Ürün İş Listesi'!$AQ$32:$AR$48,2,0)</f>
        <v>17</v>
      </c>
      <c r="F15" s="15">
        <f t="shared" si="0"/>
        <v>41</v>
      </c>
      <c r="G15" s="16">
        <f>VLOOKUP(C15,'Ürün İş Listesi'!$P$30:$Z$50,11,0)</f>
        <v>1</v>
      </c>
      <c r="J15" s="15" t="str">
        <f>IFERROR(VLOOKUP(C15,'Ürün İş Listesi'!$AQ$5:$AT$23,4,0),"")</f>
        <v/>
      </c>
      <c r="K15" s="15" t="str">
        <f>IFERROR(VLOOKUP(C15,'Ürün İş Listesi'!$AQ$5:$AR$23,2,0),"")</f>
        <v/>
      </c>
      <c r="L15" s="15" t="str">
        <f t="shared" si="1"/>
        <v>-</v>
      </c>
      <c r="M15" s="16" t="str">
        <f>IFERROR(VLOOKUP(C15,'Ürün İş Listesi'!$P$5:$Z$23,11,0),"")</f>
        <v/>
      </c>
    </row>
    <row r="16" spans="3:14" x14ac:dyDescent="0.25">
      <c r="C16" s="14" t="s">
        <v>62</v>
      </c>
      <c r="D16" s="15">
        <f>VLOOKUP(C16,'Ürün İş Listesi'!$P$30:$Z$50,8,0)</f>
        <v>27</v>
      </c>
      <c r="E16" s="15">
        <f>VLOOKUP(C16,'Ürün İş Listesi'!$AQ$32:$AR$48,2,0)</f>
        <v>10</v>
      </c>
      <c r="F16" s="15">
        <f t="shared" si="0"/>
        <v>25</v>
      </c>
      <c r="G16" s="16">
        <f>VLOOKUP(C16,'Ürün İş Listesi'!$P$30:$Z$50,11,0)</f>
        <v>0.92592592592592593</v>
      </c>
      <c r="J16" s="15" t="str">
        <f>IFERROR(VLOOKUP(C16,'Ürün İş Listesi'!$AQ$5:$AT$23,4,0),"")</f>
        <v/>
      </c>
      <c r="K16" s="15" t="str">
        <f>IFERROR(VLOOKUP(C16,'Ürün İş Listesi'!$AQ$5:$AR$23,2,0),"")</f>
        <v/>
      </c>
      <c r="L16" s="15" t="str">
        <f t="shared" si="1"/>
        <v>-</v>
      </c>
      <c r="M16" s="16" t="str">
        <f>IFERROR(VLOOKUP(C16,'Ürün İş Listesi'!$P$5:$Z$23,11,0),"")</f>
        <v/>
      </c>
    </row>
    <row r="17" spans="3:13" x14ac:dyDescent="0.25">
      <c r="C17" s="14" t="s">
        <v>124</v>
      </c>
      <c r="D17" s="15">
        <f>VLOOKUP(C17,'Ürün İş Listesi'!$P$30:$Z$50,8,0)</f>
        <v>10</v>
      </c>
      <c r="E17" s="15">
        <f>VLOOKUP(C17,'Ürün İş Listesi'!$AQ$32:$AR$48,2,0)</f>
        <v>0</v>
      </c>
      <c r="F17" s="15">
        <f t="shared" si="0"/>
        <v>9</v>
      </c>
      <c r="G17" s="16">
        <f>VLOOKUP(C17,'Ürün İş Listesi'!$P$30:$Z$50,11,0)</f>
        <v>0.9</v>
      </c>
      <c r="J17" s="15" t="str">
        <f>IFERROR(VLOOKUP(C17,'Ürün İş Listesi'!$AQ$5:$AT$23,4,0),"")</f>
        <v/>
      </c>
      <c r="K17" s="15" t="str">
        <f>IFERROR(VLOOKUP(C17,'Ürün İş Listesi'!$AQ$5:$AR$23,2,0),"")</f>
        <v/>
      </c>
      <c r="L17" s="15" t="str">
        <f t="shared" si="1"/>
        <v>-</v>
      </c>
      <c r="M17" s="16" t="str">
        <f>IFERROR(VLOOKUP(C17,'Ürün İş Listesi'!$P$5:$Z$23,11,0),"")</f>
        <v/>
      </c>
    </row>
    <row r="18" spans="3:13" x14ac:dyDescent="0.25">
      <c r="C18" s="14" t="s">
        <v>127</v>
      </c>
      <c r="D18" s="15">
        <f>VLOOKUP(C18,'Ürün İş Listesi'!$P$30:$Z$50,8,0)</f>
        <v>52</v>
      </c>
      <c r="E18" s="15">
        <f>VLOOKUP(C18,'Ürün İş Listesi'!$AQ$32:$AR$48,2,0)</f>
        <v>6</v>
      </c>
      <c r="F18" s="15">
        <f t="shared" si="0"/>
        <v>49</v>
      </c>
      <c r="G18" s="16">
        <f>VLOOKUP(C18,'Ürün İş Listesi'!$P$30:$Z$50,11,0)</f>
        <v>0.94230769230769229</v>
      </c>
      <c r="J18" s="15" t="str">
        <f>IFERROR(VLOOKUP(C18,'Ürün İş Listesi'!$AQ$5:$AT$23,4,0),"")</f>
        <v/>
      </c>
      <c r="K18" s="15" t="str">
        <f>IFERROR(VLOOKUP(C18,'Ürün İş Listesi'!$AQ$5:$AR$23,2,0),"")</f>
        <v/>
      </c>
      <c r="L18" s="15" t="str">
        <f t="shared" si="1"/>
        <v>-</v>
      </c>
      <c r="M18" s="16" t="str">
        <f>IFERROR(VLOOKUP(C18,'Ürün İş Listesi'!$P$5:$Z$23,11,0),"")</f>
        <v/>
      </c>
    </row>
    <row r="19" spans="3:13" x14ac:dyDescent="0.25">
      <c r="C19" s="14" t="s">
        <v>133</v>
      </c>
      <c r="D19" s="15">
        <f>VLOOKUP(C19,'Ürün İş Listesi'!$P$30:$Z$50,8,0)</f>
        <v>10</v>
      </c>
      <c r="E19" s="15">
        <f>VLOOKUP(C19,'Ürün İş Listesi'!$AQ$32:$AR$48,2,0)</f>
        <v>0</v>
      </c>
      <c r="F19" s="15">
        <f t="shared" si="0"/>
        <v>10</v>
      </c>
      <c r="G19" s="16">
        <f>VLOOKUP(C19,'Ürün İş Listesi'!$P$30:$Z$50,11,0)</f>
        <v>1</v>
      </c>
      <c r="J19" s="15" t="str">
        <f>IFERROR(VLOOKUP(C19,'Ürün İş Listesi'!$AQ$5:$AT$23,4,0),"")</f>
        <v/>
      </c>
      <c r="K19" s="15" t="str">
        <f>IFERROR(VLOOKUP(C19,'Ürün İş Listesi'!$AQ$5:$AR$23,2,0),"")</f>
        <v/>
      </c>
      <c r="L19" s="15" t="str">
        <f t="shared" si="1"/>
        <v>-</v>
      </c>
      <c r="M19" s="16" t="str">
        <f>IFERROR(VLOOKUP(C19,'Ürün İş Listesi'!$P$5:$Z$23,11,0),"")</f>
        <v/>
      </c>
    </row>
    <row r="20" spans="3:13" hidden="1" x14ac:dyDescent="0.25">
      <c r="C20" s="14" t="s">
        <v>1844</v>
      </c>
      <c r="D20" s="15">
        <f>VLOOKUP(C20,'Ürün İş Listesi'!$P$30:$Z$50,8,0)</f>
        <v>11</v>
      </c>
      <c r="E20" s="15">
        <f>VLOOKUP(C20,'Ürün İş Listesi'!$AQ$32:$AR$48,2,0)</f>
        <v>2</v>
      </c>
      <c r="F20" s="15">
        <f t="shared" si="0"/>
        <v>9</v>
      </c>
      <c r="G20" s="16">
        <f>VLOOKUP(C20,'Ürün İş Listesi'!$P$30:$Z$50,11,0)</f>
        <v>0.81818181818181823</v>
      </c>
      <c r="J20" s="15" t="str">
        <f>IFERROR(VLOOKUP(C20,'Ürün İş Listesi'!$AQ$5:$AT$23,4,0),"")</f>
        <v/>
      </c>
      <c r="K20" s="15" t="str">
        <f>IFERROR(VLOOKUP(C20,'Ürün İş Listesi'!$AQ$5:$AR$23,2,0),"")</f>
        <v/>
      </c>
      <c r="L20" s="15" t="str">
        <f t="shared" si="1"/>
        <v>-</v>
      </c>
      <c r="M20" s="16" t="str">
        <f>IFERROR(VLOOKUP(C20,'Ürün İş Listesi'!$P$5:$Z$23,11,0),"")</f>
        <v/>
      </c>
    </row>
    <row r="22" spans="3:13" x14ac:dyDescent="0.25">
      <c r="C22" s="17" t="s">
        <v>29</v>
      </c>
      <c r="D22" s="18">
        <f>SUM(D5:D20)</f>
        <v>862</v>
      </c>
      <c r="E22" s="18">
        <f>SUM(E5:E20)</f>
        <v>259</v>
      </c>
      <c r="F22" s="18">
        <f>SUM(F5:F20)</f>
        <v>769</v>
      </c>
      <c r="G22" s="16">
        <f>VLOOKUP(C22,'Ürün İş Listesi'!$P$30:$Z$50,11,0)</f>
        <v>0.89310344827586208</v>
      </c>
      <c r="H22" s="11"/>
      <c r="I22" s="11"/>
      <c r="J22" s="18">
        <f>SUM(J5:J19)</f>
        <v>70</v>
      </c>
      <c r="K22" s="18">
        <f>SUM(K5:K19)</f>
        <v>14</v>
      </c>
      <c r="L22" s="18">
        <f>SUM(L5:L19)</f>
        <v>55</v>
      </c>
      <c r="M22" s="19">
        <f>L22/J22</f>
        <v>0.7857142857142857</v>
      </c>
    </row>
    <row r="28" spans="3:13" x14ac:dyDescent="0.25">
      <c r="K28" s="7"/>
      <c r="L28" s="5"/>
    </row>
    <row r="29" spans="3:13" x14ac:dyDescent="0.25">
      <c r="K29" s="7"/>
      <c r="L29" s="5"/>
    </row>
    <row r="30" spans="3:13" x14ac:dyDescent="0.25">
      <c r="K30" s="7"/>
      <c r="L30" s="5"/>
    </row>
    <row r="31" spans="3:13" x14ac:dyDescent="0.25">
      <c r="K31" s="7"/>
      <c r="L31" s="5"/>
    </row>
    <row r="32" spans="3:13" x14ac:dyDescent="0.25">
      <c r="K32" s="7"/>
      <c r="L32" s="5"/>
    </row>
    <row r="33" spans="11:12" x14ac:dyDescent="0.25">
      <c r="K33" s="7"/>
      <c r="L33" s="5"/>
    </row>
    <row r="34" spans="11:12" x14ac:dyDescent="0.25">
      <c r="K34" s="7"/>
      <c r="L34" s="5"/>
    </row>
    <row r="35" spans="11:12" x14ac:dyDescent="0.25">
      <c r="K35" s="7"/>
      <c r="L35" s="5"/>
    </row>
    <row r="36" spans="11:12" x14ac:dyDescent="0.25">
      <c r="K36" s="7"/>
      <c r="L36" s="5"/>
    </row>
    <row r="37" spans="11:12" x14ac:dyDescent="0.25">
      <c r="K37" s="7"/>
      <c r="L37" s="5"/>
    </row>
  </sheetData>
  <mergeCells count="2">
    <mergeCell ref="D3:G3"/>
    <mergeCell ref="J3:M3"/>
  </mergeCells>
  <conditionalFormatting sqref="G5:G20">
    <cfRule type="dataBar" priority="5">
      <dataBar>
        <cfvo type="num" val="0"/>
        <cfvo type="num" val="1"/>
        <color rgb="FF63C384"/>
      </dataBar>
      <extLst>
        <ext xmlns:x14="http://schemas.microsoft.com/office/spreadsheetml/2009/9/main" uri="{B025F937-C7B1-47D3-B67F-A62EFF666E3E}">
          <x14:id>{190700C9-7042-436E-A47E-1D21394E778F}</x14:id>
        </ext>
      </extLst>
    </cfRule>
  </conditionalFormatting>
  <conditionalFormatting sqref="G22">
    <cfRule type="dataBar" priority="1">
      <dataBar>
        <cfvo type="num" val="0"/>
        <cfvo type="num" val="1"/>
        <color rgb="FF63C384"/>
      </dataBar>
      <extLst>
        <ext xmlns:x14="http://schemas.microsoft.com/office/spreadsheetml/2009/9/main" uri="{B025F937-C7B1-47D3-B67F-A62EFF666E3E}">
          <x14:id>{0FBF31EB-D794-4EFA-B636-7139F98861D3}</x14:id>
        </ext>
      </extLst>
    </cfRule>
  </conditionalFormatting>
  <conditionalFormatting sqref="M5:M20">
    <cfRule type="dataBar" priority="4">
      <dataBar>
        <cfvo type="num" val="0"/>
        <cfvo type="num" val="1"/>
        <color rgb="FF638EC6"/>
      </dataBar>
      <extLst>
        <ext xmlns:x14="http://schemas.microsoft.com/office/spreadsheetml/2009/9/main" uri="{B025F937-C7B1-47D3-B67F-A62EFF666E3E}">
          <x14:id>{B3089FEC-7DF9-4624-9D27-E3E2389E910A}</x14:id>
        </ext>
      </extLst>
    </cfRule>
  </conditionalFormatting>
  <conditionalFormatting sqref="M22">
    <cfRule type="dataBar" priority="2">
      <dataBar>
        <cfvo type="num" val="0"/>
        <cfvo type="num" val="1"/>
        <color rgb="FF638EC6"/>
      </dataBar>
      <extLst>
        <ext xmlns:x14="http://schemas.microsoft.com/office/spreadsheetml/2009/9/main" uri="{B025F937-C7B1-47D3-B67F-A62EFF666E3E}">
          <x14:id>{7B05D65E-D8BC-4654-9F17-04538AE2C6AA}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90700C9-7042-436E-A47E-1D21394E778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G5:G20</xm:sqref>
        </x14:conditionalFormatting>
        <x14:conditionalFormatting xmlns:xm="http://schemas.microsoft.com/office/excel/2006/main">
          <x14:cfRule type="dataBar" id="{0FBF31EB-D794-4EFA-B636-7139F98861D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G22</xm:sqref>
        </x14:conditionalFormatting>
        <x14:conditionalFormatting xmlns:xm="http://schemas.microsoft.com/office/excel/2006/main">
          <x14:cfRule type="dataBar" id="{B3089FEC-7DF9-4624-9D27-E3E2389E910A}">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M5:M20</xm:sqref>
        </x14:conditionalFormatting>
        <x14:conditionalFormatting xmlns:xm="http://schemas.microsoft.com/office/excel/2006/main">
          <x14:cfRule type="dataBar" id="{7B05D65E-D8BC-4654-9F17-04538AE2C6AA}">
            <x14:dataBar minLength="0" maxLength="100" border="1" negativeBarBorderColorSameAsPositive="0">
              <x14:cfvo type="num">
                <xm:f>0</xm:f>
              </x14:cfvo>
              <x14:cfvo type="num">
                <xm:f>1</xm:f>
              </x14:cfvo>
              <x14:borderColor rgb="FF638EC6"/>
              <x14:negativeFillColor rgb="FFFF0000"/>
              <x14:negativeBorderColor rgb="FFFF0000"/>
              <x14:axisColor rgb="FF000000"/>
            </x14:dataBar>
          </x14:cfRule>
          <xm:sqref>M22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990BA-613E-4568-8830-70CDFB113D33}">
  <dimension ref="A1:AV1303"/>
  <sheetViews>
    <sheetView zoomScale="70" zoomScaleNormal="70" workbookViewId="0">
      <selection activeCell="D29" sqref="D29"/>
    </sheetView>
  </sheetViews>
  <sheetFormatPr defaultRowHeight="15" x14ac:dyDescent="0.25"/>
  <cols>
    <col min="1" max="2" width="19" customWidth="1"/>
    <col min="3" max="3" width="12.28515625" bestFit="1" customWidth="1"/>
    <col min="4" max="4" width="89.42578125" customWidth="1"/>
    <col min="5" max="5" width="23" style="5" customWidth="1"/>
    <col min="6" max="6" width="3.42578125" style="5" customWidth="1"/>
    <col min="7" max="7" width="19.28515625" bestFit="1" customWidth="1"/>
    <col min="8" max="8" width="18.28515625" bestFit="1" customWidth="1"/>
    <col min="9" max="9" width="27.28515625" bestFit="1" customWidth="1"/>
    <col min="10" max="10" width="15.7109375" style="5" bestFit="1" customWidth="1"/>
    <col min="16" max="16" width="30.5703125" bestFit="1" customWidth="1"/>
    <col min="17" max="17" width="17.42578125" bestFit="1" customWidth="1"/>
    <col min="18" max="18" width="10.5703125" bestFit="1" customWidth="1"/>
    <col min="19" max="19" width="6.7109375" bestFit="1" customWidth="1"/>
    <col min="20" max="20" width="5.7109375" bestFit="1" customWidth="1"/>
    <col min="21" max="21" width="7.85546875" bestFit="1" customWidth="1"/>
    <col min="22" max="22" width="7.5703125" bestFit="1" customWidth="1"/>
    <col min="23" max="24" width="13" bestFit="1" customWidth="1"/>
    <col min="25" max="26" width="13.28515625" bestFit="1" customWidth="1"/>
    <col min="27" max="27" width="20.5703125" bestFit="1" customWidth="1"/>
    <col min="28" max="28" width="5.7109375" bestFit="1" customWidth="1"/>
    <col min="29" max="29" width="18.7109375" bestFit="1" customWidth="1"/>
    <col min="30" max="30" width="20" bestFit="1" customWidth="1"/>
    <col min="31" max="31" width="10.5703125" bestFit="1" customWidth="1"/>
    <col min="32" max="32" width="6.7109375" bestFit="1" customWidth="1"/>
    <col min="33" max="33" width="5.7109375" bestFit="1" customWidth="1"/>
    <col min="34" max="34" width="7.85546875" bestFit="1" customWidth="1"/>
    <col min="35" max="37" width="13" bestFit="1" customWidth="1"/>
    <col min="38" max="38" width="13.28515625" bestFit="1" customWidth="1"/>
    <col min="39" max="39" width="13" bestFit="1" customWidth="1"/>
    <col min="43" max="43" width="18.7109375" bestFit="1" customWidth="1"/>
    <col min="44" max="44" width="20" bestFit="1" customWidth="1"/>
    <col min="45" max="45" width="5.5703125" bestFit="1" customWidth="1"/>
    <col min="46" max="46" width="13" bestFit="1" customWidth="1"/>
    <col min="47" max="47" width="4.85546875" bestFit="1" customWidth="1"/>
    <col min="48" max="48" width="13" bestFit="1" customWidth="1"/>
    <col min="49" max="49" width="5.7109375" bestFit="1" customWidth="1"/>
    <col min="50" max="51" width="13" bestFit="1" customWidth="1"/>
  </cols>
  <sheetData>
    <row r="1" spans="1:46" x14ac:dyDescent="0.25">
      <c r="A1" s="1" t="s">
        <v>0</v>
      </c>
      <c r="B1" s="1" t="s">
        <v>1</v>
      </c>
      <c r="C1" s="1" t="s">
        <v>2</v>
      </c>
      <c r="D1" s="1" t="s">
        <v>3</v>
      </c>
      <c r="E1" s="2" t="s">
        <v>4</v>
      </c>
      <c r="F1" s="2" t="s">
        <v>1818</v>
      </c>
      <c r="G1" s="3" t="s">
        <v>5</v>
      </c>
      <c r="H1" s="3" t="s">
        <v>6</v>
      </c>
      <c r="I1" s="3" t="s">
        <v>7</v>
      </c>
      <c r="J1" s="4" t="s">
        <v>8</v>
      </c>
      <c r="AQ1" s="10" t="s">
        <v>5</v>
      </c>
      <c r="AR1" t="s">
        <v>13</v>
      </c>
    </row>
    <row r="2" spans="1:46" x14ac:dyDescent="0.25">
      <c r="A2" t="s">
        <v>14</v>
      </c>
      <c r="B2" t="s">
        <v>9</v>
      </c>
      <c r="C2" t="s">
        <v>10</v>
      </c>
      <c r="D2" t="s">
        <v>11</v>
      </c>
      <c r="E2" s="5" t="s">
        <v>12</v>
      </c>
      <c r="F2" s="5" t="e">
        <f>VLOOKUP(B2,'Türkkep Jira'!B:F,5,0)</f>
        <v>#N/A</v>
      </c>
      <c r="G2" t="str">
        <f>IF(IFERROR(VLOOKUP(B2,'Devam Eden Sprint'!B:B,1,0),"-")=B2,"Devam Eden Sprint","-")</f>
        <v>-</v>
      </c>
      <c r="H2" t="str">
        <f>IF(IFERROR(VLOOKUP(B2,'Gelecek Sprint'!B:B,1,0),"-")=B2,"Gelecek Sprint","-")</f>
        <v>-</v>
      </c>
      <c r="I2" t="str">
        <f t="shared" ref="I2:I65" si="0">IFERROR(IF(AND(G2="Devam Eden Sprint",H2="Gelecek Sprint"),"Devam Eden ve Gelecek Sprint",IF(G2="Devam Eden Sprint","Devam Eden Sprint",IF(H2="Gelecek Sprint","Gelecek Sprint","Ürün İş Listesi"))),"Ürün İş Listesi")</f>
        <v>Ürün İş Listesi</v>
      </c>
      <c r="P2" s="10" t="s">
        <v>5</v>
      </c>
      <c r="Q2" t="s">
        <v>13</v>
      </c>
      <c r="AC2" s="10" t="s">
        <v>5</v>
      </c>
      <c r="AD2" t="s">
        <v>13</v>
      </c>
      <c r="AQ2" s="10" t="s">
        <v>2</v>
      </c>
      <c r="AR2" t="s">
        <v>89</v>
      </c>
    </row>
    <row r="3" spans="1:46" x14ac:dyDescent="0.25">
      <c r="A3" t="s">
        <v>14</v>
      </c>
      <c r="B3" t="s">
        <v>15</v>
      </c>
      <c r="C3" t="s">
        <v>16</v>
      </c>
      <c r="D3" t="s">
        <v>17</v>
      </c>
      <c r="E3" s="5" t="s">
        <v>12</v>
      </c>
      <c r="F3" s="5" t="e">
        <f>VLOOKUP(B3,'Türkkep Jira'!B:F,5,0)</f>
        <v>#N/A</v>
      </c>
      <c r="G3" t="str">
        <f>IF(IFERROR(VLOOKUP(B3,'Devam Eden Sprint'!B:B,1,0),"-")=B3,"Devam Eden Sprint","-")</f>
        <v>-</v>
      </c>
      <c r="H3" t="str">
        <f>IF(IFERROR(VLOOKUP(B3,'Gelecek Sprint'!B:B,1,0),"-")=B3,"Gelecek Sprint","-")</f>
        <v>-</v>
      </c>
      <c r="I3" t="str">
        <f t="shared" si="0"/>
        <v>Ürün İş Listesi</v>
      </c>
    </row>
    <row r="4" spans="1:46" x14ac:dyDescent="0.25">
      <c r="A4" t="s">
        <v>14</v>
      </c>
      <c r="B4" t="s">
        <v>18</v>
      </c>
      <c r="C4" t="s">
        <v>16</v>
      </c>
      <c r="D4" t="s">
        <v>19</v>
      </c>
      <c r="E4" s="5" t="s">
        <v>12</v>
      </c>
      <c r="F4" s="5" t="e">
        <f>VLOOKUP(B4,'Türkkep Jira'!B:F,5,0)</f>
        <v>#N/A</v>
      </c>
      <c r="G4" t="str">
        <f>IF(IFERROR(VLOOKUP(B4,'Devam Eden Sprint'!B:B,1,0),"-")=B4,"Devam Eden Sprint","-")</f>
        <v>-</v>
      </c>
      <c r="H4" t="str">
        <f>IF(IFERROR(VLOOKUP(B4,'Gelecek Sprint'!B:B,1,0),"-")=B4,"Gelecek Sprint","-")</f>
        <v>-</v>
      </c>
      <c r="I4" t="str">
        <f t="shared" si="0"/>
        <v>Ürün İş Listesi</v>
      </c>
      <c r="P4" s="10" t="s">
        <v>20</v>
      </c>
      <c r="Q4" s="10" t="s">
        <v>21</v>
      </c>
      <c r="AC4" s="10" t="s">
        <v>22</v>
      </c>
      <c r="AD4" s="10" t="s">
        <v>21</v>
      </c>
      <c r="AQ4" s="10" t="s">
        <v>20</v>
      </c>
      <c r="AR4" s="10" t="s">
        <v>21</v>
      </c>
    </row>
    <row r="5" spans="1:46" x14ac:dyDescent="0.25">
      <c r="A5" t="s">
        <v>14</v>
      </c>
      <c r="B5" t="s">
        <v>23</v>
      </c>
      <c r="C5" t="s">
        <v>16</v>
      </c>
      <c r="D5" t="s">
        <v>24</v>
      </c>
      <c r="E5" s="5" t="s">
        <v>12</v>
      </c>
      <c r="F5" s="5" t="e">
        <f>VLOOKUP(B5,'Türkkep Jira'!B:F,5,0)</f>
        <v>#N/A</v>
      </c>
      <c r="G5" t="str">
        <f>IF(IFERROR(VLOOKUP(B5,'Devam Eden Sprint'!B:B,1,0),"-")=B5,"Devam Eden Sprint","-")</f>
        <v>-</v>
      </c>
      <c r="H5" t="str">
        <f>IF(IFERROR(VLOOKUP(B5,'Gelecek Sprint'!B:B,1,0),"-")=B5,"Gelecek Sprint","-")</f>
        <v>-</v>
      </c>
      <c r="I5" t="str">
        <f t="shared" si="0"/>
        <v>Ürün İş Listesi</v>
      </c>
      <c r="P5" s="10" t="s">
        <v>25</v>
      </c>
      <c r="Q5" s="5" t="s">
        <v>16</v>
      </c>
      <c r="R5" t="s">
        <v>26</v>
      </c>
      <c r="S5" s="5" t="s">
        <v>10</v>
      </c>
      <c r="T5" s="5" t="s">
        <v>27</v>
      </c>
      <c r="U5" t="s">
        <v>28</v>
      </c>
      <c r="V5" t="s">
        <v>29</v>
      </c>
      <c r="Y5" s="6" t="s">
        <v>30</v>
      </c>
      <c r="AC5" s="10" t="s">
        <v>25</v>
      </c>
      <c r="AD5" s="5" t="s">
        <v>16</v>
      </c>
      <c r="AE5" t="s">
        <v>26</v>
      </c>
      <c r="AF5" t="s">
        <v>28</v>
      </c>
      <c r="AG5" s="5" t="s">
        <v>10</v>
      </c>
      <c r="AH5" s="5" t="s">
        <v>27</v>
      </c>
      <c r="AI5" t="s">
        <v>29</v>
      </c>
      <c r="AM5" s="6" t="s">
        <v>30</v>
      </c>
      <c r="AQ5" s="10" t="s">
        <v>25</v>
      </c>
      <c r="AR5" t="s">
        <v>77</v>
      </c>
      <c r="AS5" t="s">
        <v>14</v>
      </c>
      <c r="AT5" t="s">
        <v>29</v>
      </c>
    </row>
    <row r="6" spans="1:46" x14ac:dyDescent="0.25">
      <c r="A6" t="s">
        <v>14</v>
      </c>
      <c r="B6" t="s">
        <v>31</v>
      </c>
      <c r="C6" t="s">
        <v>16</v>
      </c>
      <c r="D6" t="s">
        <v>32</v>
      </c>
      <c r="E6" s="5" t="s">
        <v>12</v>
      </c>
      <c r="F6" s="5" t="e">
        <f>VLOOKUP(B6,'Türkkep Jira'!B:F,5,0)</f>
        <v>#N/A</v>
      </c>
      <c r="G6" t="str">
        <f>IF(IFERROR(VLOOKUP(B6,'Devam Eden Sprint'!B:B,1,0),"-")=B6,"Devam Eden Sprint","-")</f>
        <v>-</v>
      </c>
      <c r="H6" t="str">
        <f>IF(IFERROR(VLOOKUP(B6,'Gelecek Sprint'!B:B,1,0),"-")=B6,"Gelecek Sprint","-")</f>
        <v>-</v>
      </c>
      <c r="I6" t="str">
        <f t="shared" si="0"/>
        <v>Ürün İş Listesi</v>
      </c>
      <c r="P6" s="7" t="s">
        <v>12</v>
      </c>
      <c r="Q6" s="5">
        <v>6</v>
      </c>
      <c r="R6" s="5">
        <v>1</v>
      </c>
      <c r="S6" s="5">
        <v>2</v>
      </c>
      <c r="T6" s="5">
        <v>13</v>
      </c>
      <c r="U6" s="5">
        <v>3</v>
      </c>
      <c r="V6" s="5">
        <v>25</v>
      </c>
      <c r="Y6" s="8">
        <f>Q6/V6</f>
        <v>0.24</v>
      </c>
      <c r="Z6" s="9">
        <f>(Q6+SUM(T6:U6))/V6</f>
        <v>0.88</v>
      </c>
      <c r="AC6" s="7" t="s">
        <v>12</v>
      </c>
      <c r="AD6" s="5">
        <v>8</v>
      </c>
      <c r="AE6" s="5">
        <v>5</v>
      </c>
      <c r="AF6" s="5">
        <v>12</v>
      </c>
      <c r="AG6" s="5">
        <v>3</v>
      </c>
      <c r="AH6" s="5">
        <v>35</v>
      </c>
      <c r="AI6" s="5">
        <v>63</v>
      </c>
      <c r="AM6" s="8" t="e">
        <f>AD6/AJ6</f>
        <v>#DIV/0!</v>
      </c>
      <c r="AQ6" s="7" t="s">
        <v>12</v>
      </c>
      <c r="AR6" s="5"/>
      <c r="AS6" s="5">
        <v>25</v>
      </c>
      <c r="AT6" s="5">
        <v>25</v>
      </c>
    </row>
    <row r="7" spans="1:46" x14ac:dyDescent="0.25">
      <c r="A7" t="s">
        <v>14</v>
      </c>
      <c r="B7" t="s">
        <v>33</v>
      </c>
      <c r="C7" t="s">
        <v>16</v>
      </c>
      <c r="D7" t="s">
        <v>34</v>
      </c>
      <c r="E7" s="5" t="s">
        <v>12</v>
      </c>
      <c r="F7" s="5" t="e">
        <f>VLOOKUP(B7,'Türkkep Jira'!B:F,5,0)</f>
        <v>#N/A</v>
      </c>
      <c r="G7" t="str">
        <f>IF(IFERROR(VLOOKUP(B7,'Devam Eden Sprint'!B:B,1,0),"-")=B7,"Devam Eden Sprint","-")</f>
        <v>-</v>
      </c>
      <c r="H7" t="str">
        <f>IF(IFERROR(VLOOKUP(B7,'Gelecek Sprint'!B:B,1,0),"-")=B7,"Gelecek Sprint","-")</f>
        <v>-</v>
      </c>
      <c r="I7" t="str">
        <f t="shared" si="0"/>
        <v>Ürün İş Listesi</v>
      </c>
      <c r="J7" s="5">
        <v>3</v>
      </c>
      <c r="P7" s="7" t="s">
        <v>38</v>
      </c>
      <c r="Q7" s="5">
        <v>1</v>
      </c>
      <c r="R7" s="5">
        <v>2</v>
      </c>
      <c r="S7" s="5"/>
      <c r="T7" s="5"/>
      <c r="U7" s="5"/>
      <c r="V7" s="5">
        <v>3</v>
      </c>
      <c r="Y7" s="8">
        <f t="shared" ref="Y7:Y22" si="1">Q7/V7</f>
        <v>0.33333333333333331</v>
      </c>
      <c r="Z7" s="9">
        <f t="shared" ref="Z7:Z22" si="2">(Q7+SUM(T7:U7))/V7</f>
        <v>0.33333333333333331</v>
      </c>
      <c r="AC7" s="7" t="s">
        <v>38</v>
      </c>
      <c r="AD7" s="5"/>
      <c r="AE7" s="5"/>
      <c r="AF7" s="5"/>
      <c r="AG7" s="5"/>
      <c r="AH7" s="5"/>
      <c r="AI7" s="5"/>
      <c r="AM7" s="8" t="e">
        <f t="shared" ref="AM7:AM18" si="3">AD7/AJ7</f>
        <v>#DIV/0!</v>
      </c>
      <c r="AQ7" s="7" t="s">
        <v>38</v>
      </c>
      <c r="AR7" s="5"/>
      <c r="AS7" s="5">
        <v>3</v>
      </c>
      <c r="AT7" s="5">
        <v>3</v>
      </c>
    </row>
    <row r="8" spans="1:46" x14ac:dyDescent="0.25">
      <c r="A8" t="s">
        <v>14</v>
      </c>
      <c r="B8" t="s">
        <v>36</v>
      </c>
      <c r="C8" t="s">
        <v>16</v>
      </c>
      <c r="D8" t="s">
        <v>37</v>
      </c>
      <c r="E8" s="5" t="s">
        <v>12</v>
      </c>
      <c r="F8" s="5" t="e">
        <f>VLOOKUP(B8,'Türkkep Jira'!B:F,5,0)</f>
        <v>#N/A</v>
      </c>
      <c r="G8" t="str">
        <f>IF(IFERROR(VLOOKUP(B8,'Devam Eden Sprint'!B:B,1,0),"-")=B8,"Devam Eden Sprint","-")</f>
        <v>-</v>
      </c>
      <c r="H8" t="str">
        <f>IF(IFERROR(VLOOKUP(B8,'Gelecek Sprint'!B:B,1,0),"-")=B8,"Gelecek Sprint","-")</f>
        <v>-</v>
      </c>
      <c r="I8" t="str">
        <f t="shared" si="0"/>
        <v>Ürün İş Listesi</v>
      </c>
      <c r="J8" s="5">
        <v>5</v>
      </c>
      <c r="P8" s="7" t="s">
        <v>41</v>
      </c>
      <c r="Q8" s="5">
        <v>7</v>
      </c>
      <c r="R8" s="5">
        <v>1</v>
      </c>
      <c r="S8" s="5"/>
      <c r="T8" s="5"/>
      <c r="U8" s="5"/>
      <c r="V8" s="5">
        <v>8</v>
      </c>
      <c r="Y8" s="8">
        <f t="shared" si="1"/>
        <v>0.875</v>
      </c>
      <c r="Z8" s="9">
        <f t="shared" si="2"/>
        <v>0.875</v>
      </c>
      <c r="AC8" s="7" t="s">
        <v>41</v>
      </c>
      <c r="AD8" s="5">
        <v>5</v>
      </c>
      <c r="AE8" s="5"/>
      <c r="AF8" s="5"/>
      <c r="AG8" s="5"/>
      <c r="AH8" s="5"/>
      <c r="AI8" s="5">
        <v>5</v>
      </c>
      <c r="AM8" s="8" t="e">
        <f t="shared" si="3"/>
        <v>#DIV/0!</v>
      </c>
      <c r="AQ8" s="7" t="s">
        <v>41</v>
      </c>
      <c r="AR8" s="5">
        <v>5</v>
      </c>
      <c r="AS8" s="5">
        <v>3</v>
      </c>
      <c r="AT8" s="5">
        <v>8</v>
      </c>
    </row>
    <row r="9" spans="1:46" x14ac:dyDescent="0.25">
      <c r="A9" t="s">
        <v>14</v>
      </c>
      <c r="B9" t="s">
        <v>39</v>
      </c>
      <c r="C9" t="s">
        <v>16</v>
      </c>
      <c r="D9" t="s">
        <v>40</v>
      </c>
      <c r="E9" s="5" t="s">
        <v>12</v>
      </c>
      <c r="F9" s="5" t="e">
        <f>VLOOKUP(B9,'Türkkep Jira'!B:F,5,0)</f>
        <v>#N/A</v>
      </c>
      <c r="G9" t="str">
        <f>IF(IFERROR(VLOOKUP(B9,'Devam Eden Sprint'!B:B,1,0),"-")=B9,"Devam Eden Sprint","-")</f>
        <v>-</v>
      </c>
      <c r="H9" t="str">
        <f>IF(IFERROR(VLOOKUP(B9,'Gelecek Sprint'!B:B,1,0),"-")=B9,"Gelecek Sprint","-")</f>
        <v>-</v>
      </c>
      <c r="I9" t="str">
        <f t="shared" si="0"/>
        <v>Ürün İş Listesi</v>
      </c>
      <c r="P9" s="7" t="s">
        <v>44</v>
      </c>
      <c r="Q9" s="5">
        <v>5</v>
      </c>
      <c r="R9" s="5"/>
      <c r="S9" s="5">
        <v>2</v>
      </c>
      <c r="T9" s="5">
        <v>1</v>
      </c>
      <c r="U9" s="5"/>
      <c r="V9" s="5">
        <v>8</v>
      </c>
      <c r="Y9" s="8">
        <f t="shared" si="1"/>
        <v>0.625</v>
      </c>
      <c r="Z9" s="9">
        <f t="shared" si="2"/>
        <v>0.75</v>
      </c>
      <c r="AC9" s="7" t="s">
        <v>44</v>
      </c>
      <c r="AD9" s="5">
        <v>29</v>
      </c>
      <c r="AE9" s="5"/>
      <c r="AF9" s="5"/>
      <c r="AG9" s="5">
        <v>3</v>
      </c>
      <c r="AH9" s="5">
        <v>2</v>
      </c>
      <c r="AI9" s="5">
        <v>34</v>
      </c>
      <c r="AM9" s="8" t="e">
        <f t="shared" si="3"/>
        <v>#DIV/0!</v>
      </c>
      <c r="AQ9" s="7" t="s">
        <v>44</v>
      </c>
      <c r="AR9" s="5">
        <v>1</v>
      </c>
      <c r="AS9" s="5">
        <v>7</v>
      </c>
      <c r="AT9" s="5">
        <v>8</v>
      </c>
    </row>
    <row r="10" spans="1:46" x14ac:dyDescent="0.25">
      <c r="A10" t="s">
        <v>14</v>
      </c>
      <c r="B10" t="s">
        <v>42</v>
      </c>
      <c r="C10" t="s">
        <v>16</v>
      </c>
      <c r="D10" t="s">
        <v>43</v>
      </c>
      <c r="E10" s="5" t="s">
        <v>12</v>
      </c>
      <c r="F10" s="5" t="e">
        <f>VLOOKUP(B10,'Türkkep Jira'!B:F,5,0)</f>
        <v>#N/A</v>
      </c>
      <c r="G10" t="str">
        <f>IF(IFERROR(VLOOKUP(B10,'Devam Eden Sprint'!B:B,1,0),"-")=B10,"Devam Eden Sprint","-")</f>
        <v>-</v>
      </c>
      <c r="H10" t="str">
        <f>IF(IFERROR(VLOOKUP(B10,'Gelecek Sprint'!B:B,1,0),"-")=B10,"Gelecek Sprint","-")</f>
        <v>-</v>
      </c>
      <c r="I10" t="str">
        <f t="shared" si="0"/>
        <v>Ürün İş Listesi</v>
      </c>
      <c r="P10" s="7" t="s">
        <v>47</v>
      </c>
      <c r="Q10" s="5"/>
      <c r="R10" s="5">
        <v>2</v>
      </c>
      <c r="S10" s="5"/>
      <c r="T10" s="5">
        <v>2</v>
      </c>
      <c r="U10" s="5"/>
      <c r="V10" s="5">
        <v>4</v>
      </c>
      <c r="Y10" s="8">
        <f t="shared" si="1"/>
        <v>0</v>
      </c>
      <c r="Z10" s="9">
        <f t="shared" si="2"/>
        <v>0.5</v>
      </c>
      <c r="AC10" s="7" t="s">
        <v>47</v>
      </c>
      <c r="AD10" s="5"/>
      <c r="AE10" s="5">
        <v>8</v>
      </c>
      <c r="AF10" s="5"/>
      <c r="AG10" s="5"/>
      <c r="AH10" s="5">
        <v>5</v>
      </c>
      <c r="AI10" s="5">
        <v>13</v>
      </c>
      <c r="AM10" s="8" t="e">
        <f t="shared" si="3"/>
        <v>#DIV/0!</v>
      </c>
      <c r="AQ10" s="7" t="s">
        <v>47</v>
      </c>
      <c r="AR10" s="5">
        <v>1</v>
      </c>
      <c r="AS10" s="5">
        <v>3</v>
      </c>
      <c r="AT10" s="5">
        <v>4</v>
      </c>
    </row>
    <row r="11" spans="1:46" x14ac:dyDescent="0.25">
      <c r="A11" t="s">
        <v>14</v>
      </c>
      <c r="B11" t="s">
        <v>45</v>
      </c>
      <c r="C11" t="s">
        <v>16</v>
      </c>
      <c r="D11" t="s">
        <v>46</v>
      </c>
      <c r="E11" s="5" t="s">
        <v>12</v>
      </c>
      <c r="F11" s="5" t="e">
        <f>VLOOKUP(B11,'Türkkep Jira'!B:F,5,0)</f>
        <v>#N/A</v>
      </c>
      <c r="G11" t="str">
        <f>IF(IFERROR(VLOOKUP(B11,'Devam Eden Sprint'!B:B,1,0),"-")=B11,"Devam Eden Sprint","-")</f>
        <v>-</v>
      </c>
      <c r="H11" t="str">
        <f>IF(IFERROR(VLOOKUP(B11,'Gelecek Sprint'!B:B,1,0),"-")=B11,"Gelecek Sprint","-")</f>
        <v>-</v>
      </c>
      <c r="I11" t="str">
        <f t="shared" si="0"/>
        <v>Ürün İş Listesi</v>
      </c>
      <c r="P11" s="7" t="s">
        <v>50</v>
      </c>
      <c r="Q11" s="5">
        <v>4</v>
      </c>
      <c r="R11" s="5">
        <v>1</v>
      </c>
      <c r="S11" s="5">
        <v>1</v>
      </c>
      <c r="T11" s="5">
        <v>1</v>
      </c>
      <c r="U11" s="5"/>
      <c r="V11" s="5">
        <v>7</v>
      </c>
      <c r="Y11" s="8">
        <f t="shared" si="1"/>
        <v>0.5714285714285714</v>
      </c>
      <c r="Z11" s="9">
        <f t="shared" si="2"/>
        <v>0.7142857142857143</v>
      </c>
      <c r="AC11" s="7" t="s">
        <v>50</v>
      </c>
      <c r="AD11" s="5">
        <v>4</v>
      </c>
      <c r="AE11" s="5"/>
      <c r="AF11" s="5"/>
      <c r="AG11" s="5"/>
      <c r="AH11" s="5"/>
      <c r="AI11" s="5">
        <v>4</v>
      </c>
      <c r="AM11" s="8" t="e">
        <f t="shared" si="3"/>
        <v>#DIV/0!</v>
      </c>
      <c r="AQ11" s="7" t="s">
        <v>50</v>
      </c>
      <c r="AR11" s="5">
        <v>2</v>
      </c>
      <c r="AS11" s="5">
        <v>5</v>
      </c>
      <c r="AT11" s="5">
        <v>7</v>
      </c>
    </row>
    <row r="12" spans="1:46" x14ac:dyDescent="0.25">
      <c r="A12" t="s">
        <v>14</v>
      </c>
      <c r="B12" t="s">
        <v>48</v>
      </c>
      <c r="C12" t="s">
        <v>16</v>
      </c>
      <c r="D12" t="s">
        <v>49</v>
      </c>
      <c r="E12" s="5" t="s">
        <v>12</v>
      </c>
      <c r="F12" s="5" t="e">
        <f>VLOOKUP(B12,'Türkkep Jira'!B:F,5,0)</f>
        <v>#N/A</v>
      </c>
      <c r="G12" t="str">
        <f>IF(IFERROR(VLOOKUP(B12,'Devam Eden Sprint'!B:B,1,0),"-")=B12,"Devam Eden Sprint","-")</f>
        <v>-</v>
      </c>
      <c r="H12" t="str">
        <f>IF(IFERROR(VLOOKUP(B12,'Gelecek Sprint'!B:B,1,0),"-")=B12,"Gelecek Sprint","-")</f>
        <v>-</v>
      </c>
      <c r="I12" t="str">
        <f t="shared" si="0"/>
        <v>Ürün İş Listesi</v>
      </c>
      <c r="P12" s="7" t="s">
        <v>53</v>
      </c>
      <c r="Q12" s="5">
        <v>4</v>
      </c>
      <c r="R12" s="5">
        <v>1</v>
      </c>
      <c r="S12" s="5">
        <v>1</v>
      </c>
      <c r="T12" s="5">
        <v>1</v>
      </c>
      <c r="U12" s="5">
        <v>1</v>
      </c>
      <c r="V12" s="5">
        <v>8</v>
      </c>
      <c r="Y12" s="8">
        <f t="shared" si="1"/>
        <v>0.5</v>
      </c>
      <c r="Z12" s="9">
        <f t="shared" si="2"/>
        <v>0.75</v>
      </c>
      <c r="AC12" s="7" t="s">
        <v>53</v>
      </c>
      <c r="AD12" s="5">
        <v>8</v>
      </c>
      <c r="AE12" s="5">
        <v>3</v>
      </c>
      <c r="AF12" s="5">
        <v>2</v>
      </c>
      <c r="AG12" s="5"/>
      <c r="AH12" s="5">
        <v>3</v>
      </c>
      <c r="AI12" s="5">
        <v>16</v>
      </c>
      <c r="AM12" s="8" t="e">
        <f t="shared" si="3"/>
        <v>#DIV/0!</v>
      </c>
      <c r="AQ12" s="7" t="s">
        <v>53</v>
      </c>
      <c r="AR12" s="5">
        <v>1</v>
      </c>
      <c r="AS12" s="5">
        <v>7</v>
      </c>
      <c r="AT12" s="5">
        <v>8</v>
      </c>
    </row>
    <row r="13" spans="1:46" x14ac:dyDescent="0.25">
      <c r="A13" t="s">
        <v>14</v>
      </c>
      <c r="B13" t="s">
        <v>51</v>
      </c>
      <c r="C13" t="s">
        <v>16</v>
      </c>
      <c r="D13" t="s">
        <v>52</v>
      </c>
      <c r="E13" s="5" t="s">
        <v>12</v>
      </c>
      <c r="F13" s="5" t="e">
        <f>VLOOKUP(B13,'Türkkep Jira'!B:F,5,0)</f>
        <v>#N/A</v>
      </c>
      <c r="G13" t="str">
        <f>IF(IFERROR(VLOOKUP(B13,'Devam Eden Sprint'!B:B,1,0),"-")=B13,"Devam Eden Sprint","-")</f>
        <v>-</v>
      </c>
      <c r="H13" t="str">
        <f>IF(IFERROR(VLOOKUP(B13,'Gelecek Sprint'!B:B,1,0),"-")=B13,"Gelecek Sprint","-")</f>
        <v>-</v>
      </c>
      <c r="I13" t="str">
        <f t="shared" si="0"/>
        <v>Ürün İş Listesi</v>
      </c>
      <c r="P13" s="7" t="s">
        <v>56</v>
      </c>
      <c r="Q13" s="5">
        <v>6</v>
      </c>
      <c r="R13" s="5"/>
      <c r="S13" s="5">
        <v>1</v>
      </c>
      <c r="T13" s="5"/>
      <c r="U13" s="5"/>
      <c r="V13" s="5">
        <v>7</v>
      </c>
      <c r="Y13" s="8">
        <f t="shared" si="1"/>
        <v>0.8571428571428571</v>
      </c>
      <c r="Z13" s="9">
        <f t="shared" si="2"/>
        <v>0.8571428571428571</v>
      </c>
      <c r="AC13" s="7" t="s">
        <v>56</v>
      </c>
      <c r="AD13" s="5">
        <v>12</v>
      </c>
      <c r="AE13" s="5"/>
      <c r="AF13" s="5"/>
      <c r="AG13" s="5"/>
      <c r="AH13" s="5"/>
      <c r="AI13" s="5">
        <v>12</v>
      </c>
      <c r="AM13" s="8" t="e">
        <f t="shared" si="3"/>
        <v>#DIV/0!</v>
      </c>
      <c r="AQ13" s="7" t="s">
        <v>56</v>
      </c>
      <c r="AR13" s="5">
        <v>4</v>
      </c>
      <c r="AS13" s="5">
        <v>3</v>
      </c>
      <c r="AT13" s="5">
        <v>7</v>
      </c>
    </row>
    <row r="14" spans="1:46" x14ac:dyDescent="0.25">
      <c r="A14" t="s">
        <v>14</v>
      </c>
      <c r="B14" t="s">
        <v>54</v>
      </c>
      <c r="C14" t="s">
        <v>16</v>
      </c>
      <c r="D14" t="s">
        <v>55</v>
      </c>
      <c r="E14" s="5" t="s">
        <v>12</v>
      </c>
      <c r="F14" s="5" t="e">
        <f>VLOOKUP(B14,'Türkkep Jira'!B:F,5,0)</f>
        <v>#N/A</v>
      </c>
      <c r="G14" t="str">
        <f>IF(IFERROR(VLOOKUP(B14,'Devam Eden Sprint'!B:B,1,0),"-")=B14,"Devam Eden Sprint","-")</f>
        <v>-</v>
      </c>
      <c r="H14" t="str">
        <f>IF(IFERROR(VLOOKUP(B14,'Gelecek Sprint'!B:B,1,0),"-")=B14,"Gelecek Sprint","-")</f>
        <v>-</v>
      </c>
      <c r="I14" t="str">
        <f t="shared" si="0"/>
        <v>Ürün İş Listesi</v>
      </c>
      <c r="P14" s="7" t="s">
        <v>1620</v>
      </c>
      <c r="Q14" s="5"/>
      <c r="R14" s="5">
        <v>1</v>
      </c>
      <c r="S14" s="5"/>
      <c r="T14" s="5">
        <v>4</v>
      </c>
      <c r="U14" s="5"/>
      <c r="V14" s="5">
        <v>5</v>
      </c>
      <c r="Y14" s="8">
        <f t="shared" si="1"/>
        <v>0</v>
      </c>
      <c r="Z14" s="9">
        <f t="shared" si="2"/>
        <v>0.8</v>
      </c>
      <c r="AC14" s="7" t="s">
        <v>455</v>
      </c>
      <c r="AD14" s="5"/>
      <c r="AE14" s="5"/>
      <c r="AF14" s="5"/>
      <c r="AG14" s="5"/>
      <c r="AH14" s="5"/>
      <c r="AI14" s="5"/>
      <c r="AM14" s="8" t="e">
        <f t="shared" si="3"/>
        <v>#DIV/0!</v>
      </c>
      <c r="AQ14" s="7" t="s">
        <v>29</v>
      </c>
      <c r="AR14" s="5">
        <v>14</v>
      </c>
      <c r="AS14" s="5">
        <v>56</v>
      </c>
      <c r="AT14" s="5">
        <v>70</v>
      </c>
    </row>
    <row r="15" spans="1:46" x14ac:dyDescent="0.25">
      <c r="A15" t="s">
        <v>14</v>
      </c>
      <c r="B15" t="s">
        <v>57</v>
      </c>
      <c r="C15" t="s">
        <v>16</v>
      </c>
      <c r="D15" t="s">
        <v>58</v>
      </c>
      <c r="E15" s="5" t="s">
        <v>12</v>
      </c>
      <c r="F15" s="5" t="e">
        <f>VLOOKUP(B15,'Türkkep Jira'!B:F,5,0)</f>
        <v>#N/A</v>
      </c>
      <c r="G15" t="str">
        <f>IF(IFERROR(VLOOKUP(B15,'Devam Eden Sprint'!B:B,1,0),"-")=B15,"Devam Eden Sprint","-")</f>
        <v>-</v>
      </c>
      <c r="H15" t="str">
        <f>IF(IFERROR(VLOOKUP(B15,'Gelecek Sprint'!B:B,1,0),"-")=B15,"Gelecek Sprint","-")</f>
        <v>-</v>
      </c>
      <c r="I15" t="str">
        <f t="shared" si="0"/>
        <v>Ürün İş Listesi</v>
      </c>
      <c r="J15" s="5">
        <v>5</v>
      </c>
      <c r="P15" s="7" t="s">
        <v>29</v>
      </c>
      <c r="Q15" s="5">
        <v>33</v>
      </c>
      <c r="R15" s="5">
        <v>9</v>
      </c>
      <c r="S15" s="5">
        <v>7</v>
      </c>
      <c r="T15" s="5">
        <v>22</v>
      </c>
      <c r="U15" s="5">
        <v>4</v>
      </c>
      <c r="V15" s="5">
        <v>75</v>
      </c>
      <c r="Y15" s="8">
        <f t="shared" si="1"/>
        <v>0.44</v>
      </c>
      <c r="Z15" s="9">
        <f t="shared" si="2"/>
        <v>0.78666666666666663</v>
      </c>
      <c r="AC15" s="7" t="s">
        <v>29</v>
      </c>
      <c r="AD15" s="5">
        <v>66</v>
      </c>
      <c r="AE15" s="5">
        <v>16</v>
      </c>
      <c r="AF15" s="5">
        <v>14</v>
      </c>
      <c r="AG15" s="5">
        <v>6</v>
      </c>
      <c r="AH15" s="5">
        <v>45</v>
      </c>
      <c r="AI15" s="5">
        <v>147</v>
      </c>
      <c r="AM15" s="8" t="e">
        <f t="shared" si="3"/>
        <v>#DIV/0!</v>
      </c>
    </row>
    <row r="16" spans="1:46" x14ac:dyDescent="0.25">
      <c r="A16" t="s">
        <v>14</v>
      </c>
      <c r="B16" t="s">
        <v>60</v>
      </c>
      <c r="C16" t="s">
        <v>16</v>
      </c>
      <c r="D16" t="s">
        <v>61</v>
      </c>
      <c r="E16" s="5" t="s">
        <v>12</v>
      </c>
      <c r="F16" s="5" t="e">
        <f>VLOOKUP(B16,'Türkkep Jira'!B:F,5,0)</f>
        <v>#N/A</v>
      </c>
      <c r="G16" t="str">
        <f>IF(IFERROR(VLOOKUP(B16,'Devam Eden Sprint'!B:B,1,0),"-")=B16,"Devam Eden Sprint","-")</f>
        <v>-</v>
      </c>
      <c r="H16" t="str">
        <f>IF(IFERROR(VLOOKUP(B16,'Gelecek Sprint'!B:B,1,0),"-")=B16,"Gelecek Sprint","-")</f>
        <v>-</v>
      </c>
      <c r="I16" t="str">
        <f t="shared" si="0"/>
        <v>Ürün İş Listesi</v>
      </c>
      <c r="Y16" s="8" t="e">
        <f t="shared" si="1"/>
        <v>#DIV/0!</v>
      </c>
      <c r="Z16" s="9" t="e">
        <f t="shared" si="2"/>
        <v>#DIV/0!</v>
      </c>
      <c r="AM16" s="8" t="e">
        <f t="shared" si="3"/>
        <v>#DIV/0!</v>
      </c>
    </row>
    <row r="17" spans="1:48" x14ac:dyDescent="0.25">
      <c r="A17" t="s">
        <v>14</v>
      </c>
      <c r="B17" t="s">
        <v>63</v>
      </c>
      <c r="C17" t="s">
        <v>16</v>
      </c>
      <c r="D17" t="s">
        <v>64</v>
      </c>
      <c r="E17" s="5" t="s">
        <v>12</v>
      </c>
      <c r="F17" s="5" t="e">
        <f>VLOOKUP(B17,'Türkkep Jira'!B:F,5,0)</f>
        <v>#N/A</v>
      </c>
      <c r="G17" t="str">
        <f>IF(IFERROR(VLOOKUP(B17,'Devam Eden Sprint'!B:B,1,0),"-")=B17,"Devam Eden Sprint","-")</f>
        <v>-</v>
      </c>
      <c r="H17" t="str">
        <f>IF(IFERROR(VLOOKUP(B17,'Gelecek Sprint'!B:B,1,0),"-")=B17,"Gelecek Sprint","-")</f>
        <v>-</v>
      </c>
      <c r="I17" t="str">
        <f t="shared" si="0"/>
        <v>Ürün İş Listesi</v>
      </c>
      <c r="Y17" s="8" t="e">
        <f t="shared" si="1"/>
        <v>#DIV/0!</v>
      </c>
      <c r="Z17" s="9" t="e">
        <f t="shared" si="2"/>
        <v>#DIV/0!</v>
      </c>
      <c r="AM17" s="8" t="e">
        <f t="shared" si="3"/>
        <v>#DIV/0!</v>
      </c>
    </row>
    <row r="18" spans="1:48" x14ac:dyDescent="0.25">
      <c r="A18" t="s">
        <v>14</v>
      </c>
      <c r="B18" t="s">
        <v>65</v>
      </c>
      <c r="C18" t="s">
        <v>16</v>
      </c>
      <c r="D18" t="s">
        <v>66</v>
      </c>
      <c r="E18" s="5" t="s">
        <v>12</v>
      </c>
      <c r="F18" s="5" t="e">
        <f>VLOOKUP(B18,'Türkkep Jira'!B:F,5,0)</f>
        <v>#N/A</v>
      </c>
      <c r="G18" t="str">
        <f>IF(IFERROR(VLOOKUP(B18,'Devam Eden Sprint'!B:B,1,0),"-")=B18,"Devam Eden Sprint","-")</f>
        <v>-</v>
      </c>
      <c r="H18" t="str">
        <f>IF(IFERROR(VLOOKUP(B18,'Gelecek Sprint'!B:B,1,0),"-")=B18,"Gelecek Sprint","-")</f>
        <v>-</v>
      </c>
      <c r="I18" t="str">
        <f t="shared" si="0"/>
        <v>Ürün İş Listesi</v>
      </c>
      <c r="Y18" s="8" t="e">
        <f t="shared" si="1"/>
        <v>#DIV/0!</v>
      </c>
      <c r="Z18" s="9" t="e">
        <f t="shared" si="2"/>
        <v>#DIV/0!</v>
      </c>
      <c r="AM18" s="8" t="e">
        <f t="shared" si="3"/>
        <v>#DIV/0!</v>
      </c>
    </row>
    <row r="19" spans="1:48" x14ac:dyDescent="0.25">
      <c r="A19" t="s">
        <v>14</v>
      </c>
      <c r="B19" t="s">
        <v>67</v>
      </c>
      <c r="C19" t="s">
        <v>16</v>
      </c>
      <c r="D19" t="s">
        <v>68</v>
      </c>
      <c r="E19" s="5" t="s">
        <v>12</v>
      </c>
      <c r="F19" s="5" t="e">
        <f>VLOOKUP(B19,'Türkkep Jira'!B:F,5,0)</f>
        <v>#N/A</v>
      </c>
      <c r="G19" t="str">
        <f>IF(IFERROR(VLOOKUP(B19,'Devam Eden Sprint'!B:B,1,0),"-")=B19,"Devam Eden Sprint","-")</f>
        <v>-</v>
      </c>
      <c r="H19" t="str">
        <f>IF(IFERROR(VLOOKUP(B19,'Gelecek Sprint'!B:B,1,0),"-")=B19,"Gelecek Sprint","-")</f>
        <v>-</v>
      </c>
      <c r="I19" t="str">
        <f t="shared" si="0"/>
        <v>Ürün İş Listesi</v>
      </c>
      <c r="Y19" s="8" t="e">
        <f t="shared" si="1"/>
        <v>#DIV/0!</v>
      </c>
      <c r="Z19" s="9" t="e">
        <f t="shared" si="2"/>
        <v>#DIV/0!</v>
      </c>
    </row>
    <row r="20" spans="1:48" x14ac:dyDescent="0.25">
      <c r="A20" t="s">
        <v>14</v>
      </c>
      <c r="B20" t="s">
        <v>69</v>
      </c>
      <c r="C20" t="s">
        <v>16</v>
      </c>
      <c r="D20" t="s">
        <v>70</v>
      </c>
      <c r="E20" s="5" t="s">
        <v>12</v>
      </c>
      <c r="F20" s="5" t="e">
        <f>VLOOKUP(B20,'Türkkep Jira'!B:F,5,0)</f>
        <v>#N/A</v>
      </c>
      <c r="G20" t="str">
        <f>IF(IFERROR(VLOOKUP(B20,'Devam Eden Sprint'!B:B,1,0),"-")=B20,"Devam Eden Sprint","-")</f>
        <v>-</v>
      </c>
      <c r="H20" t="str">
        <f>IF(IFERROR(VLOOKUP(B20,'Gelecek Sprint'!B:B,1,0),"-")=B20,"Gelecek Sprint","-")</f>
        <v>-</v>
      </c>
      <c r="I20" t="str">
        <f t="shared" si="0"/>
        <v>Ürün İş Listesi</v>
      </c>
      <c r="J20" s="5">
        <v>3</v>
      </c>
      <c r="Y20" s="8" t="e">
        <f t="shared" si="1"/>
        <v>#DIV/0!</v>
      </c>
      <c r="Z20" s="9" t="e">
        <f t="shared" si="2"/>
        <v>#DIV/0!</v>
      </c>
    </row>
    <row r="21" spans="1:48" x14ac:dyDescent="0.25">
      <c r="A21" t="s">
        <v>14</v>
      </c>
      <c r="B21" t="s">
        <v>71</v>
      </c>
      <c r="C21" t="s">
        <v>16</v>
      </c>
      <c r="D21" t="s">
        <v>72</v>
      </c>
      <c r="E21" s="5" t="s">
        <v>12</v>
      </c>
      <c r="F21" s="5" t="e">
        <f>VLOOKUP(B21,'Türkkep Jira'!B:F,5,0)</f>
        <v>#N/A</v>
      </c>
      <c r="G21" t="str">
        <f>IF(IFERROR(VLOOKUP(B21,'Devam Eden Sprint'!B:B,1,0),"-")=B21,"Devam Eden Sprint","-")</f>
        <v>-</v>
      </c>
      <c r="H21" t="str">
        <f>IF(IFERROR(VLOOKUP(B21,'Gelecek Sprint'!B:B,1,0),"-")=B21,"Gelecek Sprint","-")</f>
        <v>-</v>
      </c>
      <c r="I21" t="str">
        <f t="shared" si="0"/>
        <v>Ürün İş Listesi</v>
      </c>
      <c r="Y21" s="8" t="e">
        <f t="shared" si="1"/>
        <v>#DIV/0!</v>
      </c>
      <c r="Z21" s="9" t="e">
        <f t="shared" si="2"/>
        <v>#DIV/0!</v>
      </c>
    </row>
    <row r="22" spans="1:48" x14ac:dyDescent="0.25">
      <c r="A22" t="s">
        <v>14</v>
      </c>
      <c r="B22" t="s">
        <v>73</v>
      </c>
      <c r="C22" t="s">
        <v>16</v>
      </c>
      <c r="D22" t="s">
        <v>74</v>
      </c>
      <c r="E22" s="5" t="s">
        <v>12</v>
      </c>
      <c r="F22" s="5" t="e">
        <f>VLOOKUP(B22,'Türkkep Jira'!B:F,5,0)</f>
        <v>#N/A</v>
      </c>
      <c r="G22" t="str">
        <f>IF(IFERROR(VLOOKUP(B22,'Devam Eden Sprint'!B:B,1,0),"-")=B22,"Devam Eden Sprint","-")</f>
        <v>-</v>
      </c>
      <c r="H22" t="str">
        <f>IF(IFERROR(VLOOKUP(B22,'Gelecek Sprint'!B:B,1,0),"-")=B22,"Gelecek Sprint","-")</f>
        <v>-</v>
      </c>
      <c r="I22" t="str">
        <f t="shared" si="0"/>
        <v>Ürün İş Listesi</v>
      </c>
      <c r="J22" s="5">
        <v>3</v>
      </c>
      <c r="Y22" s="8" t="e">
        <f t="shared" si="1"/>
        <v>#DIV/0!</v>
      </c>
      <c r="Z22" s="9" t="e">
        <f t="shared" si="2"/>
        <v>#DIV/0!</v>
      </c>
    </row>
    <row r="23" spans="1:48" x14ac:dyDescent="0.25">
      <c r="A23" t="s">
        <v>14</v>
      </c>
      <c r="B23" t="s">
        <v>75</v>
      </c>
      <c r="C23" t="s">
        <v>16</v>
      </c>
      <c r="D23" t="s">
        <v>76</v>
      </c>
      <c r="E23" s="5" t="s">
        <v>12</v>
      </c>
      <c r="F23" s="5" t="e">
        <f>VLOOKUP(B23,'Türkkep Jira'!B:F,5,0)</f>
        <v>#N/A</v>
      </c>
      <c r="G23" t="str">
        <f>IF(IFERROR(VLOOKUP(B23,'Devam Eden Sprint'!B:B,1,0),"-")=B23,"Devam Eden Sprint","-")</f>
        <v>-</v>
      </c>
      <c r="H23" t="str">
        <f>IF(IFERROR(VLOOKUP(B23,'Gelecek Sprint'!B:B,1,0),"-")=B23,"Gelecek Sprint","-")</f>
        <v>-</v>
      </c>
      <c r="I23" t="str">
        <f t="shared" si="0"/>
        <v>Ürün İş Listesi</v>
      </c>
      <c r="J23" s="5">
        <v>2</v>
      </c>
      <c r="W23" s="8"/>
    </row>
    <row r="24" spans="1:48" x14ac:dyDescent="0.25">
      <c r="A24" t="s">
        <v>77</v>
      </c>
      <c r="B24" t="s">
        <v>78</v>
      </c>
      <c r="C24" t="s">
        <v>16</v>
      </c>
      <c r="D24" t="s">
        <v>79</v>
      </c>
      <c r="E24" s="5" t="s">
        <v>12</v>
      </c>
      <c r="F24" s="5" t="e">
        <f>VLOOKUP(B24,'Türkkep Jira'!B:F,5,0)</f>
        <v>#N/A</v>
      </c>
      <c r="G24" t="str">
        <f>IF(IFERROR(VLOOKUP(B24,'Devam Eden Sprint'!B:B,1,0),"-")=B24,"Devam Eden Sprint","-")</f>
        <v>-</v>
      </c>
      <c r="H24" t="str">
        <f>IF(IFERROR(VLOOKUP(B24,'Gelecek Sprint'!B:B,1,0),"-")=B24,"Gelecek Sprint","-")</f>
        <v>-</v>
      </c>
      <c r="I24" t="str">
        <f t="shared" si="0"/>
        <v>Ürün İş Listesi</v>
      </c>
      <c r="J24" s="5">
        <v>3</v>
      </c>
      <c r="W24" s="8"/>
    </row>
    <row r="25" spans="1:48" x14ac:dyDescent="0.25">
      <c r="A25" t="s">
        <v>77</v>
      </c>
      <c r="B25" t="s">
        <v>80</v>
      </c>
      <c r="C25" t="s">
        <v>16</v>
      </c>
      <c r="D25" t="s">
        <v>81</v>
      </c>
      <c r="E25" s="5" t="s">
        <v>12</v>
      </c>
      <c r="F25" s="5" t="e">
        <f>VLOOKUP(B25,'Türkkep Jira'!B:F,5,0)</f>
        <v>#N/A</v>
      </c>
      <c r="G25" t="str">
        <f>IF(IFERROR(VLOOKUP(B25,'Devam Eden Sprint'!B:B,1,0),"-")=B25,"Devam Eden Sprint","-")</f>
        <v>-</v>
      </c>
      <c r="H25" t="str">
        <f>IF(IFERROR(VLOOKUP(B25,'Gelecek Sprint'!B:B,1,0),"-")=B25,"Gelecek Sprint","-")</f>
        <v>-</v>
      </c>
      <c r="I25" t="str">
        <f t="shared" si="0"/>
        <v>Ürün İş Listesi</v>
      </c>
      <c r="J25" s="5">
        <v>1</v>
      </c>
    </row>
    <row r="26" spans="1:48" x14ac:dyDescent="0.25">
      <c r="A26" t="s">
        <v>77</v>
      </c>
      <c r="B26" t="s">
        <v>82</v>
      </c>
      <c r="C26" t="s">
        <v>16</v>
      </c>
      <c r="D26" t="s">
        <v>83</v>
      </c>
      <c r="E26" s="5" t="s">
        <v>12</v>
      </c>
      <c r="F26" s="5" t="e">
        <f>VLOOKUP(B26,'Türkkep Jira'!B:F,5,0)</f>
        <v>#N/A</v>
      </c>
      <c r="G26" t="str">
        <f>IF(IFERROR(VLOOKUP(B26,'Devam Eden Sprint'!B:B,1,0),"-")=B26,"Devam Eden Sprint","-")</f>
        <v>-</v>
      </c>
      <c r="H26" t="str">
        <f>IF(IFERROR(VLOOKUP(B26,'Gelecek Sprint'!B:B,1,0),"-")=B26,"Gelecek Sprint","-")</f>
        <v>-</v>
      </c>
      <c r="I26" t="str">
        <f t="shared" si="0"/>
        <v>Ürün İş Listesi</v>
      </c>
      <c r="J26" s="5">
        <v>3</v>
      </c>
    </row>
    <row r="27" spans="1:48" x14ac:dyDescent="0.25">
      <c r="A27" t="s">
        <v>14</v>
      </c>
      <c r="B27" t="s">
        <v>84</v>
      </c>
      <c r="C27" t="s">
        <v>16</v>
      </c>
      <c r="D27" t="s">
        <v>85</v>
      </c>
      <c r="E27" s="5" t="s">
        <v>12</v>
      </c>
      <c r="F27" s="5" t="e">
        <f>VLOOKUP(B27,'Türkkep Jira'!B:F,5,0)</f>
        <v>#N/A</v>
      </c>
      <c r="G27" t="str">
        <f>IF(IFERROR(VLOOKUP(B27,'Devam Eden Sprint'!B:B,1,0),"-")=B27,"Devam Eden Sprint","-")</f>
        <v>-</v>
      </c>
      <c r="H27" t="str">
        <f>IF(IFERROR(VLOOKUP(B27,'Gelecek Sprint'!B:B,1,0),"-")=B27,"Gelecek Sprint","-")</f>
        <v>-</v>
      </c>
      <c r="I27" t="str">
        <f t="shared" si="0"/>
        <v>Ürün İş Listesi</v>
      </c>
      <c r="J27" s="5">
        <v>3</v>
      </c>
      <c r="P27" s="10" t="s">
        <v>5</v>
      </c>
      <c r="Q27" t="s">
        <v>1819</v>
      </c>
      <c r="AC27" t="s">
        <v>86</v>
      </c>
    </row>
    <row r="28" spans="1:48" x14ac:dyDescent="0.25">
      <c r="A28" t="s">
        <v>14</v>
      </c>
      <c r="B28" t="s">
        <v>87</v>
      </c>
      <c r="C28" t="s">
        <v>16</v>
      </c>
      <c r="D28" t="s">
        <v>88</v>
      </c>
      <c r="E28" s="5" t="s">
        <v>12</v>
      </c>
      <c r="F28" s="5" t="e">
        <f>VLOOKUP(B28,'Türkkep Jira'!B:F,5,0)</f>
        <v>#N/A</v>
      </c>
      <c r="G28" t="str">
        <f>IF(IFERROR(VLOOKUP(B28,'Devam Eden Sprint'!B:B,1,0),"-")=B28,"Devam Eden Sprint","-")</f>
        <v>-</v>
      </c>
      <c r="H28" t="str">
        <f>IF(IFERROR(VLOOKUP(B28,'Gelecek Sprint'!B:B,1,0),"-")=B28,"Gelecek Sprint","-")</f>
        <v>-</v>
      </c>
      <c r="I28" t="str">
        <f t="shared" si="0"/>
        <v>Ürün İş Listesi</v>
      </c>
      <c r="J28" s="5">
        <v>3</v>
      </c>
      <c r="AC28" s="10" t="s">
        <v>2</v>
      </c>
      <c r="AD28" t="s">
        <v>89</v>
      </c>
    </row>
    <row r="29" spans="1:48" x14ac:dyDescent="0.25">
      <c r="A29" t="s">
        <v>14</v>
      </c>
      <c r="B29" t="s">
        <v>90</v>
      </c>
      <c r="C29" t="s">
        <v>16</v>
      </c>
      <c r="D29" t="s">
        <v>91</v>
      </c>
      <c r="E29" s="5" t="s">
        <v>12</v>
      </c>
      <c r="F29" s="5" t="e">
        <f>VLOOKUP(B29,'Türkkep Jira'!B:F,5,0)</f>
        <v>#N/A</v>
      </c>
      <c r="G29" t="str">
        <f>IF(IFERROR(VLOOKUP(B29,'Devam Eden Sprint'!B:B,1,0),"-")=B29,"Devam Eden Sprint","-")</f>
        <v>-</v>
      </c>
      <c r="H29" t="str">
        <f>IF(IFERROR(VLOOKUP(B29,'Gelecek Sprint'!B:B,1,0),"-")=B29,"Gelecek Sprint","-")</f>
        <v>-</v>
      </c>
      <c r="I29" t="str">
        <f t="shared" si="0"/>
        <v>Ürün İş Listesi</v>
      </c>
      <c r="J29" s="5">
        <v>1</v>
      </c>
      <c r="P29" s="10" t="s">
        <v>20</v>
      </c>
      <c r="Q29" s="10" t="s">
        <v>21</v>
      </c>
    </row>
    <row r="30" spans="1:48" x14ac:dyDescent="0.25">
      <c r="A30" t="s">
        <v>14</v>
      </c>
      <c r="B30" t="s">
        <v>92</v>
      </c>
      <c r="C30" t="s">
        <v>16</v>
      </c>
      <c r="D30" t="s">
        <v>93</v>
      </c>
      <c r="E30" s="5" t="s">
        <v>12</v>
      </c>
      <c r="F30" s="5" t="e">
        <f>VLOOKUP(B30,'Türkkep Jira'!B:F,5,0)</f>
        <v>#N/A</v>
      </c>
      <c r="G30" t="str">
        <f>IF(IFERROR(VLOOKUP(B30,'Devam Eden Sprint'!B:B,1,0),"-")=B30,"Devam Eden Sprint","-")</f>
        <v>-</v>
      </c>
      <c r="H30" t="str">
        <f>IF(IFERROR(VLOOKUP(B30,'Gelecek Sprint'!B:B,1,0),"-")=B30,"Gelecek Sprint","-")</f>
        <v>-</v>
      </c>
      <c r="I30" t="str">
        <f t="shared" si="0"/>
        <v>Ürün İş Listesi</v>
      </c>
      <c r="J30" s="5">
        <v>8</v>
      </c>
      <c r="P30" s="10" t="s">
        <v>25</v>
      </c>
      <c r="Q30" s="5" t="s">
        <v>16</v>
      </c>
      <c r="R30" s="5" t="s">
        <v>26</v>
      </c>
      <c r="S30" s="5" t="s">
        <v>28</v>
      </c>
      <c r="T30" s="5" t="s">
        <v>10</v>
      </c>
      <c r="U30" s="5" t="s">
        <v>27</v>
      </c>
      <c r="V30" s="5" t="s">
        <v>94</v>
      </c>
      <c r="W30" t="s">
        <v>29</v>
      </c>
      <c r="Z30" s="8"/>
      <c r="AC30" s="10" t="s">
        <v>20</v>
      </c>
      <c r="AD30" s="10" t="s">
        <v>21</v>
      </c>
      <c r="AJ30" s="50" t="s">
        <v>95</v>
      </c>
      <c r="AK30" s="50"/>
      <c r="AQ30" s="10" t="s">
        <v>20</v>
      </c>
      <c r="AR30" s="10" t="s">
        <v>21</v>
      </c>
    </row>
    <row r="31" spans="1:48" x14ac:dyDescent="0.25">
      <c r="A31" t="s">
        <v>14</v>
      </c>
      <c r="B31" t="s">
        <v>96</v>
      </c>
      <c r="C31" t="s">
        <v>16</v>
      </c>
      <c r="D31" t="s">
        <v>97</v>
      </c>
      <c r="E31" s="5" t="s">
        <v>12</v>
      </c>
      <c r="F31" s="5" t="e">
        <f>VLOOKUP(B31,'Türkkep Jira'!B:F,5,0)</f>
        <v>#N/A</v>
      </c>
      <c r="G31" t="str">
        <f>IF(IFERROR(VLOOKUP(B31,'Devam Eden Sprint'!B:B,1,0),"-")=B31,"Devam Eden Sprint","-")</f>
        <v>-</v>
      </c>
      <c r="H31" t="str">
        <f>IF(IFERROR(VLOOKUP(B31,'Gelecek Sprint'!B:B,1,0),"-")=B31,"Gelecek Sprint","-")</f>
        <v>-</v>
      </c>
      <c r="I31" t="str">
        <f t="shared" si="0"/>
        <v>Ürün İş Listesi</v>
      </c>
      <c r="J31" s="5">
        <v>3</v>
      </c>
      <c r="P31" s="7" t="s">
        <v>12</v>
      </c>
      <c r="Q31" s="5">
        <v>128</v>
      </c>
      <c r="R31" s="5"/>
      <c r="S31" s="5">
        <v>5</v>
      </c>
      <c r="T31" s="5">
        <v>14</v>
      </c>
      <c r="U31" s="5">
        <v>5</v>
      </c>
      <c r="V31" s="5"/>
      <c r="W31" s="5">
        <v>152</v>
      </c>
      <c r="Z31" s="8">
        <f>Q31/W31</f>
        <v>0.84210526315789469</v>
      </c>
      <c r="AC31" s="10" t="s">
        <v>25</v>
      </c>
      <c r="AD31" t="s">
        <v>100</v>
      </c>
      <c r="AE31" t="s">
        <v>13</v>
      </c>
      <c r="AF31" t="s">
        <v>98</v>
      </c>
      <c r="AG31" t="s">
        <v>99</v>
      </c>
      <c r="AH31" t="s">
        <v>29</v>
      </c>
      <c r="AJ31" s="6" t="s">
        <v>101</v>
      </c>
      <c r="AK31" s="6" t="s">
        <v>99</v>
      </c>
      <c r="AQ31" s="10" t="s">
        <v>25</v>
      </c>
      <c r="AR31" t="s">
        <v>77</v>
      </c>
      <c r="AS31" t="s">
        <v>14</v>
      </c>
      <c r="AT31" t="s">
        <v>1379</v>
      </c>
      <c r="AU31" t="s">
        <v>3058</v>
      </c>
      <c r="AV31" t="s">
        <v>29</v>
      </c>
    </row>
    <row r="32" spans="1:48" x14ac:dyDescent="0.25">
      <c r="A32" t="s">
        <v>77</v>
      </c>
      <c r="B32" t="s">
        <v>102</v>
      </c>
      <c r="C32" t="s">
        <v>16</v>
      </c>
      <c r="D32" t="s">
        <v>103</v>
      </c>
      <c r="E32" s="5" t="s">
        <v>12</v>
      </c>
      <c r="F32" s="5" t="e">
        <f>VLOOKUP(B32,'Türkkep Jira'!B:F,5,0)</f>
        <v>#N/A</v>
      </c>
      <c r="G32" t="str">
        <f>IF(IFERROR(VLOOKUP(B32,'Devam Eden Sprint'!B:B,1,0),"-")=B32,"Devam Eden Sprint","-")</f>
        <v>-</v>
      </c>
      <c r="H32" t="str">
        <f>IF(IFERROR(VLOOKUP(B32,'Gelecek Sprint'!B:B,1,0),"-")=B32,"Gelecek Sprint","-")</f>
        <v>-</v>
      </c>
      <c r="I32" t="str">
        <f t="shared" si="0"/>
        <v>Ürün İş Listesi</v>
      </c>
      <c r="J32" s="5">
        <v>2</v>
      </c>
      <c r="P32" s="7" t="s">
        <v>35</v>
      </c>
      <c r="Q32" s="5">
        <v>26</v>
      </c>
      <c r="R32" s="5"/>
      <c r="S32" s="5"/>
      <c r="T32" s="5">
        <v>3</v>
      </c>
      <c r="U32" s="5"/>
      <c r="V32" s="5"/>
      <c r="W32" s="5">
        <v>29</v>
      </c>
      <c r="Z32" s="8">
        <f t="shared" ref="Z32:Z48" si="4">Q32/W32</f>
        <v>0.89655172413793105</v>
      </c>
      <c r="AC32" s="7" t="s">
        <v>12</v>
      </c>
      <c r="AD32">
        <v>172</v>
      </c>
      <c r="AE32">
        <v>5</v>
      </c>
      <c r="AF32">
        <v>20</v>
      </c>
      <c r="AG32">
        <v>5</v>
      </c>
      <c r="AH32">
        <v>202</v>
      </c>
      <c r="AJ32">
        <f>SUM(AD32:AE32)</f>
        <v>177</v>
      </c>
      <c r="AK32">
        <f>ROUNDUP(SUM(AE32:AF32),0)</f>
        <v>25</v>
      </c>
      <c r="AQ32" s="7" t="s">
        <v>12</v>
      </c>
      <c r="AR32" s="5">
        <v>10</v>
      </c>
      <c r="AS32" s="5">
        <v>192</v>
      </c>
      <c r="AT32" s="5"/>
      <c r="AU32" s="5"/>
      <c r="AV32" s="5">
        <v>202</v>
      </c>
    </row>
    <row r="33" spans="1:48" x14ac:dyDescent="0.25">
      <c r="A33" t="s">
        <v>14</v>
      </c>
      <c r="B33" t="s">
        <v>104</v>
      </c>
      <c r="C33" t="s">
        <v>16</v>
      </c>
      <c r="D33" t="s">
        <v>105</v>
      </c>
      <c r="E33" s="5" t="s">
        <v>12</v>
      </c>
      <c r="F33" s="5" t="e">
        <f>VLOOKUP(B33,'Türkkep Jira'!B:F,5,0)</f>
        <v>#N/A</v>
      </c>
      <c r="G33" t="str">
        <f>IF(IFERROR(VLOOKUP(B33,'Devam Eden Sprint'!B:B,1,0),"-")=B33,"Devam Eden Sprint","-")</f>
        <v>-</v>
      </c>
      <c r="H33" t="str">
        <f>IF(IFERROR(VLOOKUP(B33,'Gelecek Sprint'!B:B,1,0),"-")=B33,"Gelecek Sprint","-")</f>
        <v>-</v>
      </c>
      <c r="I33" t="str">
        <f t="shared" si="0"/>
        <v>Ürün İş Listesi</v>
      </c>
      <c r="J33" s="5">
        <v>3</v>
      </c>
      <c r="P33" s="7" t="s">
        <v>38</v>
      </c>
      <c r="Q33" s="5">
        <v>26</v>
      </c>
      <c r="R33" s="5"/>
      <c r="S33" s="5"/>
      <c r="T33" s="5"/>
      <c r="U33" s="5"/>
      <c r="V33" s="5"/>
      <c r="W33" s="5">
        <v>26</v>
      </c>
      <c r="Z33" s="8">
        <f t="shared" si="4"/>
        <v>1</v>
      </c>
      <c r="AC33" s="7" t="s">
        <v>35</v>
      </c>
      <c r="AD33">
        <v>30</v>
      </c>
      <c r="AH33">
        <v>30</v>
      </c>
      <c r="AJ33">
        <f t="shared" ref="AJ33:AJ49" si="5">SUM(AD33:AE33)</f>
        <v>30</v>
      </c>
      <c r="AK33">
        <f t="shared" ref="AK33:AK49" si="6">ROUNDUP(SUM(AE33:AF33),0)</f>
        <v>0</v>
      </c>
      <c r="AQ33" s="7" t="s">
        <v>35</v>
      </c>
      <c r="AR33" s="5">
        <v>11</v>
      </c>
      <c r="AS33" s="5">
        <v>19</v>
      </c>
      <c r="AT33" s="5"/>
      <c r="AU33" s="5"/>
      <c r="AV33" s="5">
        <v>30</v>
      </c>
    </row>
    <row r="34" spans="1:48" x14ac:dyDescent="0.25">
      <c r="A34" t="s">
        <v>14</v>
      </c>
      <c r="B34" t="s">
        <v>106</v>
      </c>
      <c r="C34" t="s">
        <v>16</v>
      </c>
      <c r="D34" t="s">
        <v>107</v>
      </c>
      <c r="E34" s="5" t="s">
        <v>12</v>
      </c>
      <c r="F34" s="5" t="e">
        <f>VLOOKUP(B34,'Türkkep Jira'!B:F,5,0)</f>
        <v>#N/A</v>
      </c>
      <c r="G34" t="str">
        <f>IF(IFERROR(VLOOKUP(B34,'Devam Eden Sprint'!B:B,1,0),"-")=B34,"Devam Eden Sprint","-")</f>
        <v>-</v>
      </c>
      <c r="H34" t="str">
        <f>IF(IFERROR(VLOOKUP(B34,'Gelecek Sprint'!B:B,1,0),"-")=B34,"Gelecek Sprint","-")</f>
        <v>-</v>
      </c>
      <c r="I34" t="str">
        <f t="shared" si="0"/>
        <v>Ürün İş Listesi</v>
      </c>
      <c r="J34" s="5">
        <v>3</v>
      </c>
      <c r="P34" s="7" t="s">
        <v>41</v>
      </c>
      <c r="Q34" s="5">
        <v>108</v>
      </c>
      <c r="R34" s="5"/>
      <c r="S34" s="5"/>
      <c r="T34" s="5">
        <v>19</v>
      </c>
      <c r="U34" s="5"/>
      <c r="V34" s="5"/>
      <c r="W34" s="5">
        <v>127</v>
      </c>
      <c r="Z34" s="8">
        <f t="shared" si="4"/>
        <v>0.85039370078740162</v>
      </c>
      <c r="AC34" s="7" t="s">
        <v>38</v>
      </c>
      <c r="AD34">
        <v>40</v>
      </c>
      <c r="AE34">
        <v>1</v>
      </c>
      <c r="AF34">
        <v>2</v>
      </c>
      <c r="AG34">
        <v>2</v>
      </c>
      <c r="AH34">
        <v>45</v>
      </c>
      <c r="AJ34">
        <f t="shared" si="5"/>
        <v>41</v>
      </c>
      <c r="AK34">
        <f t="shared" si="6"/>
        <v>3</v>
      </c>
      <c r="AQ34" s="7" t="s">
        <v>38</v>
      </c>
      <c r="AR34" s="5">
        <v>12</v>
      </c>
      <c r="AS34" s="5">
        <v>35</v>
      </c>
      <c r="AT34" s="5"/>
      <c r="AU34" s="5"/>
      <c r="AV34" s="5">
        <v>47</v>
      </c>
    </row>
    <row r="35" spans="1:48" x14ac:dyDescent="0.25">
      <c r="A35" t="s">
        <v>14</v>
      </c>
      <c r="B35" t="s">
        <v>108</v>
      </c>
      <c r="C35" t="s">
        <v>10</v>
      </c>
      <c r="D35" t="s">
        <v>109</v>
      </c>
      <c r="E35" s="5" t="s">
        <v>12</v>
      </c>
      <c r="F35" s="5" t="e">
        <f>VLOOKUP(B35,'Türkkep Jira'!B:F,5,0)</f>
        <v>#N/A</v>
      </c>
      <c r="G35" t="str">
        <f>IF(IFERROR(VLOOKUP(B35,'Devam Eden Sprint'!B:B,1,0),"-")=B35,"Devam Eden Sprint","-")</f>
        <v>-</v>
      </c>
      <c r="H35" t="str">
        <f>IF(IFERROR(VLOOKUP(B35,'Gelecek Sprint'!B:B,1,0),"-")=B35,"Gelecek Sprint","-")</f>
        <v>-</v>
      </c>
      <c r="I35" t="str">
        <f t="shared" si="0"/>
        <v>Ürün İş Listesi</v>
      </c>
      <c r="P35" s="7" t="s">
        <v>44</v>
      </c>
      <c r="Q35" s="5">
        <v>65</v>
      </c>
      <c r="R35" s="5">
        <v>1</v>
      </c>
      <c r="S35" s="5"/>
      <c r="T35" s="5">
        <v>7</v>
      </c>
      <c r="U35" s="5">
        <v>1</v>
      </c>
      <c r="V35" s="5"/>
      <c r="W35" s="5">
        <v>74</v>
      </c>
      <c r="Z35" s="8">
        <f t="shared" si="4"/>
        <v>0.8783783783783784</v>
      </c>
      <c r="AC35" s="7" t="s">
        <v>41</v>
      </c>
      <c r="AD35">
        <v>160</v>
      </c>
      <c r="AE35">
        <v>7</v>
      </c>
      <c r="AF35">
        <v>1</v>
      </c>
      <c r="AG35">
        <v>3</v>
      </c>
      <c r="AH35">
        <v>171</v>
      </c>
      <c r="AJ35">
        <f t="shared" si="5"/>
        <v>167</v>
      </c>
      <c r="AK35">
        <f t="shared" si="6"/>
        <v>8</v>
      </c>
      <c r="AQ35" s="7" t="s">
        <v>41</v>
      </c>
      <c r="AR35" s="5">
        <v>38</v>
      </c>
      <c r="AS35" s="5">
        <v>131</v>
      </c>
      <c r="AT35" s="5">
        <v>2</v>
      </c>
      <c r="AU35" s="5">
        <v>1</v>
      </c>
      <c r="AV35" s="5">
        <v>172</v>
      </c>
    </row>
    <row r="36" spans="1:48" x14ac:dyDescent="0.25">
      <c r="A36" t="s">
        <v>14</v>
      </c>
      <c r="B36" t="s">
        <v>110</v>
      </c>
      <c r="C36" t="s">
        <v>16</v>
      </c>
      <c r="D36" t="s">
        <v>111</v>
      </c>
      <c r="E36" s="5" t="s">
        <v>12</v>
      </c>
      <c r="F36" s="5" t="e">
        <f>VLOOKUP(B36,'Türkkep Jira'!B:F,5,0)</f>
        <v>#N/A</v>
      </c>
      <c r="G36" t="str">
        <f>IF(IFERROR(VLOOKUP(B36,'Devam Eden Sprint'!B:B,1,0),"-")=B36,"Devam Eden Sprint","-")</f>
        <v>-</v>
      </c>
      <c r="H36" t="str">
        <f>IF(IFERROR(VLOOKUP(B36,'Gelecek Sprint'!B:B,1,0),"-")=B36,"Gelecek Sprint","-")</f>
        <v>-</v>
      </c>
      <c r="I36" t="str">
        <f t="shared" si="0"/>
        <v>Ürün İş Listesi</v>
      </c>
      <c r="J36" s="5">
        <v>3</v>
      </c>
      <c r="P36" s="7" t="s">
        <v>47</v>
      </c>
      <c r="Q36" s="5">
        <v>42</v>
      </c>
      <c r="R36" s="5">
        <v>1</v>
      </c>
      <c r="S36" s="5"/>
      <c r="T36" s="5">
        <v>5</v>
      </c>
      <c r="U36" s="5"/>
      <c r="V36" s="5"/>
      <c r="W36" s="5">
        <v>48</v>
      </c>
      <c r="Z36" s="8">
        <f t="shared" si="4"/>
        <v>0.875</v>
      </c>
      <c r="AC36" s="7" t="s">
        <v>44</v>
      </c>
      <c r="AD36">
        <v>89</v>
      </c>
      <c r="AE36">
        <v>6</v>
      </c>
      <c r="AF36">
        <v>2</v>
      </c>
      <c r="AH36">
        <v>97</v>
      </c>
      <c r="AJ36">
        <f t="shared" si="5"/>
        <v>95</v>
      </c>
      <c r="AK36">
        <f t="shared" si="6"/>
        <v>8</v>
      </c>
      <c r="AQ36" s="7" t="s">
        <v>44</v>
      </c>
      <c r="AR36" s="5">
        <v>37</v>
      </c>
      <c r="AS36" s="5">
        <v>60</v>
      </c>
      <c r="AT36" s="5"/>
      <c r="AU36" s="5"/>
      <c r="AV36" s="5">
        <v>97</v>
      </c>
    </row>
    <row r="37" spans="1:48" x14ac:dyDescent="0.25">
      <c r="A37" t="s">
        <v>14</v>
      </c>
      <c r="B37" t="s">
        <v>112</v>
      </c>
      <c r="C37" t="s">
        <v>16</v>
      </c>
      <c r="D37" t="s">
        <v>113</v>
      </c>
      <c r="E37" s="5" t="s">
        <v>12</v>
      </c>
      <c r="F37" s="5" t="e">
        <f>VLOOKUP(B37,'Türkkep Jira'!B:F,5,0)</f>
        <v>#N/A</v>
      </c>
      <c r="G37" t="str">
        <f>IF(IFERROR(VLOOKUP(B37,'Devam Eden Sprint'!B:B,1,0),"-")=B37,"Devam Eden Sprint","-")</f>
        <v>-</v>
      </c>
      <c r="H37" t="str">
        <f>IF(IFERROR(VLOOKUP(B37,'Gelecek Sprint'!B:B,1,0),"-")=B37,"Gelecek Sprint","-")</f>
        <v>-</v>
      </c>
      <c r="I37" t="str">
        <f t="shared" si="0"/>
        <v>Ürün İş Listesi</v>
      </c>
      <c r="J37" s="5">
        <v>1</v>
      </c>
      <c r="P37" s="7" t="s">
        <v>50</v>
      </c>
      <c r="Q37" s="5">
        <v>48</v>
      </c>
      <c r="R37" s="5"/>
      <c r="S37" s="5"/>
      <c r="T37" s="5">
        <v>1</v>
      </c>
      <c r="U37" s="5"/>
      <c r="V37" s="5"/>
      <c r="W37" s="5">
        <v>49</v>
      </c>
      <c r="Z37" s="8">
        <f t="shared" si="4"/>
        <v>0.97959183673469385</v>
      </c>
      <c r="AC37" s="7" t="s">
        <v>47</v>
      </c>
      <c r="AD37">
        <v>49</v>
      </c>
      <c r="AF37">
        <v>4</v>
      </c>
      <c r="AH37">
        <v>53</v>
      </c>
      <c r="AJ37">
        <f t="shared" si="5"/>
        <v>49</v>
      </c>
      <c r="AK37">
        <f t="shared" si="6"/>
        <v>4</v>
      </c>
      <c r="AQ37" s="7" t="s">
        <v>47</v>
      </c>
      <c r="AR37" s="5">
        <v>7</v>
      </c>
      <c r="AS37" s="5">
        <v>46</v>
      </c>
      <c r="AT37" s="5"/>
      <c r="AU37" s="5"/>
      <c r="AV37" s="5">
        <v>53</v>
      </c>
    </row>
    <row r="38" spans="1:48" x14ac:dyDescent="0.25">
      <c r="A38" t="s">
        <v>14</v>
      </c>
      <c r="B38" t="s">
        <v>114</v>
      </c>
      <c r="C38" t="s">
        <v>16</v>
      </c>
      <c r="D38" t="s">
        <v>115</v>
      </c>
      <c r="E38" s="5" t="s">
        <v>12</v>
      </c>
      <c r="F38" s="5" t="e">
        <f>VLOOKUP(B38,'Türkkep Jira'!B:F,5,0)</f>
        <v>#N/A</v>
      </c>
      <c r="G38" t="str">
        <f>IF(IFERROR(VLOOKUP(B38,'Devam Eden Sprint'!B:B,1,0),"-")=B38,"Devam Eden Sprint","-")</f>
        <v>-</v>
      </c>
      <c r="H38" t="str">
        <f>IF(IFERROR(VLOOKUP(B38,'Gelecek Sprint'!B:B,1,0),"-")=B38,"Gelecek Sprint","-")</f>
        <v>-</v>
      </c>
      <c r="I38" t="str">
        <f t="shared" si="0"/>
        <v>Ürün İş Listesi</v>
      </c>
      <c r="P38" s="7" t="s">
        <v>53</v>
      </c>
      <c r="Q38" s="5">
        <v>82</v>
      </c>
      <c r="R38" s="5"/>
      <c r="S38" s="5"/>
      <c r="T38" s="5">
        <v>8</v>
      </c>
      <c r="U38" s="5"/>
      <c r="V38" s="5"/>
      <c r="W38" s="5">
        <v>90</v>
      </c>
      <c r="Z38" s="8">
        <f t="shared" si="4"/>
        <v>0.91111111111111109</v>
      </c>
      <c r="AC38" s="7" t="s">
        <v>50</v>
      </c>
      <c r="AD38">
        <v>63</v>
      </c>
      <c r="AE38">
        <v>2</v>
      </c>
      <c r="AF38">
        <v>5</v>
      </c>
      <c r="AG38">
        <v>1</v>
      </c>
      <c r="AH38">
        <v>71</v>
      </c>
      <c r="AJ38">
        <f t="shared" si="5"/>
        <v>65</v>
      </c>
      <c r="AK38">
        <f t="shared" si="6"/>
        <v>7</v>
      </c>
      <c r="AQ38" s="7" t="s">
        <v>50</v>
      </c>
      <c r="AR38" s="5">
        <v>18</v>
      </c>
      <c r="AS38" s="5">
        <v>50</v>
      </c>
      <c r="AT38" s="5">
        <v>3</v>
      </c>
      <c r="AU38" s="5"/>
      <c r="AV38" s="5">
        <v>71</v>
      </c>
    </row>
    <row r="39" spans="1:48" x14ac:dyDescent="0.25">
      <c r="A39" t="s">
        <v>14</v>
      </c>
      <c r="B39" t="s">
        <v>116</v>
      </c>
      <c r="C39" t="s">
        <v>16</v>
      </c>
      <c r="D39" t="s">
        <v>117</v>
      </c>
      <c r="E39" s="5" t="s">
        <v>12</v>
      </c>
      <c r="F39" s="5" t="e">
        <f>VLOOKUP(B39,'Türkkep Jira'!B:F,5,0)</f>
        <v>#N/A</v>
      </c>
      <c r="G39" t="str">
        <f>IF(IFERROR(VLOOKUP(B39,'Devam Eden Sprint'!B:B,1,0),"-")=B39,"Devam Eden Sprint","-")</f>
        <v>-</v>
      </c>
      <c r="H39" t="str">
        <f>IF(IFERROR(VLOOKUP(B39,'Gelecek Sprint'!B:B,1,0),"-")=B39,"Gelecek Sprint","-")</f>
        <v>-</v>
      </c>
      <c r="I39" t="str">
        <f t="shared" si="0"/>
        <v>Ürün İş Listesi</v>
      </c>
      <c r="P39" s="7" t="s">
        <v>56</v>
      </c>
      <c r="Q39" s="5">
        <v>96</v>
      </c>
      <c r="R39" s="5">
        <v>1</v>
      </c>
      <c r="S39" s="5"/>
      <c r="T39" s="5">
        <v>10</v>
      </c>
      <c r="U39" s="5">
        <v>2</v>
      </c>
      <c r="V39" s="5">
        <v>1</v>
      </c>
      <c r="W39" s="5">
        <v>110</v>
      </c>
      <c r="Z39" s="8">
        <f t="shared" si="4"/>
        <v>0.87272727272727268</v>
      </c>
      <c r="AC39" s="7" t="s">
        <v>53</v>
      </c>
      <c r="AD39">
        <v>125</v>
      </c>
      <c r="AE39">
        <v>5</v>
      </c>
      <c r="AF39">
        <v>3</v>
      </c>
      <c r="AH39">
        <v>133</v>
      </c>
      <c r="AJ39">
        <f t="shared" si="5"/>
        <v>130</v>
      </c>
      <c r="AK39">
        <f t="shared" si="6"/>
        <v>8</v>
      </c>
      <c r="AQ39" s="7" t="s">
        <v>53</v>
      </c>
      <c r="AR39" s="5">
        <v>27</v>
      </c>
      <c r="AS39" s="5">
        <v>103</v>
      </c>
      <c r="AT39" s="5">
        <v>3</v>
      </c>
      <c r="AU39" s="5"/>
      <c r="AV39" s="5">
        <v>133</v>
      </c>
    </row>
    <row r="40" spans="1:48" x14ac:dyDescent="0.25">
      <c r="A40" t="s">
        <v>14</v>
      </c>
      <c r="B40" t="s">
        <v>118</v>
      </c>
      <c r="C40" t="s">
        <v>16</v>
      </c>
      <c r="D40" t="s">
        <v>119</v>
      </c>
      <c r="E40" s="5" t="s">
        <v>12</v>
      </c>
      <c r="F40" s="5" t="e">
        <f>VLOOKUP(B40,'Türkkep Jira'!B:F,5,0)</f>
        <v>#N/A</v>
      </c>
      <c r="G40" t="str">
        <f>IF(IFERROR(VLOOKUP(B40,'Devam Eden Sprint'!B:B,1,0),"-")=B40,"Devam Eden Sprint","-")</f>
        <v>-</v>
      </c>
      <c r="H40" t="str">
        <f>IF(IFERROR(VLOOKUP(B40,'Gelecek Sprint'!B:B,1,0),"-")=B40,"Gelecek Sprint","-")</f>
        <v>-</v>
      </c>
      <c r="I40" t="str">
        <f t="shared" si="0"/>
        <v>Ürün İş Listesi</v>
      </c>
      <c r="P40" s="7" t="s">
        <v>59</v>
      </c>
      <c r="Q40" s="5">
        <v>41</v>
      </c>
      <c r="R40" s="5"/>
      <c r="S40" s="5"/>
      <c r="T40" s="5"/>
      <c r="U40" s="5"/>
      <c r="V40" s="5"/>
      <c r="W40" s="5">
        <v>41</v>
      </c>
      <c r="Z40" s="8">
        <f t="shared" si="4"/>
        <v>1</v>
      </c>
      <c r="AC40" s="7" t="s">
        <v>56</v>
      </c>
      <c r="AD40">
        <v>136</v>
      </c>
      <c r="AE40">
        <v>6</v>
      </c>
      <c r="AF40">
        <v>1</v>
      </c>
      <c r="AG40">
        <v>1</v>
      </c>
      <c r="AH40">
        <v>144</v>
      </c>
      <c r="AJ40">
        <f t="shared" si="5"/>
        <v>142</v>
      </c>
      <c r="AK40">
        <f t="shared" si="6"/>
        <v>7</v>
      </c>
      <c r="AQ40" s="7" t="s">
        <v>56</v>
      </c>
      <c r="AR40" s="5">
        <v>63</v>
      </c>
      <c r="AS40" s="5">
        <v>81</v>
      </c>
      <c r="AT40" s="5"/>
      <c r="AU40" s="5"/>
      <c r="AV40" s="5">
        <v>144</v>
      </c>
    </row>
    <row r="41" spans="1:48" x14ac:dyDescent="0.25">
      <c r="A41" t="s">
        <v>14</v>
      </c>
      <c r="B41" t="s">
        <v>120</v>
      </c>
      <c r="C41" t="s">
        <v>16</v>
      </c>
      <c r="D41" t="s">
        <v>121</v>
      </c>
      <c r="E41" s="5" t="s">
        <v>12</v>
      </c>
      <c r="F41" s="5" t="e">
        <f>VLOOKUP(B41,'Türkkep Jira'!B:F,5,0)</f>
        <v>#N/A</v>
      </c>
      <c r="G41" t="str">
        <f>IF(IFERROR(VLOOKUP(B41,'Devam Eden Sprint'!B:B,1,0),"-")=B41,"Devam Eden Sprint","-")</f>
        <v>-</v>
      </c>
      <c r="H41" t="str">
        <f>IF(IFERROR(VLOOKUP(B41,'Gelecek Sprint'!B:B,1,0),"-")=B41,"Gelecek Sprint","-")</f>
        <v>-</v>
      </c>
      <c r="I41" t="str">
        <f t="shared" si="0"/>
        <v>Ürün İş Listesi</v>
      </c>
      <c r="J41" s="5">
        <v>1</v>
      </c>
      <c r="P41" s="7" t="s">
        <v>62</v>
      </c>
      <c r="Q41" s="5">
        <v>25</v>
      </c>
      <c r="R41" s="5"/>
      <c r="S41" s="5"/>
      <c r="T41" s="5">
        <v>2</v>
      </c>
      <c r="U41" s="5"/>
      <c r="V41" s="5"/>
      <c r="W41" s="5">
        <v>27</v>
      </c>
      <c r="Z41" s="8">
        <f t="shared" si="4"/>
        <v>0.92592592592592593</v>
      </c>
      <c r="AC41" s="7" t="s">
        <v>59</v>
      </c>
      <c r="AD41">
        <v>55</v>
      </c>
      <c r="AG41">
        <v>1</v>
      </c>
      <c r="AH41">
        <v>56</v>
      </c>
      <c r="AJ41">
        <f t="shared" si="5"/>
        <v>55</v>
      </c>
      <c r="AK41">
        <f t="shared" si="6"/>
        <v>0</v>
      </c>
      <c r="AQ41" s="7" t="s">
        <v>59</v>
      </c>
      <c r="AR41" s="5">
        <v>17</v>
      </c>
      <c r="AS41" s="5">
        <v>39</v>
      </c>
      <c r="AT41" s="5"/>
      <c r="AU41" s="5"/>
      <c r="AV41" s="5">
        <v>56</v>
      </c>
    </row>
    <row r="42" spans="1:48" x14ac:dyDescent="0.25">
      <c r="A42" t="s">
        <v>14</v>
      </c>
      <c r="B42" t="s">
        <v>122</v>
      </c>
      <c r="C42" t="s">
        <v>10</v>
      </c>
      <c r="D42" t="s">
        <v>123</v>
      </c>
      <c r="E42" s="5" t="s">
        <v>12</v>
      </c>
      <c r="F42" s="5" t="e">
        <f>VLOOKUP(B42,'Türkkep Jira'!B:F,5,0)</f>
        <v>#N/A</v>
      </c>
      <c r="G42" t="str">
        <f>IF(IFERROR(VLOOKUP(B42,'Devam Eden Sprint'!B:B,1,0),"-")=B42,"Devam Eden Sprint","-")</f>
        <v>-</v>
      </c>
      <c r="H42" t="str">
        <f>IF(IFERROR(VLOOKUP(B42,'Gelecek Sprint'!B:B,1,0),"-")=B42,"Gelecek Sprint","-")</f>
        <v>-</v>
      </c>
      <c r="I42" t="str">
        <f t="shared" si="0"/>
        <v>Ürün İş Listesi</v>
      </c>
      <c r="J42" s="5">
        <v>5</v>
      </c>
      <c r="P42" s="7" t="s">
        <v>124</v>
      </c>
      <c r="Q42" s="5">
        <v>9</v>
      </c>
      <c r="R42" s="5"/>
      <c r="S42" s="5"/>
      <c r="T42" s="5">
        <v>1</v>
      </c>
      <c r="U42" s="5"/>
      <c r="V42" s="5"/>
      <c r="W42" s="5">
        <v>10</v>
      </c>
      <c r="Z42" s="8">
        <f t="shared" si="4"/>
        <v>0.9</v>
      </c>
      <c r="AC42" s="7" t="s">
        <v>62</v>
      </c>
      <c r="AD42">
        <v>28</v>
      </c>
      <c r="AG42">
        <v>1</v>
      </c>
      <c r="AH42">
        <v>29</v>
      </c>
      <c r="AJ42">
        <f t="shared" si="5"/>
        <v>28</v>
      </c>
      <c r="AK42">
        <f t="shared" si="6"/>
        <v>0</v>
      </c>
      <c r="AQ42" s="7" t="s">
        <v>62</v>
      </c>
      <c r="AR42" s="5">
        <v>10</v>
      </c>
      <c r="AS42" s="5">
        <v>27</v>
      </c>
      <c r="AT42" s="5"/>
      <c r="AU42" s="5"/>
      <c r="AV42" s="5">
        <v>37</v>
      </c>
    </row>
    <row r="43" spans="1:48" x14ac:dyDescent="0.25">
      <c r="A43" t="s">
        <v>14</v>
      </c>
      <c r="B43" t="s">
        <v>125</v>
      </c>
      <c r="C43" t="s">
        <v>16</v>
      </c>
      <c r="D43" t="s">
        <v>126</v>
      </c>
      <c r="E43" s="5" t="s">
        <v>12</v>
      </c>
      <c r="F43" s="5" t="e">
        <f>VLOOKUP(B43,'Türkkep Jira'!B:F,5,0)</f>
        <v>#N/A</v>
      </c>
      <c r="G43" t="str">
        <f>IF(IFERROR(VLOOKUP(B43,'Devam Eden Sprint'!B:B,1,0),"-")=B43,"Devam Eden Sprint","-")</f>
        <v>-</v>
      </c>
      <c r="H43" t="str">
        <f>IF(IFERROR(VLOOKUP(B43,'Gelecek Sprint'!B:B,1,0),"-")=B43,"Gelecek Sprint","-")</f>
        <v>-</v>
      </c>
      <c r="I43" t="str">
        <f t="shared" si="0"/>
        <v>Ürün İş Listesi</v>
      </c>
      <c r="J43" s="5">
        <v>1</v>
      </c>
      <c r="P43" s="7" t="s">
        <v>127</v>
      </c>
      <c r="Q43" s="5">
        <v>49</v>
      </c>
      <c r="R43" s="5"/>
      <c r="S43" s="5"/>
      <c r="T43" s="5">
        <v>3</v>
      </c>
      <c r="U43" s="5"/>
      <c r="V43" s="5"/>
      <c r="W43" s="5">
        <v>52</v>
      </c>
      <c r="Z43" s="8">
        <f t="shared" si="4"/>
        <v>0.94230769230769229</v>
      </c>
      <c r="AC43" s="7" t="s">
        <v>124</v>
      </c>
      <c r="AD43">
        <v>11</v>
      </c>
      <c r="AH43">
        <v>11</v>
      </c>
      <c r="AJ43">
        <f t="shared" si="5"/>
        <v>11</v>
      </c>
      <c r="AK43">
        <f t="shared" si="6"/>
        <v>0</v>
      </c>
      <c r="AQ43" s="7" t="s">
        <v>124</v>
      </c>
      <c r="AR43" s="5"/>
      <c r="AS43" s="5">
        <v>11</v>
      </c>
      <c r="AT43" s="5"/>
      <c r="AU43" s="5"/>
      <c r="AV43" s="5">
        <v>11</v>
      </c>
    </row>
    <row r="44" spans="1:48" x14ac:dyDescent="0.25">
      <c r="A44" t="s">
        <v>14</v>
      </c>
      <c r="B44" t="s">
        <v>128</v>
      </c>
      <c r="C44" t="s">
        <v>16</v>
      </c>
      <c r="D44" t="s">
        <v>129</v>
      </c>
      <c r="E44" s="5" t="s">
        <v>12</v>
      </c>
      <c r="F44" s="5" t="e">
        <f>VLOOKUP(B44,'Türkkep Jira'!B:F,5,0)</f>
        <v>#N/A</v>
      </c>
      <c r="G44" t="str">
        <f>IF(IFERROR(VLOOKUP(B44,'Devam Eden Sprint'!B:B,1,0),"-")=B44,"Devam Eden Sprint","-")</f>
        <v>-</v>
      </c>
      <c r="H44" t="str">
        <f>IF(IFERROR(VLOOKUP(B44,'Gelecek Sprint'!B:B,1,0),"-")=B44,"Gelecek Sprint","-")</f>
        <v>-</v>
      </c>
      <c r="I44" t="str">
        <f t="shared" si="0"/>
        <v>Ürün İş Listesi</v>
      </c>
      <c r="J44" s="5">
        <v>1</v>
      </c>
      <c r="P44" s="7" t="s">
        <v>130</v>
      </c>
      <c r="Q44" s="5">
        <v>5</v>
      </c>
      <c r="R44" s="5">
        <v>1</v>
      </c>
      <c r="S44" s="5"/>
      <c r="T44" s="5"/>
      <c r="U44" s="5"/>
      <c r="V44" s="5"/>
      <c r="W44" s="5">
        <v>6</v>
      </c>
      <c r="Z44" s="8">
        <f t="shared" si="4"/>
        <v>0.83333333333333337</v>
      </c>
      <c r="AC44" s="7" t="s">
        <v>127</v>
      </c>
      <c r="AD44">
        <v>62</v>
      </c>
      <c r="AH44">
        <v>62</v>
      </c>
      <c r="AJ44">
        <f t="shared" si="5"/>
        <v>62</v>
      </c>
      <c r="AK44">
        <f t="shared" si="6"/>
        <v>0</v>
      </c>
      <c r="AQ44" s="7" t="s">
        <v>127</v>
      </c>
      <c r="AR44" s="5">
        <v>6</v>
      </c>
      <c r="AS44" s="5">
        <v>56</v>
      </c>
      <c r="AT44" s="5"/>
      <c r="AU44" s="5"/>
      <c r="AV44" s="5">
        <v>62</v>
      </c>
    </row>
    <row r="45" spans="1:48" x14ac:dyDescent="0.25">
      <c r="A45" t="s">
        <v>14</v>
      </c>
      <c r="B45" t="s">
        <v>131</v>
      </c>
      <c r="C45" t="s">
        <v>16</v>
      </c>
      <c r="D45" t="s">
        <v>132</v>
      </c>
      <c r="E45" s="5" t="s">
        <v>12</v>
      </c>
      <c r="F45" s="5" t="e">
        <f>VLOOKUP(B45,'Türkkep Jira'!B:F,5,0)</f>
        <v>#N/A</v>
      </c>
      <c r="G45" t="str">
        <f>IF(IFERROR(VLOOKUP(B45,'Devam Eden Sprint'!B:B,1,0),"-")=B45,"Devam Eden Sprint","-")</f>
        <v>-</v>
      </c>
      <c r="H45" t="str">
        <f>IF(IFERROR(VLOOKUP(B45,'Gelecek Sprint'!B:B,1,0),"-")=B45,"Gelecek Sprint","-")</f>
        <v>-</v>
      </c>
      <c r="I45" t="str">
        <f t="shared" si="0"/>
        <v>Ürün İş Listesi</v>
      </c>
      <c r="J45" s="5">
        <v>1</v>
      </c>
      <c r="P45" s="7" t="s">
        <v>133</v>
      </c>
      <c r="Q45" s="5">
        <v>10</v>
      </c>
      <c r="R45" s="5"/>
      <c r="S45" s="5"/>
      <c r="T45" s="5"/>
      <c r="U45" s="5"/>
      <c r="V45" s="5"/>
      <c r="W45" s="5">
        <v>10</v>
      </c>
      <c r="Z45" s="8">
        <f t="shared" si="4"/>
        <v>1</v>
      </c>
      <c r="AC45" s="7" t="s">
        <v>130</v>
      </c>
      <c r="AD45">
        <v>6</v>
      </c>
      <c r="AH45">
        <v>6</v>
      </c>
      <c r="AJ45">
        <f t="shared" si="5"/>
        <v>6</v>
      </c>
      <c r="AK45">
        <f t="shared" si="6"/>
        <v>0</v>
      </c>
      <c r="AQ45" s="7" t="s">
        <v>130</v>
      </c>
      <c r="AR45" s="5">
        <v>1</v>
      </c>
      <c r="AS45" s="5">
        <v>5</v>
      </c>
      <c r="AT45" s="5"/>
      <c r="AU45" s="5"/>
      <c r="AV45" s="5">
        <v>6</v>
      </c>
    </row>
    <row r="46" spans="1:48" x14ac:dyDescent="0.25">
      <c r="A46" t="s">
        <v>14</v>
      </c>
      <c r="B46" t="s">
        <v>134</v>
      </c>
      <c r="C46" t="s">
        <v>16</v>
      </c>
      <c r="D46" t="s">
        <v>135</v>
      </c>
      <c r="E46" s="5" t="s">
        <v>12</v>
      </c>
      <c r="F46" s="5" t="e">
        <f>VLOOKUP(B46,'Türkkep Jira'!B:F,5,0)</f>
        <v>#N/A</v>
      </c>
      <c r="G46" t="str">
        <f>IF(IFERROR(VLOOKUP(B46,'Devam Eden Sprint'!B:B,1,0),"-")=B46,"Devam Eden Sprint","-")</f>
        <v>-</v>
      </c>
      <c r="H46" t="str">
        <f>IF(IFERROR(VLOOKUP(B46,'Gelecek Sprint'!B:B,1,0),"-")=B46,"Gelecek Sprint","-")</f>
        <v>-</v>
      </c>
      <c r="I46" t="str">
        <f t="shared" si="0"/>
        <v>Ürün İş Listesi</v>
      </c>
      <c r="J46" s="5">
        <v>1</v>
      </c>
      <c r="P46" s="7" t="s">
        <v>136</v>
      </c>
      <c r="Q46" s="5">
        <v>8</v>
      </c>
      <c r="R46" s="5"/>
      <c r="S46" s="5"/>
      <c r="T46" s="5"/>
      <c r="U46" s="5"/>
      <c r="V46" s="5"/>
      <c r="W46" s="5">
        <v>8</v>
      </c>
      <c r="Z46" s="8">
        <f t="shared" si="4"/>
        <v>1</v>
      </c>
      <c r="AC46" s="7" t="s">
        <v>133</v>
      </c>
      <c r="AD46">
        <v>10</v>
      </c>
      <c r="AH46">
        <v>10</v>
      </c>
      <c r="AJ46">
        <f t="shared" si="5"/>
        <v>10</v>
      </c>
      <c r="AK46">
        <f t="shared" si="6"/>
        <v>0</v>
      </c>
      <c r="AQ46" s="7" t="s">
        <v>133</v>
      </c>
      <c r="AR46" s="5"/>
      <c r="AS46" s="5">
        <v>10</v>
      </c>
      <c r="AT46" s="5"/>
      <c r="AU46" s="5"/>
      <c r="AV46" s="5">
        <v>10</v>
      </c>
    </row>
    <row r="47" spans="1:48" x14ac:dyDescent="0.25">
      <c r="A47" t="s">
        <v>14</v>
      </c>
      <c r="B47" t="s">
        <v>137</v>
      </c>
      <c r="C47" t="s">
        <v>16</v>
      </c>
      <c r="D47" t="s">
        <v>138</v>
      </c>
      <c r="E47" s="5" t="s">
        <v>12</v>
      </c>
      <c r="F47" s="5" t="e">
        <f>VLOOKUP(B47,'Türkkep Jira'!B:F,5,0)</f>
        <v>#N/A</v>
      </c>
      <c r="G47" t="str">
        <f>IF(IFERROR(VLOOKUP(B47,'Devam Eden Sprint'!B:B,1,0),"-")=B47,"Devam Eden Sprint","-")</f>
        <v>-</v>
      </c>
      <c r="H47" t="str">
        <f>IF(IFERROR(VLOOKUP(B47,'Gelecek Sprint'!B:B,1,0),"-")=B47,"Gelecek Sprint","-")</f>
        <v>-</v>
      </c>
      <c r="I47" t="str">
        <f t="shared" si="0"/>
        <v>Ürün İş Listesi</v>
      </c>
      <c r="J47" s="5">
        <v>1</v>
      </c>
      <c r="P47" s="7" t="s">
        <v>1844</v>
      </c>
      <c r="Q47" s="5">
        <v>9</v>
      </c>
      <c r="R47" s="5">
        <v>1</v>
      </c>
      <c r="S47" s="5"/>
      <c r="T47" s="5">
        <v>1</v>
      </c>
      <c r="U47" s="5"/>
      <c r="V47" s="5"/>
      <c r="W47" s="5">
        <v>11</v>
      </c>
      <c r="Z47" s="8">
        <f t="shared" si="4"/>
        <v>0.81818181818181823</v>
      </c>
      <c r="AC47" s="7" t="s">
        <v>1844</v>
      </c>
      <c r="AD47">
        <v>13</v>
      </c>
      <c r="AH47">
        <v>13</v>
      </c>
      <c r="AJ47">
        <f t="shared" si="5"/>
        <v>13</v>
      </c>
      <c r="AK47">
        <f t="shared" si="6"/>
        <v>0</v>
      </c>
      <c r="AQ47" s="7" t="s">
        <v>1844</v>
      </c>
      <c r="AR47" s="5">
        <v>2</v>
      </c>
      <c r="AS47" s="5">
        <v>11</v>
      </c>
      <c r="AT47" s="5"/>
      <c r="AU47" s="5"/>
      <c r="AV47" s="5">
        <v>13</v>
      </c>
    </row>
    <row r="48" spans="1:48" x14ac:dyDescent="0.25">
      <c r="A48" t="s">
        <v>14</v>
      </c>
      <c r="B48" t="s">
        <v>139</v>
      </c>
      <c r="C48" t="s">
        <v>16</v>
      </c>
      <c r="D48" t="s">
        <v>140</v>
      </c>
      <c r="E48" s="5" t="s">
        <v>12</v>
      </c>
      <c r="F48" s="5" t="e">
        <f>VLOOKUP(B48,'Türkkep Jira'!B:F,5,0)</f>
        <v>#N/A</v>
      </c>
      <c r="G48" t="str">
        <f>IF(IFERROR(VLOOKUP(B48,'Devam Eden Sprint'!B:B,1,0),"-")=B48,"Devam Eden Sprint","-")</f>
        <v>-</v>
      </c>
      <c r="H48" t="str">
        <f>IF(IFERROR(VLOOKUP(B48,'Gelecek Sprint'!B:B,1,0),"-")=B48,"Gelecek Sprint","-")</f>
        <v>-</v>
      </c>
      <c r="I48" t="str">
        <f t="shared" si="0"/>
        <v>Ürün İş Listesi</v>
      </c>
      <c r="J48" s="5">
        <v>1</v>
      </c>
      <c r="P48" s="7" t="s">
        <v>29</v>
      </c>
      <c r="Q48" s="5">
        <v>777</v>
      </c>
      <c r="R48" s="5">
        <v>5</v>
      </c>
      <c r="S48" s="5">
        <v>5</v>
      </c>
      <c r="T48" s="5">
        <v>74</v>
      </c>
      <c r="U48" s="5">
        <v>8</v>
      </c>
      <c r="V48" s="5">
        <v>1</v>
      </c>
      <c r="W48" s="5">
        <v>870</v>
      </c>
      <c r="Z48" s="8">
        <f t="shared" si="4"/>
        <v>0.89310344827586208</v>
      </c>
      <c r="AC48" s="7" t="s">
        <v>29</v>
      </c>
      <c r="AD48">
        <v>1049</v>
      </c>
      <c r="AE48">
        <v>32</v>
      </c>
      <c r="AF48">
        <v>38</v>
      </c>
      <c r="AG48">
        <v>14</v>
      </c>
      <c r="AH48">
        <v>1133</v>
      </c>
      <c r="AJ48">
        <f t="shared" si="5"/>
        <v>1081</v>
      </c>
      <c r="AK48">
        <f t="shared" si="6"/>
        <v>70</v>
      </c>
      <c r="AQ48" s="7" t="s">
        <v>29</v>
      </c>
      <c r="AR48" s="5">
        <v>259</v>
      </c>
      <c r="AS48" s="5">
        <v>876</v>
      </c>
      <c r="AT48" s="5">
        <v>8</v>
      </c>
      <c r="AU48" s="5">
        <v>1</v>
      </c>
      <c r="AV48" s="5">
        <v>1144</v>
      </c>
    </row>
    <row r="49" spans="1:37" x14ac:dyDescent="0.25">
      <c r="A49" t="s">
        <v>14</v>
      </c>
      <c r="B49" t="s">
        <v>141</v>
      </c>
      <c r="C49" t="s">
        <v>16</v>
      </c>
      <c r="D49" t="s">
        <v>142</v>
      </c>
      <c r="E49" s="5" t="s">
        <v>12</v>
      </c>
      <c r="F49" s="5" t="e">
        <f>VLOOKUP(B49,'Türkkep Jira'!B:F,5,0)</f>
        <v>#N/A</v>
      </c>
      <c r="G49" t="str">
        <f>IF(IFERROR(VLOOKUP(B49,'Devam Eden Sprint'!B:B,1,0),"-")=B49,"Devam Eden Sprint","-")</f>
        <v>-</v>
      </c>
      <c r="H49" t="str">
        <f>IF(IFERROR(VLOOKUP(B49,'Gelecek Sprint'!B:B,1,0),"-")=B49,"Gelecek Sprint","-")</f>
        <v>-</v>
      </c>
      <c r="I49" t="str">
        <f t="shared" si="0"/>
        <v>Ürün İş Listesi</v>
      </c>
      <c r="J49" s="5">
        <v>5</v>
      </c>
      <c r="AJ49">
        <f t="shared" si="5"/>
        <v>0</v>
      </c>
      <c r="AK49">
        <f t="shared" si="6"/>
        <v>0</v>
      </c>
    </row>
    <row r="50" spans="1:37" x14ac:dyDescent="0.25">
      <c r="A50" t="s">
        <v>14</v>
      </c>
      <c r="B50" t="s">
        <v>143</v>
      </c>
      <c r="C50" t="s">
        <v>16</v>
      </c>
      <c r="D50" t="s">
        <v>144</v>
      </c>
      <c r="E50" s="5" t="s">
        <v>12</v>
      </c>
      <c r="F50" s="5" t="e">
        <f>VLOOKUP(B50,'Türkkep Jira'!B:F,5,0)</f>
        <v>#N/A</v>
      </c>
      <c r="G50" t="str">
        <f>IF(IFERROR(VLOOKUP(B50,'Devam Eden Sprint'!B:B,1,0),"-")=B50,"Devam Eden Sprint","-")</f>
        <v>-</v>
      </c>
      <c r="H50" t="str">
        <f>IF(IFERROR(VLOOKUP(B50,'Gelecek Sprint'!B:B,1,0),"-")=B50,"Gelecek Sprint","-")</f>
        <v>-</v>
      </c>
      <c r="I50" t="str">
        <f t="shared" si="0"/>
        <v>Ürün İş Listesi</v>
      </c>
      <c r="J50" s="5">
        <v>2</v>
      </c>
    </row>
    <row r="51" spans="1:37" x14ac:dyDescent="0.25">
      <c r="A51" t="s">
        <v>14</v>
      </c>
      <c r="B51" t="s">
        <v>145</v>
      </c>
      <c r="C51" t="s">
        <v>16</v>
      </c>
      <c r="D51" t="s">
        <v>146</v>
      </c>
      <c r="E51" s="5" t="s">
        <v>12</v>
      </c>
      <c r="F51" s="5" t="e">
        <f>VLOOKUP(B51,'Türkkep Jira'!B:F,5,0)</f>
        <v>#N/A</v>
      </c>
      <c r="G51" t="str">
        <f>IF(IFERROR(VLOOKUP(B51,'Devam Eden Sprint'!B:B,1,0),"-")=B51,"Devam Eden Sprint","-")</f>
        <v>-</v>
      </c>
      <c r="H51" t="str">
        <f>IF(IFERROR(VLOOKUP(B51,'Gelecek Sprint'!B:B,1,0),"-")=B51,"Gelecek Sprint","-")</f>
        <v>-</v>
      </c>
      <c r="I51" t="str">
        <f t="shared" si="0"/>
        <v>Ürün İş Listesi</v>
      </c>
      <c r="J51" s="5">
        <v>3</v>
      </c>
    </row>
    <row r="52" spans="1:37" x14ac:dyDescent="0.25">
      <c r="A52" t="s">
        <v>14</v>
      </c>
      <c r="B52" t="s">
        <v>147</v>
      </c>
      <c r="C52" t="s">
        <v>16</v>
      </c>
      <c r="D52" t="s">
        <v>148</v>
      </c>
      <c r="E52" s="5" t="s">
        <v>12</v>
      </c>
      <c r="F52" s="5" t="e">
        <f>VLOOKUP(B52,'Türkkep Jira'!B:F,5,0)</f>
        <v>#N/A</v>
      </c>
      <c r="G52" t="str">
        <f>IF(IFERROR(VLOOKUP(B52,'Devam Eden Sprint'!B:B,1,0),"-")=B52,"Devam Eden Sprint","-")</f>
        <v>-</v>
      </c>
      <c r="H52" t="str">
        <f>IF(IFERROR(VLOOKUP(B52,'Gelecek Sprint'!B:B,1,0),"-")=B52,"Gelecek Sprint","-")</f>
        <v>-</v>
      </c>
      <c r="I52" t="str">
        <f t="shared" si="0"/>
        <v>Ürün İş Listesi</v>
      </c>
      <c r="J52" s="5">
        <v>2</v>
      </c>
    </row>
    <row r="53" spans="1:37" x14ac:dyDescent="0.25">
      <c r="A53" t="s">
        <v>14</v>
      </c>
      <c r="B53" t="s">
        <v>149</v>
      </c>
      <c r="C53" t="s">
        <v>16</v>
      </c>
      <c r="D53" t="s">
        <v>150</v>
      </c>
      <c r="E53" s="5" t="s">
        <v>12</v>
      </c>
      <c r="F53" s="5" t="e">
        <f>VLOOKUP(B53,'Türkkep Jira'!B:F,5,0)</f>
        <v>#N/A</v>
      </c>
      <c r="G53" t="str">
        <f>IF(IFERROR(VLOOKUP(B53,'Devam Eden Sprint'!B:B,1,0),"-")=B53,"Devam Eden Sprint","-")</f>
        <v>-</v>
      </c>
      <c r="H53" t="str">
        <f>IF(IFERROR(VLOOKUP(B53,'Gelecek Sprint'!B:B,1,0),"-")=B53,"Gelecek Sprint","-")</f>
        <v>-</v>
      </c>
      <c r="I53" t="str">
        <f t="shared" si="0"/>
        <v>Ürün İş Listesi</v>
      </c>
      <c r="J53" s="5">
        <v>1</v>
      </c>
    </row>
    <row r="54" spans="1:37" x14ac:dyDescent="0.25">
      <c r="A54" t="s">
        <v>14</v>
      </c>
      <c r="B54" t="s">
        <v>151</v>
      </c>
      <c r="C54" t="s">
        <v>16</v>
      </c>
      <c r="D54" t="s">
        <v>152</v>
      </c>
      <c r="E54" s="5" t="s">
        <v>12</v>
      </c>
      <c r="F54" s="5" t="e">
        <f>VLOOKUP(B54,'Türkkep Jira'!B:F,5,0)</f>
        <v>#N/A</v>
      </c>
      <c r="G54" t="str">
        <f>IF(IFERROR(VLOOKUP(B54,'Devam Eden Sprint'!B:B,1,0),"-")=B54,"Devam Eden Sprint","-")</f>
        <v>-</v>
      </c>
      <c r="H54" t="str">
        <f>IF(IFERROR(VLOOKUP(B54,'Gelecek Sprint'!B:B,1,0),"-")=B54,"Gelecek Sprint","-")</f>
        <v>-</v>
      </c>
      <c r="I54" t="str">
        <f t="shared" si="0"/>
        <v>Ürün İş Listesi</v>
      </c>
      <c r="J54" s="5">
        <v>2</v>
      </c>
    </row>
    <row r="55" spans="1:37" x14ac:dyDescent="0.25">
      <c r="A55" t="s">
        <v>14</v>
      </c>
      <c r="B55" t="s">
        <v>153</v>
      </c>
      <c r="C55" t="s">
        <v>16</v>
      </c>
      <c r="D55" t="s">
        <v>154</v>
      </c>
      <c r="E55" s="5" t="s">
        <v>12</v>
      </c>
      <c r="F55" s="5" t="e">
        <f>VLOOKUP(B55,'Türkkep Jira'!B:F,5,0)</f>
        <v>#N/A</v>
      </c>
      <c r="G55" t="str">
        <f>IF(IFERROR(VLOOKUP(B55,'Devam Eden Sprint'!B:B,1,0),"-")=B55,"Devam Eden Sprint","-")</f>
        <v>-</v>
      </c>
      <c r="H55" t="str">
        <f>IF(IFERROR(VLOOKUP(B55,'Gelecek Sprint'!B:B,1,0),"-")=B55,"Gelecek Sprint","-")</f>
        <v>-</v>
      </c>
      <c r="I55" t="str">
        <f t="shared" si="0"/>
        <v>Ürün İş Listesi</v>
      </c>
      <c r="J55" s="5">
        <v>1</v>
      </c>
    </row>
    <row r="56" spans="1:37" x14ac:dyDescent="0.25">
      <c r="A56" t="s">
        <v>14</v>
      </c>
      <c r="B56" t="s">
        <v>155</v>
      </c>
      <c r="C56" t="s">
        <v>16</v>
      </c>
      <c r="D56" t="s">
        <v>156</v>
      </c>
      <c r="E56" s="5" t="s">
        <v>12</v>
      </c>
      <c r="F56" s="5" t="e">
        <f>VLOOKUP(B56,'Türkkep Jira'!B:F,5,0)</f>
        <v>#N/A</v>
      </c>
      <c r="G56" t="str">
        <f>IF(IFERROR(VLOOKUP(B56,'Devam Eden Sprint'!B:B,1,0),"-")=B56,"Devam Eden Sprint","-")</f>
        <v>-</v>
      </c>
      <c r="H56" t="str">
        <f>IF(IFERROR(VLOOKUP(B56,'Gelecek Sprint'!B:B,1,0),"-")=B56,"Gelecek Sprint","-")</f>
        <v>-</v>
      </c>
      <c r="I56" t="str">
        <f t="shared" si="0"/>
        <v>Ürün İş Listesi</v>
      </c>
      <c r="J56" s="5">
        <v>2</v>
      </c>
    </row>
    <row r="57" spans="1:37" x14ac:dyDescent="0.25">
      <c r="A57" t="s">
        <v>14</v>
      </c>
      <c r="B57" t="s">
        <v>157</v>
      </c>
      <c r="C57" t="s">
        <v>16</v>
      </c>
      <c r="D57" t="s">
        <v>158</v>
      </c>
      <c r="E57" s="5" t="s">
        <v>12</v>
      </c>
      <c r="F57" s="5" t="e">
        <f>VLOOKUP(B57,'Türkkep Jira'!B:F,5,0)</f>
        <v>#N/A</v>
      </c>
      <c r="G57" t="str">
        <f>IF(IFERROR(VLOOKUP(B57,'Devam Eden Sprint'!B:B,1,0),"-")=B57,"Devam Eden Sprint","-")</f>
        <v>-</v>
      </c>
      <c r="H57" t="str">
        <f>IF(IFERROR(VLOOKUP(B57,'Gelecek Sprint'!B:B,1,0),"-")=B57,"Gelecek Sprint","-")</f>
        <v>-</v>
      </c>
      <c r="I57" t="str">
        <f t="shared" si="0"/>
        <v>Ürün İş Listesi</v>
      </c>
      <c r="J57" s="5">
        <v>3</v>
      </c>
    </row>
    <row r="58" spans="1:37" x14ac:dyDescent="0.25">
      <c r="A58" t="s">
        <v>14</v>
      </c>
      <c r="B58" t="s">
        <v>159</v>
      </c>
      <c r="C58" t="s">
        <v>16</v>
      </c>
      <c r="D58" t="s">
        <v>160</v>
      </c>
      <c r="E58" s="5" t="s">
        <v>12</v>
      </c>
      <c r="F58" s="5" t="e">
        <f>VLOOKUP(B58,'Türkkep Jira'!B:F,5,0)</f>
        <v>#N/A</v>
      </c>
      <c r="G58" t="str">
        <f>IF(IFERROR(VLOOKUP(B58,'Devam Eden Sprint'!B:B,1,0),"-")=B58,"Devam Eden Sprint","-")</f>
        <v>-</v>
      </c>
      <c r="H58" t="str">
        <f>IF(IFERROR(VLOOKUP(B58,'Gelecek Sprint'!B:B,1,0),"-")=B58,"Gelecek Sprint","-")</f>
        <v>-</v>
      </c>
      <c r="I58" t="str">
        <f t="shared" si="0"/>
        <v>Ürün İş Listesi</v>
      </c>
      <c r="J58" s="5">
        <v>1</v>
      </c>
    </row>
    <row r="59" spans="1:37" x14ac:dyDescent="0.25">
      <c r="A59" t="s">
        <v>14</v>
      </c>
      <c r="B59" t="s">
        <v>161</v>
      </c>
      <c r="C59" t="s">
        <v>16</v>
      </c>
      <c r="D59" t="s">
        <v>162</v>
      </c>
      <c r="E59" s="5" t="s">
        <v>12</v>
      </c>
      <c r="F59" s="5" t="e">
        <f>VLOOKUP(B59,'Türkkep Jira'!B:F,5,0)</f>
        <v>#N/A</v>
      </c>
      <c r="G59" t="str">
        <f>IF(IFERROR(VLOOKUP(B59,'Devam Eden Sprint'!B:B,1,0),"-")=B59,"Devam Eden Sprint","-")</f>
        <v>-</v>
      </c>
      <c r="H59" t="str">
        <f>IF(IFERROR(VLOOKUP(B59,'Gelecek Sprint'!B:B,1,0),"-")=B59,"Gelecek Sprint","-")</f>
        <v>-</v>
      </c>
      <c r="I59" t="str">
        <f t="shared" si="0"/>
        <v>Ürün İş Listesi</v>
      </c>
      <c r="J59" s="5">
        <v>1</v>
      </c>
    </row>
    <row r="60" spans="1:37" x14ac:dyDescent="0.25">
      <c r="A60" t="s">
        <v>14</v>
      </c>
      <c r="B60" t="s">
        <v>163</v>
      </c>
      <c r="C60" t="s">
        <v>16</v>
      </c>
      <c r="D60" t="s">
        <v>164</v>
      </c>
      <c r="E60" s="5" t="s">
        <v>35</v>
      </c>
      <c r="F60" s="5" t="e">
        <f>VLOOKUP(B60,'Türkkep Jira'!B:F,5,0)</f>
        <v>#N/A</v>
      </c>
      <c r="G60" t="str">
        <f>IF(IFERROR(VLOOKUP(B60,'Devam Eden Sprint'!B:B,1,0),"-")=B60,"Devam Eden Sprint","-")</f>
        <v>-</v>
      </c>
      <c r="H60" t="str">
        <f>IF(IFERROR(VLOOKUP(B60,'Gelecek Sprint'!B:B,1,0),"-")=B60,"Gelecek Sprint","-")</f>
        <v>-</v>
      </c>
      <c r="I60" t="str">
        <f t="shared" si="0"/>
        <v>Ürün İş Listesi</v>
      </c>
      <c r="J60" s="5">
        <v>2</v>
      </c>
    </row>
    <row r="61" spans="1:37" x14ac:dyDescent="0.25">
      <c r="A61" t="s">
        <v>77</v>
      </c>
      <c r="B61" t="s">
        <v>165</v>
      </c>
      <c r="C61" t="s">
        <v>16</v>
      </c>
      <c r="D61" t="s">
        <v>166</v>
      </c>
      <c r="E61" s="5" t="s">
        <v>35</v>
      </c>
      <c r="F61" s="5" t="e">
        <f>VLOOKUP(B61,'Türkkep Jira'!B:F,5,0)</f>
        <v>#N/A</v>
      </c>
      <c r="G61" t="str">
        <f>IF(IFERROR(VLOOKUP(B61,'Devam Eden Sprint'!B:B,1,0),"-")=B61,"Devam Eden Sprint","-")</f>
        <v>-</v>
      </c>
      <c r="H61" t="str">
        <f>IF(IFERROR(VLOOKUP(B61,'Gelecek Sprint'!B:B,1,0),"-")=B61,"Gelecek Sprint","-")</f>
        <v>-</v>
      </c>
      <c r="I61" t="str">
        <f t="shared" si="0"/>
        <v>Ürün İş Listesi</v>
      </c>
      <c r="J61" s="5">
        <v>2</v>
      </c>
    </row>
    <row r="62" spans="1:37" x14ac:dyDescent="0.25">
      <c r="A62" t="s">
        <v>14</v>
      </c>
      <c r="B62" t="s">
        <v>167</v>
      </c>
      <c r="C62" t="s">
        <v>16</v>
      </c>
      <c r="D62" t="s">
        <v>168</v>
      </c>
      <c r="E62" s="5" t="s">
        <v>35</v>
      </c>
      <c r="F62" s="5" t="e">
        <f>VLOOKUP(B62,'Türkkep Jira'!B:F,5,0)</f>
        <v>#N/A</v>
      </c>
      <c r="G62" t="str">
        <f>IF(IFERROR(VLOOKUP(B62,'Devam Eden Sprint'!B:B,1,0),"-")=B62,"Devam Eden Sprint","-")</f>
        <v>-</v>
      </c>
      <c r="H62" t="str">
        <f>IF(IFERROR(VLOOKUP(B62,'Gelecek Sprint'!B:B,1,0),"-")=B62,"Gelecek Sprint","-")</f>
        <v>-</v>
      </c>
      <c r="I62" t="str">
        <f t="shared" si="0"/>
        <v>Ürün İş Listesi</v>
      </c>
      <c r="J62" s="5">
        <v>2</v>
      </c>
    </row>
    <row r="63" spans="1:37" x14ac:dyDescent="0.25">
      <c r="A63" t="s">
        <v>14</v>
      </c>
      <c r="B63" t="s">
        <v>169</v>
      </c>
      <c r="C63" t="s">
        <v>16</v>
      </c>
      <c r="D63" t="s">
        <v>170</v>
      </c>
      <c r="E63" s="5" t="s">
        <v>35</v>
      </c>
      <c r="F63" s="5" t="e">
        <f>VLOOKUP(B63,'Türkkep Jira'!B:F,5,0)</f>
        <v>#N/A</v>
      </c>
      <c r="G63" t="str">
        <f>IF(IFERROR(VLOOKUP(B63,'Devam Eden Sprint'!B:B,1,0),"-")=B63,"Devam Eden Sprint","-")</f>
        <v>-</v>
      </c>
      <c r="H63" t="str">
        <f>IF(IFERROR(VLOOKUP(B63,'Gelecek Sprint'!B:B,1,0),"-")=B63,"Gelecek Sprint","-")</f>
        <v>-</v>
      </c>
      <c r="I63" t="str">
        <f t="shared" si="0"/>
        <v>Ürün İş Listesi</v>
      </c>
      <c r="J63" s="5">
        <v>2</v>
      </c>
    </row>
    <row r="64" spans="1:37" x14ac:dyDescent="0.25">
      <c r="A64" t="s">
        <v>14</v>
      </c>
      <c r="B64" t="s">
        <v>171</v>
      </c>
      <c r="C64" t="s">
        <v>16</v>
      </c>
      <c r="D64" t="s">
        <v>172</v>
      </c>
      <c r="E64" s="5" t="s">
        <v>35</v>
      </c>
      <c r="F64" s="5" t="e">
        <f>VLOOKUP(B64,'Türkkep Jira'!B:F,5,0)</f>
        <v>#N/A</v>
      </c>
      <c r="G64" t="str">
        <f>IF(IFERROR(VLOOKUP(B64,'Devam Eden Sprint'!B:B,1,0),"-")=B64,"Devam Eden Sprint","-")</f>
        <v>-</v>
      </c>
      <c r="H64" t="str">
        <f>IF(IFERROR(VLOOKUP(B64,'Gelecek Sprint'!B:B,1,0),"-")=B64,"Gelecek Sprint","-")</f>
        <v>-</v>
      </c>
      <c r="I64" t="str">
        <f t="shared" si="0"/>
        <v>Ürün İş Listesi</v>
      </c>
      <c r="J64" s="5">
        <v>5</v>
      </c>
    </row>
    <row r="65" spans="1:10" x14ac:dyDescent="0.25">
      <c r="A65" t="s">
        <v>14</v>
      </c>
      <c r="B65" t="s">
        <v>173</v>
      </c>
      <c r="C65" t="s">
        <v>16</v>
      </c>
      <c r="D65" t="s">
        <v>174</v>
      </c>
      <c r="E65" s="5" t="s">
        <v>35</v>
      </c>
      <c r="F65" s="5" t="e">
        <f>VLOOKUP(B65,'Türkkep Jira'!B:F,5,0)</f>
        <v>#N/A</v>
      </c>
      <c r="G65" t="str">
        <f>IF(IFERROR(VLOOKUP(B65,'Devam Eden Sprint'!B:B,1,0),"-")=B65,"Devam Eden Sprint","-")</f>
        <v>-</v>
      </c>
      <c r="H65" t="str">
        <f>IF(IFERROR(VLOOKUP(B65,'Gelecek Sprint'!B:B,1,0),"-")=B65,"Gelecek Sprint","-")</f>
        <v>-</v>
      </c>
      <c r="I65" t="str">
        <f t="shared" si="0"/>
        <v>Ürün İş Listesi</v>
      </c>
      <c r="J65" s="5">
        <v>2</v>
      </c>
    </row>
    <row r="66" spans="1:10" x14ac:dyDescent="0.25">
      <c r="A66" t="s">
        <v>14</v>
      </c>
      <c r="B66" t="s">
        <v>175</v>
      </c>
      <c r="C66" t="s">
        <v>16</v>
      </c>
      <c r="D66" t="s">
        <v>176</v>
      </c>
      <c r="E66" s="5" t="s">
        <v>35</v>
      </c>
      <c r="F66" s="5" t="e">
        <f>VLOOKUP(B66,'Türkkep Jira'!B:F,5,0)</f>
        <v>#N/A</v>
      </c>
      <c r="G66" t="str">
        <f>IF(IFERROR(VLOOKUP(B66,'Devam Eden Sprint'!B:B,1,0),"-")=B66,"Devam Eden Sprint","-")</f>
        <v>-</v>
      </c>
      <c r="H66" t="str">
        <f>IF(IFERROR(VLOOKUP(B66,'Gelecek Sprint'!B:B,1,0),"-")=B66,"Gelecek Sprint","-")</f>
        <v>-</v>
      </c>
      <c r="I66" t="str">
        <f t="shared" ref="I66:I129" si="7">IFERROR(IF(AND(G66="Devam Eden Sprint",H66="Gelecek Sprint"),"Devam Eden ve Gelecek Sprint",IF(G66="Devam Eden Sprint","Devam Eden Sprint",IF(H66="Gelecek Sprint","Gelecek Sprint","Ürün İş Listesi"))),"Ürün İş Listesi")</f>
        <v>Ürün İş Listesi</v>
      </c>
      <c r="J66" s="5">
        <v>2</v>
      </c>
    </row>
    <row r="67" spans="1:10" x14ac:dyDescent="0.25">
      <c r="A67" t="s">
        <v>14</v>
      </c>
      <c r="B67" t="s">
        <v>177</v>
      </c>
      <c r="C67" t="s">
        <v>16</v>
      </c>
      <c r="D67" t="s">
        <v>178</v>
      </c>
      <c r="E67" s="5" t="s">
        <v>35</v>
      </c>
      <c r="F67" s="5" t="e">
        <f>VLOOKUP(B67,'Türkkep Jira'!B:F,5,0)</f>
        <v>#N/A</v>
      </c>
      <c r="G67" t="str">
        <f>IF(IFERROR(VLOOKUP(B67,'Devam Eden Sprint'!B:B,1,0),"-")=B67,"Devam Eden Sprint","-")</f>
        <v>-</v>
      </c>
      <c r="H67" t="str">
        <f>IF(IFERROR(VLOOKUP(B67,'Gelecek Sprint'!B:B,1,0),"-")=B67,"Gelecek Sprint","-")</f>
        <v>-</v>
      </c>
      <c r="I67" t="str">
        <f t="shared" si="7"/>
        <v>Ürün İş Listesi</v>
      </c>
      <c r="J67" s="5">
        <v>2</v>
      </c>
    </row>
    <row r="68" spans="1:10" x14ac:dyDescent="0.25">
      <c r="A68" t="s">
        <v>14</v>
      </c>
      <c r="B68" t="s">
        <v>179</v>
      </c>
      <c r="C68" t="s">
        <v>16</v>
      </c>
      <c r="D68" t="s">
        <v>180</v>
      </c>
      <c r="E68" s="5" t="s">
        <v>133</v>
      </c>
      <c r="F68" s="5" t="e">
        <f>VLOOKUP(B68,'Türkkep Jira'!B:F,5,0)</f>
        <v>#N/A</v>
      </c>
      <c r="G68" t="str">
        <f>IF(IFERROR(VLOOKUP(B68,'Devam Eden Sprint'!B:B,1,0),"-")=B68,"Devam Eden Sprint","-")</f>
        <v>-</v>
      </c>
      <c r="H68" t="str">
        <f>IF(IFERROR(VLOOKUP(B68,'Gelecek Sprint'!B:B,1,0),"-")=B68,"Gelecek Sprint","-")</f>
        <v>-</v>
      </c>
      <c r="I68" t="str">
        <f t="shared" si="7"/>
        <v>Ürün İş Listesi</v>
      </c>
      <c r="J68" s="5">
        <v>3</v>
      </c>
    </row>
    <row r="69" spans="1:10" x14ac:dyDescent="0.25">
      <c r="A69" t="s">
        <v>14</v>
      </c>
      <c r="B69" t="s">
        <v>181</v>
      </c>
      <c r="C69" t="s">
        <v>16</v>
      </c>
      <c r="D69" t="s">
        <v>182</v>
      </c>
      <c r="E69" s="5" t="s">
        <v>38</v>
      </c>
      <c r="F69" s="5" t="e">
        <f>VLOOKUP(B69,'Türkkep Jira'!B:F,5,0)</f>
        <v>#N/A</v>
      </c>
      <c r="G69" t="str">
        <f>IF(IFERROR(VLOOKUP(B69,'Devam Eden Sprint'!B:B,1,0),"-")=B69,"Devam Eden Sprint","-")</f>
        <v>-</v>
      </c>
      <c r="H69" t="str">
        <f>IF(IFERROR(VLOOKUP(B69,'Gelecek Sprint'!B:B,1,0),"-")=B69,"Gelecek Sprint","-")</f>
        <v>-</v>
      </c>
      <c r="I69" t="str">
        <f t="shared" si="7"/>
        <v>Ürün İş Listesi</v>
      </c>
    </row>
    <row r="70" spans="1:10" x14ac:dyDescent="0.25">
      <c r="A70" t="s">
        <v>14</v>
      </c>
      <c r="B70" t="s">
        <v>183</v>
      </c>
      <c r="C70" t="s">
        <v>16</v>
      </c>
      <c r="D70" t="s">
        <v>184</v>
      </c>
      <c r="E70" s="5" t="s">
        <v>38</v>
      </c>
      <c r="F70" s="5" t="e">
        <f>VLOOKUP(B70,'Türkkep Jira'!B:F,5,0)</f>
        <v>#N/A</v>
      </c>
      <c r="G70" t="str">
        <f>IF(IFERROR(VLOOKUP(B70,'Devam Eden Sprint'!B:B,1,0),"-")=B70,"Devam Eden Sprint","-")</f>
        <v>-</v>
      </c>
      <c r="H70" t="str">
        <f>IF(IFERROR(VLOOKUP(B70,'Gelecek Sprint'!B:B,1,0),"-")=B70,"Gelecek Sprint","-")</f>
        <v>-</v>
      </c>
      <c r="I70" t="str">
        <f t="shared" si="7"/>
        <v>Ürün İş Listesi</v>
      </c>
    </row>
    <row r="71" spans="1:10" x14ac:dyDescent="0.25">
      <c r="A71" t="s">
        <v>14</v>
      </c>
      <c r="B71" t="s">
        <v>185</v>
      </c>
      <c r="C71" t="s">
        <v>16</v>
      </c>
      <c r="D71" t="s">
        <v>186</v>
      </c>
      <c r="E71" s="5" t="s">
        <v>38</v>
      </c>
      <c r="F71" s="5" t="e">
        <f>VLOOKUP(B71,'Türkkep Jira'!B:F,5,0)</f>
        <v>#N/A</v>
      </c>
      <c r="G71" t="str">
        <f>IF(IFERROR(VLOOKUP(B71,'Devam Eden Sprint'!B:B,1,0),"-")=B71,"Devam Eden Sprint","-")</f>
        <v>-</v>
      </c>
      <c r="H71" t="str">
        <f>IF(IFERROR(VLOOKUP(B71,'Gelecek Sprint'!B:B,1,0),"-")=B71,"Gelecek Sprint","-")</f>
        <v>-</v>
      </c>
      <c r="I71" t="str">
        <f t="shared" si="7"/>
        <v>Ürün İş Listesi</v>
      </c>
      <c r="J71" s="5">
        <v>3</v>
      </c>
    </row>
    <row r="72" spans="1:10" x14ac:dyDescent="0.25">
      <c r="A72" t="s">
        <v>14</v>
      </c>
      <c r="B72" t="s">
        <v>187</v>
      </c>
      <c r="C72" t="s">
        <v>16</v>
      </c>
      <c r="D72" t="s">
        <v>188</v>
      </c>
      <c r="E72" s="5" t="s">
        <v>38</v>
      </c>
      <c r="F72" s="5" t="e">
        <f>VLOOKUP(B72,'Türkkep Jira'!B:F,5,0)</f>
        <v>#N/A</v>
      </c>
      <c r="G72" t="str">
        <f>IF(IFERROR(VLOOKUP(B72,'Devam Eden Sprint'!B:B,1,0),"-")=B72,"Devam Eden Sprint","-")</f>
        <v>-</v>
      </c>
      <c r="H72" t="str">
        <f>IF(IFERROR(VLOOKUP(B72,'Gelecek Sprint'!B:B,1,0),"-")=B72,"Gelecek Sprint","-")</f>
        <v>-</v>
      </c>
      <c r="I72" t="str">
        <f t="shared" si="7"/>
        <v>Ürün İş Listesi</v>
      </c>
      <c r="J72" s="5">
        <v>2</v>
      </c>
    </row>
    <row r="73" spans="1:10" x14ac:dyDescent="0.25">
      <c r="A73" t="s">
        <v>14</v>
      </c>
      <c r="B73" t="s">
        <v>189</v>
      </c>
      <c r="C73" t="s">
        <v>16</v>
      </c>
      <c r="D73" t="s">
        <v>190</v>
      </c>
      <c r="E73" s="5" t="s">
        <v>38</v>
      </c>
      <c r="F73" s="5" t="e">
        <f>VLOOKUP(B73,'Türkkep Jira'!B:F,5,0)</f>
        <v>#N/A</v>
      </c>
      <c r="G73" t="str">
        <f>IF(IFERROR(VLOOKUP(B73,'Devam Eden Sprint'!B:B,1,0),"-")=B73,"Devam Eden Sprint","-")</f>
        <v>-</v>
      </c>
      <c r="H73" t="str">
        <f>IF(IFERROR(VLOOKUP(B73,'Gelecek Sprint'!B:B,1,0),"-")=B73,"Gelecek Sprint","-")</f>
        <v>-</v>
      </c>
      <c r="I73" t="str">
        <f t="shared" si="7"/>
        <v>Ürün İş Listesi</v>
      </c>
      <c r="J73" s="5">
        <v>13</v>
      </c>
    </row>
    <row r="74" spans="1:10" x14ac:dyDescent="0.25">
      <c r="A74" t="s">
        <v>14</v>
      </c>
      <c r="B74" t="s">
        <v>191</v>
      </c>
      <c r="C74" t="s">
        <v>192</v>
      </c>
      <c r="D74" t="s">
        <v>193</v>
      </c>
      <c r="E74" s="5" t="s">
        <v>41</v>
      </c>
      <c r="F74" s="5" t="e">
        <f>VLOOKUP(B74,'Türkkep Jira'!B:F,5,0)</f>
        <v>#N/A</v>
      </c>
      <c r="G74" t="str">
        <f>IF(IFERROR(VLOOKUP(B74,'Devam Eden Sprint'!B:B,1,0),"-")=B74,"Devam Eden Sprint","-")</f>
        <v>-</v>
      </c>
      <c r="H74" t="str">
        <f>IF(IFERROR(VLOOKUP(B74,'Gelecek Sprint'!B:B,1,0),"-")=B74,"Gelecek Sprint","-")</f>
        <v>-</v>
      </c>
      <c r="I74" t="str">
        <f t="shared" si="7"/>
        <v>Ürün İş Listesi</v>
      </c>
    </row>
    <row r="75" spans="1:10" x14ac:dyDescent="0.25">
      <c r="A75" t="s">
        <v>14</v>
      </c>
      <c r="B75" t="s">
        <v>194</v>
      </c>
      <c r="C75" t="s">
        <v>16</v>
      </c>
      <c r="D75" t="s">
        <v>195</v>
      </c>
      <c r="E75" s="5" t="s">
        <v>41</v>
      </c>
      <c r="F75" s="5" t="e">
        <f>VLOOKUP(B75,'Türkkep Jira'!B:F,5,0)</f>
        <v>#N/A</v>
      </c>
      <c r="G75" t="str">
        <f>IF(IFERROR(VLOOKUP(B75,'Devam Eden Sprint'!B:B,1,0),"-")=B75,"Devam Eden Sprint","-")</f>
        <v>-</v>
      </c>
      <c r="H75" t="str">
        <f>IF(IFERROR(VLOOKUP(B75,'Gelecek Sprint'!B:B,1,0),"-")=B75,"Gelecek Sprint","-")</f>
        <v>-</v>
      </c>
      <c r="I75" t="str">
        <f t="shared" si="7"/>
        <v>Ürün İş Listesi</v>
      </c>
      <c r="J75" s="5">
        <v>3</v>
      </c>
    </row>
    <row r="76" spans="1:10" x14ac:dyDescent="0.25">
      <c r="A76" t="s">
        <v>14</v>
      </c>
      <c r="B76" t="s">
        <v>196</v>
      </c>
      <c r="C76" t="s">
        <v>16</v>
      </c>
      <c r="D76" t="s">
        <v>197</v>
      </c>
      <c r="E76" s="5" t="s">
        <v>41</v>
      </c>
      <c r="F76" s="5" t="e">
        <f>VLOOKUP(B76,'Türkkep Jira'!B:F,5,0)</f>
        <v>#N/A</v>
      </c>
      <c r="G76" t="str">
        <f>IF(IFERROR(VLOOKUP(B76,'Devam Eden Sprint'!B:B,1,0),"-")=B76,"Devam Eden Sprint","-")</f>
        <v>-</v>
      </c>
      <c r="H76" t="str">
        <f>IF(IFERROR(VLOOKUP(B76,'Gelecek Sprint'!B:B,1,0),"-")=B76,"Gelecek Sprint","-")</f>
        <v>-</v>
      </c>
      <c r="I76" t="str">
        <f t="shared" si="7"/>
        <v>Ürün İş Listesi</v>
      </c>
      <c r="J76" s="5">
        <v>2</v>
      </c>
    </row>
    <row r="77" spans="1:10" x14ac:dyDescent="0.25">
      <c r="A77" t="s">
        <v>14</v>
      </c>
      <c r="B77" t="s">
        <v>198</v>
      </c>
      <c r="C77" t="s">
        <v>16</v>
      </c>
      <c r="D77" t="s">
        <v>199</v>
      </c>
      <c r="E77" s="5" t="s">
        <v>41</v>
      </c>
      <c r="F77" s="5" t="e">
        <f>VLOOKUP(B77,'Türkkep Jira'!B:F,5,0)</f>
        <v>#N/A</v>
      </c>
      <c r="G77" t="str">
        <f>IF(IFERROR(VLOOKUP(B77,'Devam Eden Sprint'!B:B,1,0),"-")=B77,"Devam Eden Sprint","-")</f>
        <v>-</v>
      </c>
      <c r="H77" t="str">
        <f>IF(IFERROR(VLOOKUP(B77,'Gelecek Sprint'!B:B,1,0),"-")=B77,"Gelecek Sprint","-")</f>
        <v>-</v>
      </c>
      <c r="I77" t="str">
        <f t="shared" si="7"/>
        <v>Ürün İş Listesi</v>
      </c>
    </row>
    <row r="78" spans="1:10" x14ac:dyDescent="0.25">
      <c r="A78" t="s">
        <v>14</v>
      </c>
      <c r="B78" t="s">
        <v>200</v>
      </c>
      <c r="C78" t="s">
        <v>16</v>
      </c>
      <c r="D78" t="s">
        <v>201</v>
      </c>
      <c r="E78" s="5" t="s">
        <v>41</v>
      </c>
      <c r="F78" s="5" t="e">
        <f>VLOOKUP(B78,'Türkkep Jira'!B:F,5,0)</f>
        <v>#N/A</v>
      </c>
      <c r="G78" t="str">
        <f>IF(IFERROR(VLOOKUP(B78,'Devam Eden Sprint'!B:B,1,0),"-")=B78,"Devam Eden Sprint","-")</f>
        <v>-</v>
      </c>
      <c r="H78" t="str">
        <f>IF(IFERROR(VLOOKUP(B78,'Gelecek Sprint'!B:B,1,0),"-")=B78,"Gelecek Sprint","-")</f>
        <v>-</v>
      </c>
      <c r="I78" t="str">
        <f t="shared" si="7"/>
        <v>Ürün İş Listesi</v>
      </c>
      <c r="J78" s="5">
        <v>13</v>
      </c>
    </row>
    <row r="79" spans="1:10" x14ac:dyDescent="0.25">
      <c r="A79" t="s">
        <v>14</v>
      </c>
      <c r="B79" t="s">
        <v>202</v>
      </c>
      <c r="C79" t="s">
        <v>16</v>
      </c>
      <c r="D79" t="s">
        <v>203</v>
      </c>
      <c r="E79" s="5" t="s">
        <v>41</v>
      </c>
      <c r="F79" s="5" t="e">
        <f>VLOOKUP(B79,'Türkkep Jira'!B:F,5,0)</f>
        <v>#N/A</v>
      </c>
      <c r="G79" t="str">
        <f>IF(IFERROR(VLOOKUP(B79,'Devam Eden Sprint'!B:B,1,0),"-")=B79,"Devam Eden Sprint","-")</f>
        <v>-</v>
      </c>
      <c r="H79" t="str">
        <f>IF(IFERROR(VLOOKUP(B79,'Gelecek Sprint'!B:B,1,0),"-")=B79,"Gelecek Sprint","-")</f>
        <v>-</v>
      </c>
      <c r="I79" t="str">
        <f t="shared" si="7"/>
        <v>Ürün İş Listesi</v>
      </c>
      <c r="J79" s="5">
        <v>3</v>
      </c>
    </row>
    <row r="80" spans="1:10" x14ac:dyDescent="0.25">
      <c r="A80" t="s">
        <v>14</v>
      </c>
      <c r="B80" t="s">
        <v>204</v>
      </c>
      <c r="C80" t="s">
        <v>16</v>
      </c>
      <c r="D80" t="s">
        <v>205</v>
      </c>
      <c r="E80" s="5" t="s">
        <v>41</v>
      </c>
      <c r="F80" s="5" t="e">
        <f>VLOOKUP(B80,'Türkkep Jira'!B:F,5,0)</f>
        <v>#N/A</v>
      </c>
      <c r="G80" t="str">
        <f>IF(IFERROR(VLOOKUP(B80,'Devam Eden Sprint'!B:B,1,0),"-")=B80,"Devam Eden Sprint","-")</f>
        <v>-</v>
      </c>
      <c r="H80" t="str">
        <f>IF(IFERROR(VLOOKUP(B80,'Gelecek Sprint'!B:B,1,0),"-")=B80,"Gelecek Sprint","-")</f>
        <v>-</v>
      </c>
      <c r="I80" t="str">
        <f t="shared" si="7"/>
        <v>Ürün İş Listesi</v>
      </c>
      <c r="J80" s="5">
        <v>5</v>
      </c>
    </row>
    <row r="81" spans="1:10" x14ac:dyDescent="0.25">
      <c r="A81" t="s">
        <v>77</v>
      </c>
      <c r="B81" t="s">
        <v>206</v>
      </c>
      <c r="C81" t="s">
        <v>16</v>
      </c>
      <c r="D81" t="s">
        <v>207</v>
      </c>
      <c r="E81" s="5" t="s">
        <v>41</v>
      </c>
      <c r="F81" s="5" t="e">
        <f>VLOOKUP(B81,'Türkkep Jira'!B:F,5,0)</f>
        <v>#N/A</v>
      </c>
      <c r="G81" t="str">
        <f>IF(IFERROR(VLOOKUP(B81,'Devam Eden Sprint'!B:B,1,0),"-")=B81,"Devam Eden Sprint","-")</f>
        <v>-</v>
      </c>
      <c r="H81" t="str">
        <f>IF(IFERROR(VLOOKUP(B81,'Gelecek Sprint'!B:B,1,0),"-")=B81,"Gelecek Sprint","-")</f>
        <v>-</v>
      </c>
      <c r="I81" t="str">
        <f t="shared" si="7"/>
        <v>Ürün İş Listesi</v>
      </c>
      <c r="J81" s="5">
        <v>3</v>
      </c>
    </row>
    <row r="82" spans="1:10" x14ac:dyDescent="0.25">
      <c r="A82" t="s">
        <v>14</v>
      </c>
      <c r="B82" t="s">
        <v>208</v>
      </c>
      <c r="C82" t="s">
        <v>16</v>
      </c>
      <c r="D82" t="s">
        <v>209</v>
      </c>
      <c r="E82" s="5" t="s">
        <v>41</v>
      </c>
      <c r="F82" s="5" t="e">
        <f>VLOOKUP(B82,'Türkkep Jira'!B:F,5,0)</f>
        <v>#N/A</v>
      </c>
      <c r="G82" t="str">
        <f>IF(IFERROR(VLOOKUP(B82,'Devam Eden Sprint'!B:B,1,0),"-")=B82,"Devam Eden Sprint","-")</f>
        <v>-</v>
      </c>
      <c r="H82" t="str">
        <f>IF(IFERROR(VLOOKUP(B82,'Gelecek Sprint'!B:B,1,0),"-")=B82,"Gelecek Sprint","-")</f>
        <v>-</v>
      </c>
      <c r="I82" t="str">
        <f t="shared" si="7"/>
        <v>Ürün İş Listesi</v>
      </c>
      <c r="J82" s="5">
        <v>5</v>
      </c>
    </row>
    <row r="83" spans="1:10" x14ac:dyDescent="0.25">
      <c r="A83" t="s">
        <v>14</v>
      </c>
      <c r="B83" t="s">
        <v>210</v>
      </c>
      <c r="C83" t="s">
        <v>16</v>
      </c>
      <c r="D83" t="s">
        <v>211</v>
      </c>
      <c r="E83" s="5" t="s">
        <v>41</v>
      </c>
      <c r="F83" s="5" t="e">
        <f>VLOOKUP(B83,'Türkkep Jira'!B:F,5,0)</f>
        <v>#N/A</v>
      </c>
      <c r="G83" t="str">
        <f>IF(IFERROR(VLOOKUP(B83,'Devam Eden Sprint'!B:B,1,0),"-")=B83,"Devam Eden Sprint","-")</f>
        <v>-</v>
      </c>
      <c r="H83" t="str">
        <f>IF(IFERROR(VLOOKUP(B83,'Gelecek Sprint'!B:B,1,0),"-")=B83,"Gelecek Sprint","-")</f>
        <v>-</v>
      </c>
      <c r="I83" t="str">
        <f t="shared" si="7"/>
        <v>Ürün İş Listesi</v>
      </c>
      <c r="J83" s="5">
        <v>5</v>
      </c>
    </row>
    <row r="84" spans="1:10" x14ac:dyDescent="0.25">
      <c r="A84" t="s">
        <v>14</v>
      </c>
      <c r="B84" t="s">
        <v>212</v>
      </c>
      <c r="C84" t="s">
        <v>16</v>
      </c>
      <c r="D84" t="s">
        <v>213</v>
      </c>
      <c r="E84" s="5" t="s">
        <v>41</v>
      </c>
      <c r="F84" s="5" t="e">
        <f>VLOOKUP(B84,'Türkkep Jira'!B:F,5,0)</f>
        <v>#N/A</v>
      </c>
      <c r="G84" t="str">
        <f>IF(IFERROR(VLOOKUP(B84,'Devam Eden Sprint'!B:B,1,0),"-")=B84,"Devam Eden Sprint","-")</f>
        <v>-</v>
      </c>
      <c r="H84" t="str">
        <f>IF(IFERROR(VLOOKUP(B84,'Gelecek Sprint'!B:B,1,0),"-")=B84,"Gelecek Sprint","-")</f>
        <v>-</v>
      </c>
      <c r="I84" t="str">
        <f t="shared" si="7"/>
        <v>Ürün İş Listesi</v>
      </c>
      <c r="J84" s="5">
        <v>1</v>
      </c>
    </row>
    <row r="85" spans="1:10" x14ac:dyDescent="0.25">
      <c r="A85" t="s">
        <v>14</v>
      </c>
      <c r="B85" t="s">
        <v>214</v>
      </c>
      <c r="C85" t="s">
        <v>16</v>
      </c>
      <c r="D85" t="s">
        <v>215</v>
      </c>
      <c r="E85" s="5" t="s">
        <v>41</v>
      </c>
      <c r="F85" s="5" t="e">
        <f>VLOOKUP(B85,'Türkkep Jira'!B:F,5,0)</f>
        <v>#N/A</v>
      </c>
      <c r="G85" t="str">
        <f>IF(IFERROR(VLOOKUP(B85,'Devam Eden Sprint'!B:B,1,0),"-")=B85,"Devam Eden Sprint","-")</f>
        <v>-</v>
      </c>
      <c r="H85" t="str">
        <f>IF(IFERROR(VLOOKUP(B85,'Gelecek Sprint'!B:B,1,0),"-")=B85,"Gelecek Sprint","-")</f>
        <v>-</v>
      </c>
      <c r="I85" t="str">
        <f t="shared" si="7"/>
        <v>Ürün İş Listesi</v>
      </c>
      <c r="J85" s="5">
        <v>3</v>
      </c>
    </row>
    <row r="86" spans="1:10" x14ac:dyDescent="0.25">
      <c r="A86" t="s">
        <v>14</v>
      </c>
      <c r="B86" t="s">
        <v>216</v>
      </c>
      <c r="C86" t="s">
        <v>16</v>
      </c>
      <c r="D86" t="s">
        <v>217</v>
      </c>
      <c r="E86" s="5" t="s">
        <v>41</v>
      </c>
      <c r="F86" s="5" t="e">
        <f>VLOOKUP(B86,'Türkkep Jira'!B:F,5,0)</f>
        <v>#N/A</v>
      </c>
      <c r="G86" t="str">
        <f>IF(IFERROR(VLOOKUP(B86,'Devam Eden Sprint'!B:B,1,0),"-")=B86,"Devam Eden Sprint","-")</f>
        <v>-</v>
      </c>
      <c r="H86" t="str">
        <f>IF(IFERROR(VLOOKUP(B86,'Gelecek Sprint'!B:B,1,0),"-")=B86,"Gelecek Sprint","-")</f>
        <v>-</v>
      </c>
      <c r="I86" t="str">
        <f t="shared" si="7"/>
        <v>Ürün İş Listesi</v>
      </c>
      <c r="J86" s="5">
        <v>2</v>
      </c>
    </row>
    <row r="87" spans="1:10" x14ac:dyDescent="0.25">
      <c r="A87" t="s">
        <v>14</v>
      </c>
      <c r="B87" t="s">
        <v>218</v>
      </c>
      <c r="C87" t="s">
        <v>16</v>
      </c>
      <c r="D87" t="s">
        <v>219</v>
      </c>
      <c r="E87" s="5" t="s">
        <v>41</v>
      </c>
      <c r="F87" s="5" t="e">
        <f>VLOOKUP(B87,'Türkkep Jira'!B:F,5,0)</f>
        <v>#N/A</v>
      </c>
      <c r="G87" t="str">
        <f>IF(IFERROR(VLOOKUP(B87,'Devam Eden Sprint'!B:B,1,0),"-")=B87,"Devam Eden Sprint","-")</f>
        <v>-</v>
      </c>
      <c r="H87" t="str">
        <f>IF(IFERROR(VLOOKUP(B87,'Gelecek Sprint'!B:B,1,0),"-")=B87,"Gelecek Sprint","-")</f>
        <v>-</v>
      </c>
      <c r="I87" t="str">
        <f t="shared" si="7"/>
        <v>Ürün İş Listesi</v>
      </c>
      <c r="J87" s="5">
        <v>1</v>
      </c>
    </row>
    <row r="88" spans="1:10" x14ac:dyDescent="0.25">
      <c r="A88" t="s">
        <v>14</v>
      </c>
      <c r="B88" t="s">
        <v>220</v>
      </c>
      <c r="C88" t="s">
        <v>16</v>
      </c>
      <c r="D88" t="s">
        <v>221</v>
      </c>
      <c r="E88" s="5" t="s">
        <v>41</v>
      </c>
      <c r="F88" s="5" t="e">
        <f>VLOOKUP(B88,'Türkkep Jira'!B:F,5,0)</f>
        <v>#N/A</v>
      </c>
      <c r="G88" t="str">
        <f>IF(IFERROR(VLOOKUP(B88,'Devam Eden Sprint'!B:B,1,0),"-")=B88,"Devam Eden Sprint","-")</f>
        <v>-</v>
      </c>
      <c r="H88" t="str">
        <f>IF(IFERROR(VLOOKUP(B88,'Gelecek Sprint'!B:B,1,0),"-")=B88,"Gelecek Sprint","-")</f>
        <v>-</v>
      </c>
      <c r="I88" t="str">
        <f t="shared" si="7"/>
        <v>Ürün İş Listesi</v>
      </c>
      <c r="J88" s="5">
        <v>3</v>
      </c>
    </row>
    <row r="89" spans="1:10" x14ac:dyDescent="0.25">
      <c r="A89" t="s">
        <v>14</v>
      </c>
      <c r="B89" t="s">
        <v>222</v>
      </c>
      <c r="C89" t="s">
        <v>16</v>
      </c>
      <c r="D89" t="s">
        <v>223</v>
      </c>
      <c r="E89" s="5" t="s">
        <v>41</v>
      </c>
      <c r="F89" s="5" t="e">
        <f>VLOOKUP(B89,'Türkkep Jira'!B:F,5,0)</f>
        <v>#N/A</v>
      </c>
      <c r="G89" t="str">
        <f>IF(IFERROR(VLOOKUP(B89,'Devam Eden Sprint'!B:B,1,0),"-")=B89,"Devam Eden Sprint","-")</f>
        <v>-</v>
      </c>
      <c r="H89" t="str">
        <f>IF(IFERROR(VLOOKUP(B89,'Gelecek Sprint'!B:B,1,0),"-")=B89,"Gelecek Sprint","-")</f>
        <v>-</v>
      </c>
      <c r="I89" t="str">
        <f t="shared" si="7"/>
        <v>Ürün İş Listesi</v>
      </c>
      <c r="J89" s="5">
        <v>1</v>
      </c>
    </row>
    <row r="90" spans="1:10" x14ac:dyDescent="0.25">
      <c r="A90" t="s">
        <v>14</v>
      </c>
      <c r="B90" t="s">
        <v>224</v>
      </c>
      <c r="C90" t="s">
        <v>16</v>
      </c>
      <c r="D90" t="s">
        <v>225</v>
      </c>
      <c r="E90" s="5" t="s">
        <v>41</v>
      </c>
      <c r="F90" s="5" t="e">
        <f>VLOOKUP(B90,'Türkkep Jira'!B:F,5,0)</f>
        <v>#N/A</v>
      </c>
      <c r="G90" t="str">
        <f>IF(IFERROR(VLOOKUP(B90,'Devam Eden Sprint'!B:B,1,0),"-")=B90,"Devam Eden Sprint","-")</f>
        <v>-</v>
      </c>
      <c r="H90" t="str">
        <f>IF(IFERROR(VLOOKUP(B90,'Gelecek Sprint'!B:B,1,0),"-")=B90,"Gelecek Sprint","-")</f>
        <v>-</v>
      </c>
      <c r="I90" t="str">
        <f t="shared" si="7"/>
        <v>Ürün İş Listesi</v>
      </c>
      <c r="J90" s="5">
        <v>2</v>
      </c>
    </row>
    <row r="91" spans="1:10" x14ac:dyDescent="0.25">
      <c r="A91" t="s">
        <v>14</v>
      </c>
      <c r="B91" t="s">
        <v>226</v>
      </c>
      <c r="C91" t="s">
        <v>16</v>
      </c>
      <c r="D91" t="s">
        <v>227</v>
      </c>
      <c r="E91" s="5" t="s">
        <v>41</v>
      </c>
      <c r="F91" s="5" t="e">
        <f>VLOOKUP(B91,'Türkkep Jira'!B:F,5,0)</f>
        <v>#N/A</v>
      </c>
      <c r="G91" t="str">
        <f>IF(IFERROR(VLOOKUP(B91,'Devam Eden Sprint'!B:B,1,0),"-")=B91,"Devam Eden Sprint","-")</f>
        <v>-</v>
      </c>
      <c r="H91" t="str">
        <f>IF(IFERROR(VLOOKUP(B91,'Gelecek Sprint'!B:B,1,0),"-")=B91,"Gelecek Sprint","-")</f>
        <v>-</v>
      </c>
      <c r="I91" t="str">
        <f t="shared" si="7"/>
        <v>Ürün İş Listesi</v>
      </c>
      <c r="J91" s="5">
        <v>2</v>
      </c>
    </row>
    <row r="92" spans="1:10" x14ac:dyDescent="0.25">
      <c r="A92" t="s">
        <v>14</v>
      </c>
      <c r="B92" t="s">
        <v>228</v>
      </c>
      <c r="C92" t="s">
        <v>16</v>
      </c>
      <c r="D92" t="s">
        <v>229</v>
      </c>
      <c r="E92" s="5" t="s">
        <v>41</v>
      </c>
      <c r="F92" s="5" t="e">
        <f>VLOOKUP(B92,'Türkkep Jira'!B:F,5,0)</f>
        <v>#N/A</v>
      </c>
      <c r="G92" t="str">
        <f>IF(IFERROR(VLOOKUP(B92,'Devam Eden Sprint'!B:B,1,0),"-")=B92,"Devam Eden Sprint","-")</f>
        <v>-</v>
      </c>
      <c r="H92" t="str">
        <f>IF(IFERROR(VLOOKUP(B92,'Gelecek Sprint'!B:B,1,0),"-")=B92,"Gelecek Sprint","-")</f>
        <v>-</v>
      </c>
      <c r="I92" t="str">
        <f t="shared" si="7"/>
        <v>Ürün İş Listesi</v>
      </c>
      <c r="J92" s="5">
        <v>1</v>
      </c>
    </row>
    <row r="93" spans="1:10" x14ac:dyDescent="0.25">
      <c r="A93" t="s">
        <v>14</v>
      </c>
      <c r="B93" t="s">
        <v>230</v>
      </c>
      <c r="C93" t="s">
        <v>16</v>
      </c>
      <c r="D93" t="s">
        <v>231</v>
      </c>
      <c r="E93" s="5" t="s">
        <v>41</v>
      </c>
      <c r="F93" s="5" t="e">
        <f>VLOOKUP(B93,'Türkkep Jira'!B:F,5,0)</f>
        <v>#N/A</v>
      </c>
      <c r="G93" t="str">
        <f>IF(IFERROR(VLOOKUP(B93,'Devam Eden Sprint'!B:B,1,0),"-")=B93,"Devam Eden Sprint","-")</f>
        <v>-</v>
      </c>
      <c r="H93" t="str">
        <f>IF(IFERROR(VLOOKUP(B93,'Gelecek Sprint'!B:B,1,0),"-")=B93,"Gelecek Sprint","-")</f>
        <v>-</v>
      </c>
      <c r="I93" t="str">
        <f t="shared" si="7"/>
        <v>Ürün İş Listesi</v>
      </c>
      <c r="J93" s="5">
        <v>3</v>
      </c>
    </row>
    <row r="94" spans="1:10" x14ac:dyDescent="0.25">
      <c r="A94" t="s">
        <v>232</v>
      </c>
      <c r="B94" t="s">
        <v>233</v>
      </c>
      <c r="C94" t="s">
        <v>16</v>
      </c>
      <c r="D94" t="s">
        <v>234</v>
      </c>
      <c r="E94" s="5" t="s">
        <v>41</v>
      </c>
      <c r="F94" s="5" t="e">
        <f>VLOOKUP(B94,'Türkkep Jira'!B:F,5,0)</f>
        <v>#N/A</v>
      </c>
      <c r="G94" t="str">
        <f>IF(IFERROR(VLOOKUP(B94,'Devam Eden Sprint'!B:B,1,0),"-")=B94,"Devam Eden Sprint","-")</f>
        <v>-</v>
      </c>
      <c r="H94" t="str">
        <f>IF(IFERROR(VLOOKUP(B94,'Gelecek Sprint'!B:B,1,0),"-")=B94,"Gelecek Sprint","-")</f>
        <v>-</v>
      </c>
      <c r="I94" t="str">
        <f t="shared" si="7"/>
        <v>Ürün İş Listesi</v>
      </c>
      <c r="J94" s="5">
        <v>1</v>
      </c>
    </row>
    <row r="95" spans="1:10" x14ac:dyDescent="0.25">
      <c r="A95" t="s">
        <v>77</v>
      </c>
      <c r="B95" t="s">
        <v>235</v>
      </c>
      <c r="C95" t="s">
        <v>16</v>
      </c>
      <c r="D95" t="s">
        <v>236</v>
      </c>
      <c r="E95" s="5" t="s">
        <v>41</v>
      </c>
      <c r="F95" s="5" t="e">
        <f>VLOOKUP(B95,'Türkkep Jira'!B:F,5,0)</f>
        <v>#N/A</v>
      </c>
      <c r="G95" t="str">
        <f>IF(IFERROR(VLOOKUP(B95,'Devam Eden Sprint'!B:B,1,0),"-")=B95,"Devam Eden Sprint","-")</f>
        <v>-</v>
      </c>
      <c r="H95" t="str">
        <f>IF(IFERROR(VLOOKUP(B95,'Gelecek Sprint'!B:B,1,0),"-")=B95,"Gelecek Sprint","-")</f>
        <v>-</v>
      </c>
      <c r="I95" t="str">
        <f t="shared" si="7"/>
        <v>Ürün İş Listesi</v>
      </c>
      <c r="J95" s="5">
        <v>2</v>
      </c>
    </row>
    <row r="96" spans="1:10" x14ac:dyDescent="0.25">
      <c r="A96" t="s">
        <v>14</v>
      </c>
      <c r="B96" t="s">
        <v>237</v>
      </c>
      <c r="C96" t="s">
        <v>16</v>
      </c>
      <c r="D96" t="s">
        <v>238</v>
      </c>
      <c r="E96" s="5" t="s">
        <v>41</v>
      </c>
      <c r="F96" s="5" t="e">
        <f>VLOOKUP(B96,'Türkkep Jira'!B:F,5,0)</f>
        <v>#N/A</v>
      </c>
      <c r="G96" t="str">
        <f>IF(IFERROR(VLOOKUP(B96,'Devam Eden Sprint'!B:B,1,0),"-")=B96,"Devam Eden Sprint","-")</f>
        <v>-</v>
      </c>
      <c r="H96" t="str">
        <f>IF(IFERROR(VLOOKUP(B96,'Gelecek Sprint'!B:B,1,0),"-")=B96,"Gelecek Sprint","-")</f>
        <v>-</v>
      </c>
      <c r="I96" t="str">
        <f t="shared" si="7"/>
        <v>Ürün İş Listesi</v>
      </c>
      <c r="J96" s="5">
        <v>1</v>
      </c>
    </row>
    <row r="97" spans="1:10" x14ac:dyDescent="0.25">
      <c r="A97" t="s">
        <v>77</v>
      </c>
      <c r="B97" t="s">
        <v>239</v>
      </c>
      <c r="C97" t="s">
        <v>16</v>
      </c>
      <c r="D97" t="s">
        <v>240</v>
      </c>
      <c r="E97" s="5" t="s">
        <v>41</v>
      </c>
      <c r="F97" s="5" t="e">
        <f>VLOOKUP(B97,'Türkkep Jira'!B:F,5,0)</f>
        <v>#N/A</v>
      </c>
      <c r="G97" t="str">
        <f>IF(IFERROR(VLOOKUP(B97,'Devam Eden Sprint'!B:B,1,0),"-")=B97,"Devam Eden Sprint","-")</f>
        <v>-</v>
      </c>
      <c r="H97" t="str">
        <f>IF(IFERROR(VLOOKUP(B97,'Gelecek Sprint'!B:B,1,0),"-")=B97,"Gelecek Sprint","-")</f>
        <v>-</v>
      </c>
      <c r="I97" t="str">
        <f t="shared" si="7"/>
        <v>Ürün İş Listesi</v>
      </c>
      <c r="J97" s="5">
        <v>1</v>
      </c>
    </row>
    <row r="98" spans="1:10" x14ac:dyDescent="0.25">
      <c r="A98" t="s">
        <v>14</v>
      </c>
      <c r="B98" t="s">
        <v>241</v>
      </c>
      <c r="C98" t="s">
        <v>16</v>
      </c>
      <c r="D98" t="s">
        <v>242</v>
      </c>
      <c r="E98" s="5" t="s">
        <v>41</v>
      </c>
      <c r="F98" s="5" t="e">
        <f>VLOOKUP(B98,'Türkkep Jira'!B:F,5,0)</f>
        <v>#N/A</v>
      </c>
      <c r="G98" t="str">
        <f>IF(IFERROR(VLOOKUP(B98,'Devam Eden Sprint'!B:B,1,0),"-")=B98,"Devam Eden Sprint","-")</f>
        <v>-</v>
      </c>
      <c r="H98" t="str">
        <f>IF(IFERROR(VLOOKUP(B98,'Gelecek Sprint'!B:B,1,0),"-")=B98,"Gelecek Sprint","-")</f>
        <v>-</v>
      </c>
      <c r="I98" t="str">
        <f t="shared" si="7"/>
        <v>Ürün İş Listesi</v>
      </c>
      <c r="J98" s="5">
        <v>1</v>
      </c>
    </row>
    <row r="99" spans="1:10" x14ac:dyDescent="0.25">
      <c r="A99" t="s">
        <v>77</v>
      </c>
      <c r="B99" t="s">
        <v>243</v>
      </c>
      <c r="C99" t="s">
        <v>16</v>
      </c>
      <c r="D99" t="s">
        <v>244</v>
      </c>
      <c r="E99" s="5" t="s">
        <v>41</v>
      </c>
      <c r="F99" s="5" t="e">
        <f>VLOOKUP(B99,'Türkkep Jira'!B:F,5,0)</f>
        <v>#N/A</v>
      </c>
      <c r="G99" t="str">
        <f>IF(IFERROR(VLOOKUP(B99,'Devam Eden Sprint'!B:B,1,0),"-")=B99,"Devam Eden Sprint","-")</f>
        <v>-</v>
      </c>
      <c r="H99" t="str">
        <f>IF(IFERROR(VLOOKUP(B99,'Gelecek Sprint'!B:B,1,0),"-")=B99,"Gelecek Sprint","-")</f>
        <v>-</v>
      </c>
      <c r="I99" t="str">
        <f t="shared" si="7"/>
        <v>Ürün İş Listesi</v>
      </c>
      <c r="J99" s="5">
        <v>1</v>
      </c>
    </row>
    <row r="100" spans="1:10" x14ac:dyDescent="0.25">
      <c r="A100" t="s">
        <v>14</v>
      </c>
      <c r="B100" t="s">
        <v>245</v>
      </c>
      <c r="C100" t="s">
        <v>16</v>
      </c>
      <c r="D100" t="s">
        <v>246</v>
      </c>
      <c r="E100" s="5" t="s">
        <v>41</v>
      </c>
      <c r="F100" s="5" t="e">
        <f>VLOOKUP(B100,'Türkkep Jira'!B:F,5,0)</f>
        <v>#N/A</v>
      </c>
      <c r="G100" t="str">
        <f>IF(IFERROR(VLOOKUP(B100,'Devam Eden Sprint'!B:B,1,0),"-")=B100,"Devam Eden Sprint","-")</f>
        <v>-</v>
      </c>
      <c r="H100" t="str">
        <f>IF(IFERROR(VLOOKUP(B100,'Gelecek Sprint'!B:B,1,0),"-")=B100,"Gelecek Sprint","-")</f>
        <v>-</v>
      </c>
      <c r="I100" t="str">
        <f t="shared" si="7"/>
        <v>Ürün İş Listesi</v>
      </c>
      <c r="J100" s="5">
        <v>3</v>
      </c>
    </row>
    <row r="101" spans="1:10" x14ac:dyDescent="0.25">
      <c r="A101" t="s">
        <v>14</v>
      </c>
      <c r="B101" t="s">
        <v>247</v>
      </c>
      <c r="C101" t="s">
        <v>16</v>
      </c>
      <c r="D101" t="s">
        <v>248</v>
      </c>
      <c r="E101" s="5" t="s">
        <v>41</v>
      </c>
      <c r="F101" s="5" t="e">
        <f>VLOOKUP(B101,'Türkkep Jira'!B:F,5,0)</f>
        <v>#N/A</v>
      </c>
      <c r="G101" t="str">
        <f>IF(IFERROR(VLOOKUP(B101,'Devam Eden Sprint'!B:B,1,0),"-")=B101,"Devam Eden Sprint","-")</f>
        <v>-</v>
      </c>
      <c r="H101" t="str">
        <f>IF(IFERROR(VLOOKUP(B101,'Gelecek Sprint'!B:B,1,0),"-")=B101,"Gelecek Sprint","-")</f>
        <v>-</v>
      </c>
      <c r="I101" t="str">
        <f t="shared" si="7"/>
        <v>Ürün İş Listesi</v>
      </c>
      <c r="J101" s="5">
        <v>2</v>
      </c>
    </row>
    <row r="102" spans="1:10" x14ac:dyDescent="0.25">
      <c r="A102" t="s">
        <v>14</v>
      </c>
      <c r="B102" t="s">
        <v>249</v>
      </c>
      <c r="C102" t="s">
        <v>16</v>
      </c>
      <c r="D102" t="s">
        <v>250</v>
      </c>
      <c r="E102" s="5" t="s">
        <v>41</v>
      </c>
      <c r="F102" s="5" t="e">
        <f>VLOOKUP(B102,'Türkkep Jira'!B:F,5,0)</f>
        <v>#N/A</v>
      </c>
      <c r="G102" t="str">
        <f>IF(IFERROR(VLOOKUP(B102,'Devam Eden Sprint'!B:B,1,0),"-")=B102,"Devam Eden Sprint","-")</f>
        <v>-</v>
      </c>
      <c r="H102" t="str">
        <f>IF(IFERROR(VLOOKUP(B102,'Gelecek Sprint'!B:B,1,0),"-")=B102,"Gelecek Sprint","-")</f>
        <v>-</v>
      </c>
      <c r="I102" t="str">
        <f t="shared" si="7"/>
        <v>Ürün İş Listesi</v>
      </c>
      <c r="J102" s="5">
        <v>3</v>
      </c>
    </row>
    <row r="103" spans="1:10" x14ac:dyDescent="0.25">
      <c r="A103" t="s">
        <v>14</v>
      </c>
      <c r="B103" t="s">
        <v>251</v>
      </c>
      <c r="C103" t="s">
        <v>16</v>
      </c>
      <c r="D103" t="s">
        <v>252</v>
      </c>
      <c r="E103" s="5" t="s">
        <v>41</v>
      </c>
      <c r="F103" s="5" t="e">
        <f>VLOOKUP(B103,'Türkkep Jira'!B:F,5,0)</f>
        <v>#N/A</v>
      </c>
      <c r="G103" t="str">
        <f>IF(IFERROR(VLOOKUP(B103,'Devam Eden Sprint'!B:B,1,0),"-")=B103,"Devam Eden Sprint","-")</f>
        <v>-</v>
      </c>
      <c r="H103" t="str">
        <f>IF(IFERROR(VLOOKUP(B103,'Gelecek Sprint'!B:B,1,0),"-")=B103,"Gelecek Sprint","-")</f>
        <v>-</v>
      </c>
      <c r="I103" t="str">
        <f t="shared" si="7"/>
        <v>Ürün İş Listesi</v>
      </c>
      <c r="J103" s="5">
        <v>3</v>
      </c>
    </row>
    <row r="104" spans="1:10" x14ac:dyDescent="0.25">
      <c r="A104" t="s">
        <v>14</v>
      </c>
      <c r="B104" t="s">
        <v>253</v>
      </c>
      <c r="C104" t="s">
        <v>16</v>
      </c>
      <c r="D104" t="s">
        <v>254</v>
      </c>
      <c r="E104" s="5" t="s">
        <v>44</v>
      </c>
      <c r="F104" s="5" t="e">
        <f>VLOOKUP(B104,'Türkkep Jira'!B:F,5,0)</f>
        <v>#N/A</v>
      </c>
      <c r="G104" t="str">
        <f>IF(IFERROR(VLOOKUP(B104,'Devam Eden Sprint'!B:B,1,0),"-")=B104,"Devam Eden Sprint","-")</f>
        <v>-</v>
      </c>
      <c r="H104" t="str">
        <f>IF(IFERROR(VLOOKUP(B104,'Gelecek Sprint'!B:B,1,0),"-")=B104,"Gelecek Sprint","-")</f>
        <v>-</v>
      </c>
      <c r="I104" t="str">
        <f t="shared" si="7"/>
        <v>Ürün İş Listesi</v>
      </c>
    </row>
    <row r="105" spans="1:10" x14ac:dyDescent="0.25">
      <c r="A105" t="s">
        <v>14</v>
      </c>
      <c r="B105" t="s">
        <v>255</v>
      </c>
      <c r="C105" t="s">
        <v>16</v>
      </c>
      <c r="D105" t="s">
        <v>256</v>
      </c>
      <c r="E105" s="5" t="s">
        <v>44</v>
      </c>
      <c r="F105" s="5" t="e">
        <f>VLOOKUP(B105,'Türkkep Jira'!B:F,5,0)</f>
        <v>#N/A</v>
      </c>
      <c r="G105" t="str">
        <f>IF(IFERROR(VLOOKUP(B105,'Devam Eden Sprint'!B:B,1,0),"-")=B105,"Devam Eden Sprint","-")</f>
        <v>-</v>
      </c>
      <c r="H105" t="str">
        <f>IF(IFERROR(VLOOKUP(B105,'Gelecek Sprint'!B:B,1,0),"-")=B105,"Gelecek Sprint","-")</f>
        <v>-</v>
      </c>
      <c r="I105" t="str">
        <f t="shared" si="7"/>
        <v>Ürün İş Listesi</v>
      </c>
      <c r="J105" s="5">
        <v>5</v>
      </c>
    </row>
    <row r="106" spans="1:10" x14ac:dyDescent="0.25">
      <c r="A106" t="s">
        <v>14</v>
      </c>
      <c r="B106" t="s">
        <v>257</v>
      </c>
      <c r="C106" t="s">
        <v>16</v>
      </c>
      <c r="D106" t="s">
        <v>258</v>
      </c>
      <c r="E106" s="5" t="s">
        <v>44</v>
      </c>
      <c r="F106" s="5" t="e">
        <f>VLOOKUP(B106,'Türkkep Jira'!B:F,5,0)</f>
        <v>#N/A</v>
      </c>
      <c r="G106" t="str">
        <f>IF(IFERROR(VLOOKUP(B106,'Devam Eden Sprint'!B:B,1,0),"-")=B106,"Devam Eden Sprint","-")</f>
        <v>-</v>
      </c>
      <c r="H106" t="str">
        <f>IF(IFERROR(VLOOKUP(B106,'Gelecek Sprint'!B:B,1,0),"-")=B106,"Gelecek Sprint","-")</f>
        <v>-</v>
      </c>
      <c r="I106" t="str">
        <f t="shared" si="7"/>
        <v>Ürün İş Listesi</v>
      </c>
      <c r="J106" s="5">
        <v>3</v>
      </c>
    </row>
    <row r="107" spans="1:10" x14ac:dyDescent="0.25">
      <c r="A107" t="s">
        <v>77</v>
      </c>
      <c r="B107" t="s">
        <v>259</v>
      </c>
      <c r="C107" t="s">
        <v>10</v>
      </c>
      <c r="D107" t="s">
        <v>260</v>
      </c>
      <c r="E107" s="5" t="s">
        <v>44</v>
      </c>
      <c r="F107" s="5" t="e">
        <f>VLOOKUP(B107,'Türkkep Jira'!B:F,5,0)</f>
        <v>#N/A</v>
      </c>
      <c r="G107" t="str">
        <f>IF(IFERROR(VLOOKUP(B107,'Devam Eden Sprint'!B:B,1,0),"-")=B107,"Devam Eden Sprint","-")</f>
        <v>-</v>
      </c>
      <c r="H107" t="str">
        <f>IF(IFERROR(VLOOKUP(B107,'Gelecek Sprint'!B:B,1,0),"-")=B107,"Gelecek Sprint","-")</f>
        <v>-</v>
      </c>
      <c r="I107" t="str">
        <f t="shared" si="7"/>
        <v>Ürün İş Listesi</v>
      </c>
    </row>
    <row r="108" spans="1:10" x14ac:dyDescent="0.25">
      <c r="A108" t="s">
        <v>77</v>
      </c>
      <c r="B108" t="s">
        <v>261</v>
      </c>
      <c r="C108" t="s">
        <v>16</v>
      </c>
      <c r="D108" t="s">
        <v>262</v>
      </c>
      <c r="E108" s="5" t="s">
        <v>44</v>
      </c>
      <c r="F108" s="5" t="e">
        <f>VLOOKUP(B108,'Türkkep Jira'!B:F,5,0)</f>
        <v>#N/A</v>
      </c>
      <c r="G108" t="str">
        <f>IF(IFERROR(VLOOKUP(B108,'Devam Eden Sprint'!B:B,1,0),"-")=B108,"Devam Eden Sprint","-")</f>
        <v>-</v>
      </c>
      <c r="H108" t="str">
        <f>IF(IFERROR(VLOOKUP(B108,'Gelecek Sprint'!B:B,1,0),"-")=B108,"Gelecek Sprint","-")</f>
        <v>-</v>
      </c>
      <c r="I108" t="str">
        <f t="shared" si="7"/>
        <v>Ürün İş Listesi</v>
      </c>
    </row>
    <row r="109" spans="1:10" x14ac:dyDescent="0.25">
      <c r="A109" t="s">
        <v>14</v>
      </c>
      <c r="B109" t="s">
        <v>263</v>
      </c>
      <c r="C109" t="s">
        <v>16</v>
      </c>
      <c r="D109" t="s">
        <v>264</v>
      </c>
      <c r="E109" s="5" t="s">
        <v>44</v>
      </c>
      <c r="F109" s="5" t="e">
        <f>VLOOKUP(B109,'Türkkep Jira'!B:F,5,0)</f>
        <v>#N/A</v>
      </c>
      <c r="G109" t="str">
        <f>IF(IFERROR(VLOOKUP(B109,'Devam Eden Sprint'!B:B,1,0),"-")=B109,"Devam Eden Sprint","-")</f>
        <v>-</v>
      </c>
      <c r="H109" t="str">
        <f>IF(IFERROR(VLOOKUP(B109,'Gelecek Sprint'!B:B,1,0),"-")=B109,"Gelecek Sprint","-")</f>
        <v>-</v>
      </c>
      <c r="I109" t="str">
        <f t="shared" si="7"/>
        <v>Ürün İş Listesi</v>
      </c>
      <c r="J109" s="5">
        <v>5</v>
      </c>
    </row>
    <row r="110" spans="1:10" x14ac:dyDescent="0.25">
      <c r="A110" t="s">
        <v>14</v>
      </c>
      <c r="B110" t="s">
        <v>265</v>
      </c>
      <c r="C110" t="s">
        <v>16</v>
      </c>
      <c r="D110" t="s">
        <v>266</v>
      </c>
      <c r="E110" s="5" t="s">
        <v>44</v>
      </c>
      <c r="F110" s="5" t="e">
        <f>VLOOKUP(B110,'Türkkep Jira'!B:F,5,0)</f>
        <v>#N/A</v>
      </c>
      <c r="G110" t="str">
        <f>IF(IFERROR(VLOOKUP(B110,'Devam Eden Sprint'!B:B,1,0),"-")=B110,"Devam Eden Sprint","-")</f>
        <v>-</v>
      </c>
      <c r="H110" t="str">
        <f>IF(IFERROR(VLOOKUP(B110,'Gelecek Sprint'!B:B,1,0),"-")=B110,"Gelecek Sprint","-")</f>
        <v>-</v>
      </c>
      <c r="I110" t="str">
        <f t="shared" si="7"/>
        <v>Ürün İş Listesi</v>
      </c>
    </row>
    <row r="111" spans="1:10" x14ac:dyDescent="0.25">
      <c r="A111" t="s">
        <v>14</v>
      </c>
      <c r="B111" t="s">
        <v>267</v>
      </c>
      <c r="C111" t="s">
        <v>16</v>
      </c>
      <c r="D111" t="s">
        <v>268</v>
      </c>
      <c r="E111" s="5" t="s">
        <v>44</v>
      </c>
      <c r="F111" s="5" t="e">
        <f>VLOOKUP(B111,'Türkkep Jira'!B:F,5,0)</f>
        <v>#N/A</v>
      </c>
      <c r="G111" t="str">
        <f>IF(IFERROR(VLOOKUP(B111,'Devam Eden Sprint'!B:B,1,0),"-")=B111,"Devam Eden Sprint","-")</f>
        <v>-</v>
      </c>
      <c r="H111" t="str">
        <f>IF(IFERROR(VLOOKUP(B111,'Gelecek Sprint'!B:B,1,0),"-")=B111,"Gelecek Sprint","-")</f>
        <v>-</v>
      </c>
      <c r="I111" t="str">
        <f t="shared" si="7"/>
        <v>Ürün İş Listesi</v>
      </c>
    </row>
    <row r="112" spans="1:10" x14ac:dyDescent="0.25">
      <c r="A112" t="s">
        <v>14</v>
      </c>
      <c r="B112" t="s">
        <v>269</v>
      </c>
      <c r="C112" t="s">
        <v>16</v>
      </c>
      <c r="D112" t="s">
        <v>270</v>
      </c>
      <c r="E112" s="5" t="s">
        <v>44</v>
      </c>
      <c r="F112" s="5" t="e">
        <f>VLOOKUP(B112,'Türkkep Jira'!B:F,5,0)</f>
        <v>#N/A</v>
      </c>
      <c r="G112" t="str">
        <f>IF(IFERROR(VLOOKUP(B112,'Devam Eden Sprint'!B:B,1,0),"-")=B112,"Devam Eden Sprint","-")</f>
        <v>-</v>
      </c>
      <c r="H112" t="str">
        <f>IF(IFERROR(VLOOKUP(B112,'Gelecek Sprint'!B:B,1,0),"-")=B112,"Gelecek Sprint","-")</f>
        <v>-</v>
      </c>
      <c r="I112" t="str">
        <f t="shared" si="7"/>
        <v>Ürün İş Listesi</v>
      </c>
    </row>
    <row r="113" spans="1:10" x14ac:dyDescent="0.25">
      <c r="A113" t="s">
        <v>14</v>
      </c>
      <c r="B113" t="s">
        <v>271</v>
      </c>
      <c r="C113" t="s">
        <v>16</v>
      </c>
      <c r="D113" t="s">
        <v>272</v>
      </c>
      <c r="E113" s="5" t="s">
        <v>44</v>
      </c>
      <c r="F113" s="5" t="e">
        <f>VLOOKUP(B113,'Türkkep Jira'!B:F,5,0)</f>
        <v>#N/A</v>
      </c>
      <c r="G113" t="str">
        <f>IF(IFERROR(VLOOKUP(B113,'Devam Eden Sprint'!B:B,1,0),"-")=B113,"Devam Eden Sprint","-")</f>
        <v>-</v>
      </c>
      <c r="H113" t="str">
        <f>IF(IFERROR(VLOOKUP(B113,'Gelecek Sprint'!B:B,1,0),"-")=B113,"Gelecek Sprint","-")</f>
        <v>-</v>
      </c>
      <c r="I113" t="str">
        <f t="shared" si="7"/>
        <v>Ürün İş Listesi</v>
      </c>
      <c r="J113" s="5">
        <v>3</v>
      </c>
    </row>
    <row r="114" spans="1:10" x14ac:dyDescent="0.25">
      <c r="A114" t="s">
        <v>14</v>
      </c>
      <c r="B114" t="s">
        <v>273</v>
      </c>
      <c r="C114" t="s">
        <v>10</v>
      </c>
      <c r="D114" t="s">
        <v>274</v>
      </c>
      <c r="E114" s="5" t="s">
        <v>44</v>
      </c>
      <c r="F114" s="5" t="e">
        <f>VLOOKUP(B114,'Türkkep Jira'!B:F,5,0)</f>
        <v>#N/A</v>
      </c>
      <c r="G114" t="str">
        <f>IF(IFERROR(VLOOKUP(B114,'Devam Eden Sprint'!B:B,1,0),"-")=B114,"Devam Eden Sprint","-")</f>
        <v>-</v>
      </c>
      <c r="H114" t="str">
        <f>IF(IFERROR(VLOOKUP(B114,'Gelecek Sprint'!B:B,1,0),"-")=B114,"Gelecek Sprint","-")</f>
        <v>-</v>
      </c>
      <c r="I114" t="str">
        <f t="shared" si="7"/>
        <v>Ürün İş Listesi</v>
      </c>
    </row>
    <row r="115" spans="1:10" x14ac:dyDescent="0.25">
      <c r="A115" t="s">
        <v>14</v>
      </c>
      <c r="B115" t="s">
        <v>275</v>
      </c>
      <c r="C115" t="s">
        <v>16</v>
      </c>
      <c r="D115" t="s">
        <v>276</v>
      </c>
      <c r="E115" s="5" t="s">
        <v>44</v>
      </c>
      <c r="F115" s="5" t="e">
        <f>VLOOKUP(B115,'Türkkep Jira'!B:F,5,0)</f>
        <v>#N/A</v>
      </c>
      <c r="G115" t="str">
        <f>IF(IFERROR(VLOOKUP(B115,'Devam Eden Sprint'!B:B,1,0),"-")=B115,"Devam Eden Sprint","-")</f>
        <v>-</v>
      </c>
      <c r="H115" t="str">
        <f>IF(IFERROR(VLOOKUP(B115,'Gelecek Sprint'!B:B,1,0),"-")=B115,"Gelecek Sprint","-")</f>
        <v>-</v>
      </c>
      <c r="I115" t="str">
        <f t="shared" si="7"/>
        <v>Ürün İş Listesi</v>
      </c>
      <c r="J115" s="5">
        <v>3</v>
      </c>
    </row>
    <row r="116" spans="1:10" x14ac:dyDescent="0.25">
      <c r="A116" t="s">
        <v>14</v>
      </c>
      <c r="B116" t="s">
        <v>277</v>
      </c>
      <c r="C116" t="s">
        <v>16</v>
      </c>
      <c r="D116" t="s">
        <v>278</v>
      </c>
      <c r="E116" s="5" t="s">
        <v>44</v>
      </c>
      <c r="F116" s="5" t="e">
        <f>VLOOKUP(B116,'Türkkep Jira'!B:F,5,0)</f>
        <v>#N/A</v>
      </c>
      <c r="G116" t="str">
        <f>IF(IFERROR(VLOOKUP(B116,'Devam Eden Sprint'!B:B,1,0),"-")=B116,"Devam Eden Sprint","-")</f>
        <v>-</v>
      </c>
      <c r="H116" t="str">
        <f>IF(IFERROR(VLOOKUP(B116,'Gelecek Sprint'!B:B,1,0),"-")=B116,"Gelecek Sprint","-")</f>
        <v>-</v>
      </c>
      <c r="I116" t="str">
        <f t="shared" si="7"/>
        <v>Ürün İş Listesi</v>
      </c>
      <c r="J116" s="5">
        <v>3</v>
      </c>
    </row>
    <row r="117" spans="1:10" x14ac:dyDescent="0.25">
      <c r="A117" t="s">
        <v>14</v>
      </c>
      <c r="B117" t="s">
        <v>279</v>
      </c>
      <c r="C117" t="s">
        <v>16</v>
      </c>
      <c r="D117" t="s">
        <v>280</v>
      </c>
      <c r="E117" s="5" t="s">
        <v>44</v>
      </c>
      <c r="F117" s="5" t="e">
        <f>VLOOKUP(B117,'Türkkep Jira'!B:F,5,0)</f>
        <v>#N/A</v>
      </c>
      <c r="G117" t="str">
        <f>IF(IFERROR(VLOOKUP(B117,'Devam Eden Sprint'!B:B,1,0),"-")=B117,"Devam Eden Sprint","-")</f>
        <v>-</v>
      </c>
      <c r="H117" t="str">
        <f>IF(IFERROR(VLOOKUP(B117,'Gelecek Sprint'!B:B,1,0),"-")=B117,"Gelecek Sprint","-")</f>
        <v>-</v>
      </c>
      <c r="I117" t="str">
        <f t="shared" si="7"/>
        <v>Ürün İş Listesi</v>
      </c>
      <c r="J117" s="5">
        <v>3</v>
      </c>
    </row>
    <row r="118" spans="1:10" x14ac:dyDescent="0.25">
      <c r="A118" t="s">
        <v>77</v>
      </c>
      <c r="B118" t="s">
        <v>281</v>
      </c>
      <c r="C118" t="s">
        <v>16</v>
      </c>
      <c r="D118" t="s">
        <v>282</v>
      </c>
      <c r="E118" s="5" t="s">
        <v>44</v>
      </c>
      <c r="F118" s="5" t="e">
        <f>VLOOKUP(B118,'Türkkep Jira'!B:F,5,0)</f>
        <v>#N/A</v>
      </c>
      <c r="G118" t="str">
        <f>IF(IFERROR(VLOOKUP(B118,'Devam Eden Sprint'!B:B,1,0),"-")=B118,"Devam Eden Sprint","-")</f>
        <v>-</v>
      </c>
      <c r="H118" t="str">
        <f>IF(IFERROR(VLOOKUP(B118,'Gelecek Sprint'!B:B,1,0),"-")=B118,"Gelecek Sprint","-")</f>
        <v>-</v>
      </c>
      <c r="I118" t="str">
        <f t="shared" si="7"/>
        <v>Ürün İş Listesi</v>
      </c>
      <c r="J118" s="5">
        <v>3</v>
      </c>
    </row>
    <row r="119" spans="1:10" x14ac:dyDescent="0.25">
      <c r="A119" t="s">
        <v>14</v>
      </c>
      <c r="B119" t="s">
        <v>283</v>
      </c>
      <c r="C119" t="s">
        <v>16</v>
      </c>
      <c r="D119" t="s">
        <v>284</v>
      </c>
      <c r="E119" s="5" t="s">
        <v>44</v>
      </c>
      <c r="F119" s="5" t="e">
        <f>VLOOKUP(B119,'Türkkep Jira'!B:F,5,0)</f>
        <v>#N/A</v>
      </c>
      <c r="G119" t="str">
        <f>IF(IFERROR(VLOOKUP(B119,'Devam Eden Sprint'!B:B,1,0),"-")=B119,"Devam Eden Sprint","-")</f>
        <v>-</v>
      </c>
      <c r="H119" t="str">
        <f>IF(IFERROR(VLOOKUP(B119,'Gelecek Sprint'!B:B,1,0),"-")=B119,"Gelecek Sprint","-")</f>
        <v>-</v>
      </c>
      <c r="I119" t="str">
        <f t="shared" si="7"/>
        <v>Ürün İş Listesi</v>
      </c>
    </row>
    <row r="120" spans="1:10" x14ac:dyDescent="0.25">
      <c r="A120" t="s">
        <v>14</v>
      </c>
      <c r="B120" t="s">
        <v>285</v>
      </c>
      <c r="C120" t="s">
        <v>16</v>
      </c>
      <c r="D120" t="s">
        <v>286</v>
      </c>
      <c r="E120" s="5" t="s">
        <v>44</v>
      </c>
      <c r="F120" s="5" t="e">
        <f>VLOOKUP(B120,'Türkkep Jira'!B:F,5,0)</f>
        <v>#N/A</v>
      </c>
      <c r="G120" t="str">
        <f>IF(IFERROR(VLOOKUP(B120,'Devam Eden Sprint'!B:B,1,0),"-")=B120,"Devam Eden Sprint","-")</f>
        <v>-</v>
      </c>
      <c r="H120" t="str">
        <f>IF(IFERROR(VLOOKUP(B120,'Gelecek Sprint'!B:B,1,0),"-")=B120,"Gelecek Sprint","-")</f>
        <v>-</v>
      </c>
      <c r="I120" t="str">
        <f t="shared" si="7"/>
        <v>Ürün İş Listesi</v>
      </c>
    </row>
    <row r="121" spans="1:10" x14ac:dyDescent="0.25">
      <c r="A121" t="s">
        <v>77</v>
      </c>
      <c r="B121" t="s">
        <v>287</v>
      </c>
      <c r="C121" t="s">
        <v>16</v>
      </c>
      <c r="D121" t="s">
        <v>288</v>
      </c>
      <c r="E121" s="5" t="s">
        <v>44</v>
      </c>
      <c r="F121" s="5" t="e">
        <f>VLOOKUP(B121,'Türkkep Jira'!B:F,5,0)</f>
        <v>#N/A</v>
      </c>
      <c r="G121" t="str">
        <f>IF(IFERROR(VLOOKUP(B121,'Devam Eden Sprint'!B:B,1,0),"-")=B121,"Devam Eden Sprint","-")</f>
        <v>-</v>
      </c>
      <c r="H121" t="str">
        <f>IF(IFERROR(VLOOKUP(B121,'Gelecek Sprint'!B:B,1,0),"-")=B121,"Gelecek Sprint","-")</f>
        <v>-</v>
      </c>
      <c r="I121" t="str">
        <f t="shared" si="7"/>
        <v>Ürün İş Listesi</v>
      </c>
      <c r="J121" s="5">
        <v>3</v>
      </c>
    </row>
    <row r="122" spans="1:10" x14ac:dyDescent="0.25">
      <c r="A122" t="s">
        <v>14</v>
      </c>
      <c r="B122" t="s">
        <v>289</v>
      </c>
      <c r="C122" t="s">
        <v>16</v>
      </c>
      <c r="D122" t="s">
        <v>290</v>
      </c>
      <c r="E122" s="5" t="s">
        <v>44</v>
      </c>
      <c r="F122" s="5" t="e">
        <f>VLOOKUP(B122,'Türkkep Jira'!B:F,5,0)</f>
        <v>#N/A</v>
      </c>
      <c r="G122" t="str">
        <f>IF(IFERROR(VLOOKUP(B122,'Devam Eden Sprint'!B:B,1,0),"-")=B122,"Devam Eden Sprint","-")</f>
        <v>-</v>
      </c>
      <c r="H122" t="str">
        <f>IF(IFERROR(VLOOKUP(B122,'Gelecek Sprint'!B:B,1,0),"-")=B122,"Gelecek Sprint","-")</f>
        <v>-</v>
      </c>
      <c r="I122" t="str">
        <f t="shared" si="7"/>
        <v>Ürün İş Listesi</v>
      </c>
      <c r="J122" s="5">
        <v>5</v>
      </c>
    </row>
    <row r="123" spans="1:10" x14ac:dyDescent="0.25">
      <c r="A123" t="s">
        <v>77</v>
      </c>
      <c r="B123" t="s">
        <v>291</v>
      </c>
      <c r="C123" t="s">
        <v>16</v>
      </c>
      <c r="D123" t="s">
        <v>292</v>
      </c>
      <c r="E123" s="5" t="s">
        <v>44</v>
      </c>
      <c r="F123" s="5" t="e">
        <f>VLOOKUP(B123,'Türkkep Jira'!B:F,5,0)</f>
        <v>#N/A</v>
      </c>
      <c r="G123" t="str">
        <f>IF(IFERROR(VLOOKUP(B123,'Devam Eden Sprint'!B:B,1,0),"-")=B123,"Devam Eden Sprint","-")</f>
        <v>-</v>
      </c>
      <c r="H123" t="str">
        <f>IF(IFERROR(VLOOKUP(B123,'Gelecek Sprint'!B:B,1,0),"-")=B123,"Gelecek Sprint","-")</f>
        <v>-</v>
      </c>
      <c r="I123" t="str">
        <f t="shared" si="7"/>
        <v>Ürün İş Listesi</v>
      </c>
      <c r="J123" s="5">
        <v>3</v>
      </c>
    </row>
    <row r="124" spans="1:10" x14ac:dyDescent="0.25">
      <c r="A124" t="s">
        <v>77</v>
      </c>
      <c r="B124" t="s">
        <v>293</v>
      </c>
      <c r="C124" t="s">
        <v>16</v>
      </c>
      <c r="D124" t="s">
        <v>294</v>
      </c>
      <c r="E124" s="5" t="s">
        <v>44</v>
      </c>
      <c r="F124" s="5" t="e">
        <f>VLOOKUP(B124,'Türkkep Jira'!B:F,5,0)</f>
        <v>#N/A</v>
      </c>
      <c r="G124" t="str">
        <f>IF(IFERROR(VLOOKUP(B124,'Devam Eden Sprint'!B:B,1,0),"-")=B124,"Devam Eden Sprint","-")</f>
        <v>-</v>
      </c>
      <c r="H124" t="str">
        <f>IF(IFERROR(VLOOKUP(B124,'Gelecek Sprint'!B:B,1,0),"-")=B124,"Gelecek Sprint","-")</f>
        <v>-</v>
      </c>
      <c r="I124" t="str">
        <f t="shared" si="7"/>
        <v>Ürün İş Listesi</v>
      </c>
      <c r="J124" s="5">
        <v>3</v>
      </c>
    </row>
    <row r="125" spans="1:10" x14ac:dyDescent="0.25">
      <c r="A125" t="s">
        <v>77</v>
      </c>
      <c r="B125" t="s">
        <v>295</v>
      </c>
      <c r="C125" t="s">
        <v>26</v>
      </c>
      <c r="D125" t="s">
        <v>296</v>
      </c>
      <c r="E125" s="5" t="s">
        <v>44</v>
      </c>
      <c r="F125" s="5" t="e">
        <f>VLOOKUP(B125,'Türkkep Jira'!B:F,5,0)</f>
        <v>#N/A</v>
      </c>
      <c r="G125" t="str">
        <f>IF(IFERROR(VLOOKUP(B125,'Devam Eden Sprint'!B:B,1,0),"-")=B125,"Devam Eden Sprint","-")</f>
        <v>-</v>
      </c>
      <c r="H125" t="str">
        <f>IF(IFERROR(VLOOKUP(B125,'Gelecek Sprint'!B:B,1,0),"-")=B125,"Gelecek Sprint","-")</f>
        <v>-</v>
      </c>
      <c r="I125" t="str">
        <f t="shared" si="7"/>
        <v>Ürün İş Listesi</v>
      </c>
      <c r="J125" s="5">
        <v>3</v>
      </c>
    </row>
    <row r="126" spans="1:10" x14ac:dyDescent="0.25">
      <c r="A126" t="s">
        <v>77</v>
      </c>
      <c r="B126" t="s">
        <v>297</v>
      </c>
      <c r="C126" t="s">
        <v>16</v>
      </c>
      <c r="D126" t="s">
        <v>298</v>
      </c>
      <c r="E126" s="5" t="s">
        <v>44</v>
      </c>
      <c r="F126" s="5" t="e">
        <f>VLOOKUP(B126,'Türkkep Jira'!B:F,5,0)</f>
        <v>#N/A</v>
      </c>
      <c r="G126" t="str">
        <f>IF(IFERROR(VLOOKUP(B126,'Devam Eden Sprint'!B:B,1,0),"-")=B126,"Devam Eden Sprint","-")</f>
        <v>-</v>
      </c>
      <c r="H126" t="str">
        <f>IF(IFERROR(VLOOKUP(B126,'Gelecek Sprint'!B:B,1,0),"-")=B126,"Gelecek Sprint","-")</f>
        <v>-</v>
      </c>
      <c r="I126" t="str">
        <f t="shared" si="7"/>
        <v>Ürün İş Listesi</v>
      </c>
      <c r="J126" s="5">
        <v>2</v>
      </c>
    </row>
    <row r="127" spans="1:10" x14ac:dyDescent="0.25">
      <c r="A127" t="s">
        <v>14</v>
      </c>
      <c r="B127" t="s">
        <v>299</v>
      </c>
      <c r="C127" t="s">
        <v>16</v>
      </c>
      <c r="D127" t="s">
        <v>300</v>
      </c>
      <c r="E127" s="5" t="s">
        <v>44</v>
      </c>
      <c r="F127" s="5" t="e">
        <f>VLOOKUP(B127,'Türkkep Jira'!B:F,5,0)</f>
        <v>#N/A</v>
      </c>
      <c r="G127" t="str">
        <f>IF(IFERROR(VLOOKUP(B127,'Devam Eden Sprint'!B:B,1,0),"-")=B127,"Devam Eden Sprint","-")</f>
        <v>-</v>
      </c>
      <c r="H127" t="str">
        <f>IF(IFERROR(VLOOKUP(B127,'Gelecek Sprint'!B:B,1,0),"-")=B127,"Gelecek Sprint","-")</f>
        <v>-</v>
      </c>
      <c r="I127" t="str">
        <f t="shared" si="7"/>
        <v>Ürün İş Listesi</v>
      </c>
      <c r="J127" s="5">
        <v>3</v>
      </c>
    </row>
    <row r="128" spans="1:10" x14ac:dyDescent="0.25">
      <c r="A128" t="s">
        <v>14</v>
      </c>
      <c r="B128" t="s">
        <v>301</v>
      </c>
      <c r="C128" t="s">
        <v>16</v>
      </c>
      <c r="D128" t="s">
        <v>302</v>
      </c>
      <c r="E128" s="5" t="s">
        <v>44</v>
      </c>
      <c r="F128" s="5" t="e">
        <f>VLOOKUP(B128,'Türkkep Jira'!B:F,5,0)</f>
        <v>#N/A</v>
      </c>
      <c r="G128" t="str">
        <f>IF(IFERROR(VLOOKUP(B128,'Devam Eden Sprint'!B:B,1,0),"-")=B128,"Devam Eden Sprint","-")</f>
        <v>-</v>
      </c>
      <c r="H128" t="str">
        <f>IF(IFERROR(VLOOKUP(B128,'Gelecek Sprint'!B:B,1,0),"-")=B128,"Gelecek Sprint","-")</f>
        <v>-</v>
      </c>
      <c r="I128" t="str">
        <f t="shared" si="7"/>
        <v>Ürün İş Listesi</v>
      </c>
      <c r="J128" s="5">
        <v>5</v>
      </c>
    </row>
    <row r="129" spans="1:10" x14ac:dyDescent="0.25">
      <c r="A129" t="s">
        <v>77</v>
      </c>
      <c r="B129" t="s">
        <v>303</v>
      </c>
      <c r="C129" t="s">
        <v>16</v>
      </c>
      <c r="D129" t="s">
        <v>304</v>
      </c>
      <c r="E129" s="5" t="s">
        <v>44</v>
      </c>
      <c r="F129" s="5" t="e">
        <f>VLOOKUP(B129,'Türkkep Jira'!B:F,5,0)</f>
        <v>#N/A</v>
      </c>
      <c r="G129" t="str">
        <f>IF(IFERROR(VLOOKUP(B129,'Devam Eden Sprint'!B:B,1,0),"-")=B129,"Devam Eden Sprint","-")</f>
        <v>-</v>
      </c>
      <c r="H129" t="str">
        <f>IF(IFERROR(VLOOKUP(B129,'Gelecek Sprint'!B:B,1,0),"-")=B129,"Gelecek Sprint","-")</f>
        <v>-</v>
      </c>
      <c r="I129" t="str">
        <f t="shared" si="7"/>
        <v>Ürün İş Listesi</v>
      </c>
      <c r="J129" s="5">
        <v>3</v>
      </c>
    </row>
    <row r="130" spans="1:10" x14ac:dyDescent="0.25">
      <c r="A130" t="s">
        <v>14</v>
      </c>
      <c r="B130" t="s">
        <v>305</v>
      </c>
      <c r="C130" t="s">
        <v>10</v>
      </c>
      <c r="D130" t="s">
        <v>306</v>
      </c>
      <c r="E130" s="5" t="s">
        <v>50</v>
      </c>
      <c r="F130" s="5" t="e">
        <f>VLOOKUP(B130,'Türkkep Jira'!B:F,5,0)</f>
        <v>#N/A</v>
      </c>
      <c r="G130" t="str">
        <f>IF(IFERROR(VLOOKUP(B130,'Devam Eden Sprint'!B:B,1,0),"-")=B130,"Devam Eden Sprint","-")</f>
        <v>-</v>
      </c>
      <c r="H130" t="str">
        <f>IF(IFERROR(VLOOKUP(B130,'Gelecek Sprint'!B:B,1,0),"-")=B130,"Gelecek Sprint","-")</f>
        <v>-</v>
      </c>
      <c r="I130" t="str">
        <f t="shared" ref="I130:I193" si="8">IFERROR(IF(AND(G130="Devam Eden Sprint",H130="Gelecek Sprint"),"Devam Eden ve Gelecek Sprint",IF(G130="Devam Eden Sprint","Devam Eden Sprint",IF(H130="Gelecek Sprint","Gelecek Sprint","Ürün İş Listesi"))),"Ürün İş Listesi")</f>
        <v>Ürün İş Listesi</v>
      </c>
    </row>
    <row r="131" spans="1:10" x14ac:dyDescent="0.25">
      <c r="A131" t="s">
        <v>14</v>
      </c>
      <c r="B131" t="s">
        <v>307</v>
      </c>
      <c r="C131" t="s">
        <v>16</v>
      </c>
      <c r="D131" t="s">
        <v>308</v>
      </c>
      <c r="E131" s="5" t="s">
        <v>50</v>
      </c>
      <c r="F131" s="5" t="e">
        <f>VLOOKUP(B131,'Türkkep Jira'!B:F,5,0)</f>
        <v>#N/A</v>
      </c>
      <c r="G131" t="str">
        <f>IF(IFERROR(VLOOKUP(B131,'Devam Eden Sprint'!B:B,1,0),"-")=B131,"Devam Eden Sprint","-")</f>
        <v>-</v>
      </c>
      <c r="H131" t="str">
        <f>IF(IFERROR(VLOOKUP(B131,'Gelecek Sprint'!B:B,1,0),"-")=B131,"Gelecek Sprint","-")</f>
        <v>-</v>
      </c>
      <c r="I131" t="str">
        <f t="shared" si="8"/>
        <v>Ürün İş Listesi</v>
      </c>
    </row>
    <row r="132" spans="1:10" x14ac:dyDescent="0.25">
      <c r="A132" t="s">
        <v>14</v>
      </c>
      <c r="B132" t="s">
        <v>309</v>
      </c>
      <c r="C132" t="s">
        <v>16</v>
      </c>
      <c r="D132" t="s">
        <v>310</v>
      </c>
      <c r="E132" s="5" t="s">
        <v>50</v>
      </c>
      <c r="F132" s="5" t="e">
        <f>VLOOKUP(B132,'Türkkep Jira'!B:F,5,0)</f>
        <v>#N/A</v>
      </c>
      <c r="G132" t="str">
        <f>IF(IFERROR(VLOOKUP(B132,'Devam Eden Sprint'!B:B,1,0),"-")=B132,"Devam Eden Sprint","-")</f>
        <v>-</v>
      </c>
      <c r="H132" t="str">
        <f>IF(IFERROR(VLOOKUP(B132,'Gelecek Sprint'!B:B,1,0),"-")=B132,"Gelecek Sprint","-")</f>
        <v>-</v>
      </c>
      <c r="I132" t="str">
        <f t="shared" si="8"/>
        <v>Ürün İş Listesi</v>
      </c>
    </row>
    <row r="133" spans="1:10" x14ac:dyDescent="0.25">
      <c r="A133" t="s">
        <v>14</v>
      </c>
      <c r="B133" t="s">
        <v>311</v>
      </c>
      <c r="C133" t="s">
        <v>16</v>
      </c>
      <c r="D133" t="s">
        <v>312</v>
      </c>
      <c r="E133" s="5" t="s">
        <v>50</v>
      </c>
      <c r="F133" s="5" t="e">
        <f>VLOOKUP(B133,'Türkkep Jira'!B:F,5,0)</f>
        <v>#N/A</v>
      </c>
      <c r="G133" t="str">
        <f>IF(IFERROR(VLOOKUP(B133,'Devam Eden Sprint'!B:B,1,0),"-")=B133,"Devam Eden Sprint","-")</f>
        <v>-</v>
      </c>
      <c r="H133" t="str">
        <f>IF(IFERROR(VLOOKUP(B133,'Gelecek Sprint'!B:B,1,0),"-")=B133,"Gelecek Sprint","-")</f>
        <v>-</v>
      </c>
      <c r="I133" t="str">
        <f t="shared" si="8"/>
        <v>Ürün İş Listesi</v>
      </c>
    </row>
    <row r="134" spans="1:10" x14ac:dyDescent="0.25">
      <c r="A134" t="s">
        <v>14</v>
      </c>
      <c r="B134" t="s">
        <v>313</v>
      </c>
      <c r="C134" t="s">
        <v>16</v>
      </c>
      <c r="D134" t="s">
        <v>314</v>
      </c>
      <c r="E134" s="5" t="s">
        <v>50</v>
      </c>
      <c r="F134" s="5" t="e">
        <f>VLOOKUP(B134,'Türkkep Jira'!B:F,5,0)</f>
        <v>#N/A</v>
      </c>
      <c r="G134" t="str">
        <f>IF(IFERROR(VLOOKUP(B134,'Devam Eden Sprint'!B:B,1,0),"-")=B134,"Devam Eden Sprint","-")</f>
        <v>-</v>
      </c>
      <c r="H134" t="str">
        <f>IF(IFERROR(VLOOKUP(B134,'Gelecek Sprint'!B:B,1,0),"-")=B134,"Gelecek Sprint","-")</f>
        <v>-</v>
      </c>
      <c r="I134" t="str">
        <f t="shared" si="8"/>
        <v>Ürün İş Listesi</v>
      </c>
    </row>
    <row r="135" spans="1:10" x14ac:dyDescent="0.25">
      <c r="A135" t="s">
        <v>14</v>
      </c>
      <c r="B135" t="s">
        <v>315</v>
      </c>
      <c r="C135" t="s">
        <v>16</v>
      </c>
      <c r="D135" t="s">
        <v>316</v>
      </c>
      <c r="E135" s="5" t="s">
        <v>50</v>
      </c>
      <c r="F135" s="5" t="e">
        <f>VLOOKUP(B135,'Türkkep Jira'!B:F,5,0)</f>
        <v>#N/A</v>
      </c>
      <c r="G135" t="str">
        <f>IF(IFERROR(VLOOKUP(B135,'Devam Eden Sprint'!B:B,1,0),"-")=B135,"Devam Eden Sprint","-")</f>
        <v>-</v>
      </c>
      <c r="H135" t="str">
        <f>IF(IFERROR(VLOOKUP(B135,'Gelecek Sprint'!B:B,1,0),"-")=B135,"Gelecek Sprint","-")</f>
        <v>-</v>
      </c>
      <c r="I135" t="str">
        <f t="shared" si="8"/>
        <v>Ürün İş Listesi</v>
      </c>
    </row>
    <row r="136" spans="1:10" x14ac:dyDescent="0.25">
      <c r="A136" t="s">
        <v>14</v>
      </c>
      <c r="B136" t="s">
        <v>317</v>
      </c>
      <c r="C136" t="s">
        <v>16</v>
      </c>
      <c r="D136" t="s">
        <v>318</v>
      </c>
      <c r="E136" s="5" t="s">
        <v>50</v>
      </c>
      <c r="F136" s="5" t="e">
        <f>VLOOKUP(B136,'Türkkep Jira'!B:F,5,0)</f>
        <v>#N/A</v>
      </c>
      <c r="G136" t="str">
        <f>IF(IFERROR(VLOOKUP(B136,'Devam Eden Sprint'!B:B,1,0),"-")=B136,"Devam Eden Sprint","-")</f>
        <v>-</v>
      </c>
      <c r="H136" t="str">
        <f>IF(IFERROR(VLOOKUP(B136,'Gelecek Sprint'!B:B,1,0),"-")=B136,"Gelecek Sprint","-")</f>
        <v>-</v>
      </c>
      <c r="I136" t="str">
        <f t="shared" si="8"/>
        <v>Ürün İş Listesi</v>
      </c>
    </row>
    <row r="137" spans="1:10" x14ac:dyDescent="0.25">
      <c r="A137" t="s">
        <v>77</v>
      </c>
      <c r="B137" t="s">
        <v>319</v>
      </c>
      <c r="C137" t="s">
        <v>16</v>
      </c>
      <c r="D137" t="s">
        <v>320</v>
      </c>
      <c r="E137" s="5" t="s">
        <v>50</v>
      </c>
      <c r="F137" s="5" t="e">
        <f>VLOOKUP(B137,'Türkkep Jira'!B:F,5,0)</f>
        <v>#N/A</v>
      </c>
      <c r="G137" t="str">
        <f>IF(IFERROR(VLOOKUP(B137,'Devam Eden Sprint'!B:B,1,0),"-")=B137,"Devam Eden Sprint","-")</f>
        <v>-</v>
      </c>
      <c r="H137" t="str">
        <f>IF(IFERROR(VLOOKUP(B137,'Gelecek Sprint'!B:B,1,0),"-")=B137,"Gelecek Sprint","-")</f>
        <v>-</v>
      </c>
      <c r="I137" t="str">
        <f t="shared" si="8"/>
        <v>Ürün İş Listesi</v>
      </c>
    </row>
    <row r="138" spans="1:10" x14ac:dyDescent="0.25">
      <c r="A138" t="s">
        <v>14</v>
      </c>
      <c r="B138" t="s">
        <v>321</v>
      </c>
      <c r="C138" t="s">
        <v>16</v>
      </c>
      <c r="D138" t="s">
        <v>322</v>
      </c>
      <c r="E138" s="5" t="s">
        <v>50</v>
      </c>
      <c r="F138" s="5" t="e">
        <f>VLOOKUP(B138,'Türkkep Jira'!B:F,5,0)</f>
        <v>#N/A</v>
      </c>
      <c r="G138" t="str">
        <f>IF(IFERROR(VLOOKUP(B138,'Devam Eden Sprint'!B:B,1,0),"-")=B138,"Devam Eden Sprint","-")</f>
        <v>-</v>
      </c>
      <c r="H138" t="str">
        <f>IF(IFERROR(VLOOKUP(B138,'Gelecek Sprint'!B:B,1,0),"-")=B138,"Gelecek Sprint","-")</f>
        <v>-</v>
      </c>
      <c r="I138" t="str">
        <f t="shared" si="8"/>
        <v>Ürün İş Listesi</v>
      </c>
    </row>
    <row r="139" spans="1:10" x14ac:dyDescent="0.25">
      <c r="A139" t="s">
        <v>14</v>
      </c>
      <c r="B139" t="s">
        <v>323</v>
      </c>
      <c r="C139" t="s">
        <v>16</v>
      </c>
      <c r="D139" t="s">
        <v>324</v>
      </c>
      <c r="E139" s="5" t="s">
        <v>50</v>
      </c>
      <c r="F139" s="5" t="e">
        <f>VLOOKUP(B139,'Türkkep Jira'!B:F,5,0)</f>
        <v>#N/A</v>
      </c>
      <c r="G139" t="str">
        <f>IF(IFERROR(VLOOKUP(B139,'Devam Eden Sprint'!B:B,1,0),"-")=B139,"Devam Eden Sprint","-")</f>
        <v>-</v>
      </c>
      <c r="H139" t="str">
        <f>IF(IFERROR(VLOOKUP(B139,'Gelecek Sprint'!B:B,1,0),"-")=B139,"Gelecek Sprint","-")</f>
        <v>-</v>
      </c>
      <c r="I139" t="str">
        <f t="shared" si="8"/>
        <v>Ürün İş Listesi</v>
      </c>
    </row>
    <row r="140" spans="1:10" x14ac:dyDescent="0.25">
      <c r="A140" t="s">
        <v>14</v>
      </c>
      <c r="B140" t="s">
        <v>325</v>
      </c>
      <c r="C140" t="s">
        <v>16</v>
      </c>
      <c r="D140" t="s">
        <v>326</v>
      </c>
      <c r="E140" s="5" t="s">
        <v>50</v>
      </c>
      <c r="F140" s="5" t="e">
        <f>VLOOKUP(B140,'Türkkep Jira'!B:F,5,0)</f>
        <v>#N/A</v>
      </c>
      <c r="G140" t="str">
        <f>IF(IFERROR(VLOOKUP(B140,'Devam Eden Sprint'!B:B,1,0),"-")=B140,"Devam Eden Sprint","-")</f>
        <v>-</v>
      </c>
      <c r="H140" t="str">
        <f>IF(IFERROR(VLOOKUP(B140,'Gelecek Sprint'!B:B,1,0),"-")=B140,"Gelecek Sprint","-")</f>
        <v>-</v>
      </c>
      <c r="I140" t="str">
        <f t="shared" si="8"/>
        <v>Ürün İş Listesi</v>
      </c>
    </row>
    <row r="141" spans="1:10" x14ac:dyDescent="0.25">
      <c r="A141" t="s">
        <v>14</v>
      </c>
      <c r="B141" t="s">
        <v>327</v>
      </c>
      <c r="C141" t="s">
        <v>16</v>
      </c>
      <c r="D141" t="s">
        <v>328</v>
      </c>
      <c r="E141" s="5" t="s">
        <v>50</v>
      </c>
      <c r="F141" s="5" t="e">
        <f>VLOOKUP(B141,'Türkkep Jira'!B:F,5,0)</f>
        <v>#N/A</v>
      </c>
      <c r="G141" t="str">
        <f>IF(IFERROR(VLOOKUP(B141,'Devam Eden Sprint'!B:B,1,0),"-")=B141,"Devam Eden Sprint","-")</f>
        <v>-</v>
      </c>
      <c r="H141" t="str">
        <f>IF(IFERROR(VLOOKUP(B141,'Gelecek Sprint'!B:B,1,0),"-")=B141,"Gelecek Sprint","-")</f>
        <v>-</v>
      </c>
      <c r="I141" t="str">
        <f t="shared" si="8"/>
        <v>Ürün İş Listesi</v>
      </c>
    </row>
    <row r="142" spans="1:10" x14ac:dyDescent="0.25">
      <c r="A142" t="s">
        <v>14</v>
      </c>
      <c r="B142" t="s">
        <v>329</v>
      </c>
      <c r="C142" t="s">
        <v>16</v>
      </c>
      <c r="D142" t="s">
        <v>330</v>
      </c>
      <c r="E142" s="5" t="s">
        <v>50</v>
      </c>
      <c r="F142" s="5" t="e">
        <f>VLOOKUP(B142,'Türkkep Jira'!B:F,5,0)</f>
        <v>#N/A</v>
      </c>
      <c r="G142" t="str">
        <f>IF(IFERROR(VLOOKUP(B142,'Devam Eden Sprint'!B:B,1,0),"-")=B142,"Devam Eden Sprint","-")</f>
        <v>-</v>
      </c>
      <c r="H142" t="str">
        <f>IF(IFERROR(VLOOKUP(B142,'Gelecek Sprint'!B:B,1,0),"-")=B142,"Gelecek Sprint","-")</f>
        <v>-</v>
      </c>
      <c r="I142" t="str">
        <f t="shared" si="8"/>
        <v>Ürün İş Listesi</v>
      </c>
    </row>
    <row r="143" spans="1:10" x14ac:dyDescent="0.25">
      <c r="A143" t="s">
        <v>14</v>
      </c>
      <c r="B143" t="s">
        <v>331</v>
      </c>
      <c r="C143" t="s">
        <v>16</v>
      </c>
      <c r="D143" t="s">
        <v>332</v>
      </c>
      <c r="E143" s="5" t="s">
        <v>50</v>
      </c>
      <c r="F143" s="5" t="e">
        <f>VLOOKUP(B143,'Türkkep Jira'!B:F,5,0)</f>
        <v>#N/A</v>
      </c>
      <c r="G143" t="str">
        <f>IF(IFERROR(VLOOKUP(B143,'Devam Eden Sprint'!B:B,1,0),"-")=B143,"Devam Eden Sprint","-")</f>
        <v>-</v>
      </c>
      <c r="H143" t="str">
        <f>IF(IFERROR(VLOOKUP(B143,'Gelecek Sprint'!B:B,1,0),"-")=B143,"Gelecek Sprint","-")</f>
        <v>-</v>
      </c>
      <c r="I143" t="str">
        <f t="shared" si="8"/>
        <v>Ürün İş Listesi</v>
      </c>
      <c r="J143" s="5">
        <v>3</v>
      </c>
    </row>
    <row r="144" spans="1:10" x14ac:dyDescent="0.25">
      <c r="A144" t="s">
        <v>14</v>
      </c>
      <c r="B144" t="s">
        <v>333</v>
      </c>
      <c r="C144" t="s">
        <v>16</v>
      </c>
      <c r="D144" t="s">
        <v>334</v>
      </c>
      <c r="E144" s="5" t="s">
        <v>50</v>
      </c>
      <c r="F144" s="5" t="e">
        <f>VLOOKUP(B144,'Türkkep Jira'!B:F,5,0)</f>
        <v>#N/A</v>
      </c>
      <c r="G144" t="str">
        <f>IF(IFERROR(VLOOKUP(B144,'Devam Eden Sprint'!B:B,1,0),"-")=B144,"Devam Eden Sprint","-")</f>
        <v>-</v>
      </c>
      <c r="H144" t="str">
        <f>IF(IFERROR(VLOOKUP(B144,'Gelecek Sprint'!B:B,1,0),"-")=B144,"Gelecek Sprint","-")</f>
        <v>-</v>
      </c>
      <c r="I144" t="str">
        <f t="shared" si="8"/>
        <v>Ürün İş Listesi</v>
      </c>
      <c r="J144" s="5">
        <v>1</v>
      </c>
    </row>
    <row r="145" spans="1:10" x14ac:dyDescent="0.25">
      <c r="A145" t="s">
        <v>77</v>
      </c>
      <c r="B145" t="s">
        <v>335</v>
      </c>
      <c r="C145" t="s">
        <v>16</v>
      </c>
      <c r="D145" t="s">
        <v>336</v>
      </c>
      <c r="E145" s="5" t="s">
        <v>50</v>
      </c>
      <c r="F145" s="5" t="e">
        <f>VLOOKUP(B145,'Türkkep Jira'!B:F,5,0)</f>
        <v>#N/A</v>
      </c>
      <c r="G145" t="str">
        <f>IF(IFERROR(VLOOKUP(B145,'Devam Eden Sprint'!B:B,1,0),"-")=B145,"Devam Eden Sprint","-")</f>
        <v>-</v>
      </c>
      <c r="H145" t="str">
        <f>IF(IFERROR(VLOOKUP(B145,'Gelecek Sprint'!B:B,1,0),"-")=B145,"Gelecek Sprint","-")</f>
        <v>-</v>
      </c>
      <c r="I145" t="str">
        <f t="shared" si="8"/>
        <v>Ürün İş Listesi</v>
      </c>
      <c r="J145" s="5">
        <v>5</v>
      </c>
    </row>
    <row r="146" spans="1:10" x14ac:dyDescent="0.25">
      <c r="A146" t="s">
        <v>14</v>
      </c>
      <c r="B146" t="s">
        <v>337</v>
      </c>
      <c r="C146" t="s">
        <v>16</v>
      </c>
      <c r="D146" t="s">
        <v>338</v>
      </c>
      <c r="E146" s="5" t="s">
        <v>50</v>
      </c>
      <c r="F146" s="5" t="e">
        <f>VLOOKUP(B146,'Türkkep Jira'!B:F,5,0)</f>
        <v>#N/A</v>
      </c>
      <c r="G146" t="str">
        <f>IF(IFERROR(VLOOKUP(B146,'Devam Eden Sprint'!B:B,1,0),"-")=B146,"Devam Eden Sprint","-")</f>
        <v>-</v>
      </c>
      <c r="H146" t="str">
        <f>IF(IFERROR(VLOOKUP(B146,'Gelecek Sprint'!B:B,1,0),"-")=B146,"Gelecek Sprint","-")</f>
        <v>-</v>
      </c>
      <c r="I146" t="str">
        <f t="shared" si="8"/>
        <v>Ürün İş Listesi</v>
      </c>
      <c r="J146" s="5">
        <v>1</v>
      </c>
    </row>
    <row r="147" spans="1:10" x14ac:dyDescent="0.25">
      <c r="A147" t="s">
        <v>14</v>
      </c>
      <c r="B147" t="s">
        <v>339</v>
      </c>
      <c r="C147" t="s">
        <v>16</v>
      </c>
      <c r="D147" t="s">
        <v>340</v>
      </c>
      <c r="E147" s="5" t="s">
        <v>50</v>
      </c>
      <c r="F147" s="5" t="e">
        <f>VLOOKUP(B147,'Türkkep Jira'!B:F,5,0)</f>
        <v>#N/A</v>
      </c>
      <c r="G147" t="str">
        <f>IF(IFERROR(VLOOKUP(B147,'Devam Eden Sprint'!B:B,1,0),"-")=B147,"Devam Eden Sprint","-")</f>
        <v>-</v>
      </c>
      <c r="H147" t="str">
        <f>IF(IFERROR(VLOOKUP(B147,'Gelecek Sprint'!B:B,1,0),"-")=B147,"Gelecek Sprint","-")</f>
        <v>-</v>
      </c>
      <c r="I147" t="str">
        <f t="shared" si="8"/>
        <v>Ürün İş Listesi</v>
      </c>
      <c r="J147" s="5">
        <v>3</v>
      </c>
    </row>
    <row r="148" spans="1:10" x14ac:dyDescent="0.25">
      <c r="A148" t="s">
        <v>14</v>
      </c>
      <c r="B148" t="s">
        <v>341</v>
      </c>
      <c r="C148" t="s">
        <v>16</v>
      </c>
      <c r="D148" t="s">
        <v>342</v>
      </c>
      <c r="E148" s="5" t="s">
        <v>50</v>
      </c>
      <c r="F148" s="5" t="e">
        <f>VLOOKUP(B148,'Türkkep Jira'!B:F,5,0)</f>
        <v>#N/A</v>
      </c>
      <c r="G148" t="str">
        <f>IF(IFERROR(VLOOKUP(B148,'Devam Eden Sprint'!B:B,1,0),"-")=B148,"Devam Eden Sprint","-")</f>
        <v>-</v>
      </c>
      <c r="H148" t="str">
        <f>IF(IFERROR(VLOOKUP(B148,'Gelecek Sprint'!B:B,1,0),"-")=B148,"Gelecek Sprint","-")</f>
        <v>-</v>
      </c>
      <c r="I148" t="str">
        <f t="shared" si="8"/>
        <v>Ürün İş Listesi</v>
      </c>
      <c r="J148" s="5">
        <v>1</v>
      </c>
    </row>
    <row r="149" spans="1:10" x14ac:dyDescent="0.25">
      <c r="A149" t="s">
        <v>14</v>
      </c>
      <c r="B149" t="s">
        <v>343</v>
      </c>
      <c r="C149" t="s">
        <v>16</v>
      </c>
      <c r="D149" t="s">
        <v>344</v>
      </c>
      <c r="E149" s="5" t="s">
        <v>47</v>
      </c>
      <c r="F149" s="5" t="e">
        <f>VLOOKUP(B149,'Türkkep Jira'!B:F,5,0)</f>
        <v>#N/A</v>
      </c>
      <c r="G149" t="str">
        <f>IF(IFERROR(VLOOKUP(B149,'Devam Eden Sprint'!B:B,1,0),"-")=B149,"Devam Eden Sprint","-")</f>
        <v>-</v>
      </c>
      <c r="H149" t="str">
        <f>IF(IFERROR(VLOOKUP(B149,'Gelecek Sprint'!B:B,1,0),"-")=B149,"Gelecek Sprint","-")</f>
        <v>-</v>
      </c>
      <c r="I149" t="str">
        <f t="shared" si="8"/>
        <v>Ürün İş Listesi</v>
      </c>
    </row>
    <row r="150" spans="1:10" x14ac:dyDescent="0.25">
      <c r="A150" t="s">
        <v>14</v>
      </c>
      <c r="B150" t="s">
        <v>345</v>
      </c>
      <c r="C150" t="s">
        <v>16</v>
      </c>
      <c r="D150" t="s">
        <v>346</v>
      </c>
      <c r="E150" s="5" t="s">
        <v>47</v>
      </c>
      <c r="F150" s="5" t="e">
        <f>VLOOKUP(B150,'Türkkep Jira'!B:F,5,0)</f>
        <v>#N/A</v>
      </c>
      <c r="G150" t="str">
        <f>IF(IFERROR(VLOOKUP(B150,'Devam Eden Sprint'!B:B,1,0),"-")=B150,"Devam Eden Sprint","-")</f>
        <v>-</v>
      </c>
      <c r="H150" t="str">
        <f>IF(IFERROR(VLOOKUP(B150,'Gelecek Sprint'!B:B,1,0),"-")=B150,"Gelecek Sprint","-")</f>
        <v>-</v>
      </c>
      <c r="I150" t="str">
        <f t="shared" si="8"/>
        <v>Ürün İş Listesi</v>
      </c>
      <c r="J150" s="5">
        <v>3</v>
      </c>
    </row>
    <row r="151" spans="1:10" x14ac:dyDescent="0.25">
      <c r="A151" t="s">
        <v>14</v>
      </c>
      <c r="B151" t="s">
        <v>347</v>
      </c>
      <c r="C151" t="s">
        <v>16</v>
      </c>
      <c r="D151" t="s">
        <v>348</v>
      </c>
      <c r="E151" s="5" t="s">
        <v>47</v>
      </c>
      <c r="F151" s="5" t="e">
        <f>VLOOKUP(B151,'Türkkep Jira'!B:F,5,0)</f>
        <v>#N/A</v>
      </c>
      <c r="G151" t="str">
        <f>IF(IFERROR(VLOOKUP(B151,'Devam Eden Sprint'!B:B,1,0),"-")=B151,"Devam Eden Sprint","-")</f>
        <v>-</v>
      </c>
      <c r="H151" t="str">
        <f>IF(IFERROR(VLOOKUP(B151,'Gelecek Sprint'!B:B,1,0),"-")=B151,"Gelecek Sprint","-")</f>
        <v>-</v>
      </c>
      <c r="I151" t="str">
        <f t="shared" si="8"/>
        <v>Ürün İş Listesi</v>
      </c>
      <c r="J151" s="5">
        <v>5</v>
      </c>
    </row>
    <row r="152" spans="1:10" x14ac:dyDescent="0.25">
      <c r="A152" t="s">
        <v>14</v>
      </c>
      <c r="B152" t="s">
        <v>349</v>
      </c>
      <c r="C152" t="s">
        <v>16</v>
      </c>
      <c r="D152" t="s">
        <v>350</v>
      </c>
      <c r="E152" s="5" t="s">
        <v>47</v>
      </c>
      <c r="F152" s="5" t="e">
        <f>VLOOKUP(B152,'Türkkep Jira'!B:F,5,0)</f>
        <v>#N/A</v>
      </c>
      <c r="G152" t="str">
        <f>IF(IFERROR(VLOOKUP(B152,'Devam Eden Sprint'!B:B,1,0),"-")=B152,"Devam Eden Sprint","-")</f>
        <v>-</v>
      </c>
      <c r="H152" t="str">
        <f>IF(IFERROR(VLOOKUP(B152,'Gelecek Sprint'!B:B,1,0),"-")=B152,"Gelecek Sprint","-")</f>
        <v>-</v>
      </c>
      <c r="I152" t="str">
        <f t="shared" si="8"/>
        <v>Ürün İş Listesi</v>
      </c>
    </row>
    <row r="153" spans="1:10" x14ac:dyDescent="0.25">
      <c r="A153" t="s">
        <v>14</v>
      </c>
      <c r="B153" t="s">
        <v>351</v>
      </c>
      <c r="C153" t="s">
        <v>16</v>
      </c>
      <c r="D153" t="s">
        <v>352</v>
      </c>
      <c r="E153" s="5" t="s">
        <v>47</v>
      </c>
      <c r="F153" s="5" t="e">
        <f>VLOOKUP(B153,'Türkkep Jira'!B:F,5,0)</f>
        <v>#N/A</v>
      </c>
      <c r="G153" t="str">
        <f>IF(IFERROR(VLOOKUP(B153,'Devam Eden Sprint'!B:B,1,0),"-")=B153,"Devam Eden Sprint","-")</f>
        <v>-</v>
      </c>
      <c r="H153" t="str">
        <f>IF(IFERROR(VLOOKUP(B153,'Gelecek Sprint'!B:B,1,0),"-")=B153,"Gelecek Sprint","-")</f>
        <v>-</v>
      </c>
      <c r="I153" t="str">
        <f t="shared" si="8"/>
        <v>Ürün İş Listesi</v>
      </c>
    </row>
    <row r="154" spans="1:10" x14ac:dyDescent="0.25">
      <c r="A154" t="s">
        <v>14</v>
      </c>
      <c r="B154" t="s">
        <v>353</v>
      </c>
      <c r="C154" t="s">
        <v>16</v>
      </c>
      <c r="D154" t="s">
        <v>354</v>
      </c>
      <c r="E154" s="5" t="s">
        <v>47</v>
      </c>
      <c r="F154" s="5" t="e">
        <f>VLOOKUP(B154,'Türkkep Jira'!B:F,5,0)</f>
        <v>#N/A</v>
      </c>
      <c r="G154" t="str">
        <f>IF(IFERROR(VLOOKUP(B154,'Devam Eden Sprint'!B:B,1,0),"-")=B154,"Devam Eden Sprint","-")</f>
        <v>-</v>
      </c>
      <c r="H154" t="str">
        <f>IF(IFERROR(VLOOKUP(B154,'Gelecek Sprint'!B:B,1,0),"-")=B154,"Gelecek Sprint","-")</f>
        <v>-</v>
      </c>
      <c r="I154" t="str">
        <f t="shared" si="8"/>
        <v>Ürün İş Listesi</v>
      </c>
      <c r="J154" s="5">
        <v>13</v>
      </c>
    </row>
    <row r="155" spans="1:10" x14ac:dyDescent="0.25">
      <c r="A155" t="s">
        <v>14</v>
      </c>
      <c r="B155" t="s">
        <v>355</v>
      </c>
      <c r="C155" t="s">
        <v>16</v>
      </c>
      <c r="D155" t="s">
        <v>356</v>
      </c>
      <c r="E155" s="5" t="s">
        <v>47</v>
      </c>
      <c r="F155" s="5" t="e">
        <f>VLOOKUP(B155,'Türkkep Jira'!B:F,5,0)</f>
        <v>#N/A</v>
      </c>
      <c r="G155" t="str">
        <f>IF(IFERROR(VLOOKUP(B155,'Devam Eden Sprint'!B:B,1,0),"-")=B155,"Devam Eden Sprint","-")</f>
        <v>-</v>
      </c>
      <c r="H155" t="str">
        <f>IF(IFERROR(VLOOKUP(B155,'Gelecek Sprint'!B:B,1,0),"-")=B155,"Gelecek Sprint","-")</f>
        <v>-</v>
      </c>
      <c r="I155" t="str">
        <f t="shared" si="8"/>
        <v>Ürün İş Listesi</v>
      </c>
    </row>
    <row r="156" spans="1:10" x14ac:dyDescent="0.25">
      <c r="A156" t="s">
        <v>14</v>
      </c>
      <c r="B156" t="s">
        <v>357</v>
      </c>
      <c r="C156" t="s">
        <v>16</v>
      </c>
      <c r="D156" t="s">
        <v>358</v>
      </c>
      <c r="E156" s="5" t="s">
        <v>47</v>
      </c>
      <c r="F156" s="5" t="e">
        <f>VLOOKUP(B156,'Türkkep Jira'!B:F,5,0)</f>
        <v>#N/A</v>
      </c>
      <c r="G156" t="str">
        <f>IF(IFERROR(VLOOKUP(B156,'Devam Eden Sprint'!B:B,1,0),"-")=B156,"Devam Eden Sprint","-")</f>
        <v>-</v>
      </c>
      <c r="H156" t="str">
        <f>IF(IFERROR(VLOOKUP(B156,'Gelecek Sprint'!B:B,1,0),"-")=B156,"Gelecek Sprint","-")</f>
        <v>-</v>
      </c>
      <c r="I156" t="str">
        <f t="shared" si="8"/>
        <v>Ürün İş Listesi</v>
      </c>
      <c r="J156" s="5">
        <v>3</v>
      </c>
    </row>
    <row r="157" spans="1:10" x14ac:dyDescent="0.25">
      <c r="A157" t="s">
        <v>77</v>
      </c>
      <c r="B157" t="s">
        <v>359</v>
      </c>
      <c r="C157" t="s">
        <v>16</v>
      </c>
      <c r="D157" t="s">
        <v>360</v>
      </c>
      <c r="E157" s="5" t="s">
        <v>47</v>
      </c>
      <c r="F157" s="5" t="e">
        <f>VLOOKUP(B157,'Türkkep Jira'!B:F,5,0)</f>
        <v>#N/A</v>
      </c>
      <c r="G157" t="str">
        <f>IF(IFERROR(VLOOKUP(B157,'Devam Eden Sprint'!B:B,1,0),"-")=B157,"Devam Eden Sprint","-")</f>
        <v>-</v>
      </c>
      <c r="H157" t="str">
        <f>IF(IFERROR(VLOOKUP(B157,'Gelecek Sprint'!B:B,1,0),"-")=B157,"Gelecek Sprint","-")</f>
        <v>-</v>
      </c>
      <c r="I157" t="str">
        <f t="shared" si="8"/>
        <v>Ürün İş Listesi</v>
      </c>
      <c r="J157" s="5">
        <v>3</v>
      </c>
    </row>
    <row r="158" spans="1:10" x14ac:dyDescent="0.25">
      <c r="A158" t="s">
        <v>14</v>
      </c>
      <c r="B158" t="s">
        <v>361</v>
      </c>
      <c r="C158" t="s">
        <v>16</v>
      </c>
      <c r="D158" t="s">
        <v>362</v>
      </c>
      <c r="E158" s="5" t="s">
        <v>47</v>
      </c>
      <c r="F158" s="5" t="e">
        <f>VLOOKUP(B158,'Türkkep Jira'!B:F,5,0)</f>
        <v>#N/A</v>
      </c>
      <c r="G158" t="str">
        <f>IF(IFERROR(VLOOKUP(B158,'Devam Eden Sprint'!B:B,1,0),"-")=B158,"Devam Eden Sprint","-")</f>
        <v>-</v>
      </c>
      <c r="H158" t="str">
        <f>IF(IFERROR(VLOOKUP(B158,'Gelecek Sprint'!B:B,1,0),"-")=B158,"Gelecek Sprint","-")</f>
        <v>-</v>
      </c>
      <c r="I158" t="str">
        <f t="shared" si="8"/>
        <v>Ürün İş Listesi</v>
      </c>
    </row>
    <row r="159" spans="1:10" x14ac:dyDescent="0.25">
      <c r="A159" t="s">
        <v>14</v>
      </c>
      <c r="B159" t="s">
        <v>363</v>
      </c>
      <c r="C159" t="s">
        <v>16</v>
      </c>
      <c r="D159" t="s">
        <v>364</v>
      </c>
      <c r="E159" s="5" t="s">
        <v>47</v>
      </c>
      <c r="F159" s="5" t="e">
        <f>VLOOKUP(B159,'Türkkep Jira'!B:F,5,0)</f>
        <v>#N/A</v>
      </c>
      <c r="G159" t="str">
        <f>IF(IFERROR(VLOOKUP(B159,'Devam Eden Sprint'!B:B,1,0),"-")=B159,"Devam Eden Sprint","-")</f>
        <v>-</v>
      </c>
      <c r="H159" t="str">
        <f>IF(IFERROR(VLOOKUP(B159,'Gelecek Sprint'!B:B,1,0),"-")=B159,"Gelecek Sprint","-")</f>
        <v>-</v>
      </c>
      <c r="I159" t="str">
        <f t="shared" si="8"/>
        <v>Ürün İş Listesi</v>
      </c>
    </row>
    <row r="160" spans="1:10" x14ac:dyDescent="0.25">
      <c r="A160" t="s">
        <v>14</v>
      </c>
      <c r="B160" t="s">
        <v>365</v>
      </c>
      <c r="C160" t="s">
        <v>16</v>
      </c>
      <c r="D160" t="s">
        <v>366</v>
      </c>
      <c r="E160" s="5" t="s">
        <v>47</v>
      </c>
      <c r="F160" s="5" t="e">
        <f>VLOOKUP(B160,'Türkkep Jira'!B:F,5,0)</f>
        <v>#N/A</v>
      </c>
      <c r="G160" t="str">
        <f>IF(IFERROR(VLOOKUP(B160,'Devam Eden Sprint'!B:B,1,0),"-")=B160,"Devam Eden Sprint","-")</f>
        <v>-</v>
      </c>
      <c r="H160" t="str">
        <f>IF(IFERROR(VLOOKUP(B160,'Gelecek Sprint'!B:B,1,0),"-")=B160,"Gelecek Sprint","-")</f>
        <v>-</v>
      </c>
      <c r="I160" t="str">
        <f t="shared" si="8"/>
        <v>Ürün İş Listesi</v>
      </c>
    </row>
    <row r="161" spans="1:10" x14ac:dyDescent="0.25">
      <c r="A161" t="s">
        <v>77</v>
      </c>
      <c r="B161" t="s">
        <v>367</v>
      </c>
      <c r="C161" t="s">
        <v>16</v>
      </c>
      <c r="D161" t="s">
        <v>368</v>
      </c>
      <c r="E161" s="5" t="s">
        <v>47</v>
      </c>
      <c r="F161" s="5" t="e">
        <f>VLOOKUP(B161,'Türkkep Jira'!B:F,5,0)</f>
        <v>#N/A</v>
      </c>
      <c r="G161" t="str">
        <f>IF(IFERROR(VLOOKUP(B161,'Devam Eden Sprint'!B:B,1,0),"-")=B161,"Devam Eden Sprint","-")</f>
        <v>-</v>
      </c>
      <c r="H161" t="str">
        <f>IF(IFERROR(VLOOKUP(B161,'Gelecek Sprint'!B:B,1,0),"-")=B161,"Gelecek Sprint","-")</f>
        <v>-</v>
      </c>
      <c r="I161" t="str">
        <f t="shared" si="8"/>
        <v>Ürün İş Listesi</v>
      </c>
    </row>
    <row r="162" spans="1:10" x14ac:dyDescent="0.25">
      <c r="A162" t="s">
        <v>14</v>
      </c>
      <c r="B162" t="s">
        <v>369</v>
      </c>
      <c r="C162" t="s">
        <v>16</v>
      </c>
      <c r="D162" t="s">
        <v>370</v>
      </c>
      <c r="E162" s="5" t="s">
        <v>47</v>
      </c>
      <c r="F162" s="5" t="e">
        <f>VLOOKUP(B162,'Türkkep Jira'!B:F,5,0)</f>
        <v>#N/A</v>
      </c>
      <c r="G162" t="str">
        <f>IF(IFERROR(VLOOKUP(B162,'Devam Eden Sprint'!B:B,1,0),"-")=B162,"Devam Eden Sprint","-")</f>
        <v>-</v>
      </c>
      <c r="H162" t="str">
        <f>IF(IFERROR(VLOOKUP(B162,'Gelecek Sprint'!B:B,1,0),"-")=B162,"Gelecek Sprint","-")</f>
        <v>-</v>
      </c>
      <c r="I162" t="str">
        <f t="shared" si="8"/>
        <v>Ürün İş Listesi</v>
      </c>
      <c r="J162" s="5">
        <v>5</v>
      </c>
    </row>
    <row r="163" spans="1:10" x14ac:dyDescent="0.25">
      <c r="A163" t="s">
        <v>14</v>
      </c>
      <c r="B163" t="s">
        <v>371</v>
      </c>
      <c r="C163" t="s">
        <v>16</v>
      </c>
      <c r="D163" t="s">
        <v>372</v>
      </c>
      <c r="E163" s="5" t="s">
        <v>47</v>
      </c>
      <c r="F163" s="5" t="e">
        <f>VLOOKUP(B163,'Türkkep Jira'!B:F,5,0)</f>
        <v>#N/A</v>
      </c>
      <c r="G163" t="str">
        <f>IF(IFERROR(VLOOKUP(B163,'Devam Eden Sprint'!B:B,1,0),"-")=B163,"Devam Eden Sprint","-")</f>
        <v>-</v>
      </c>
      <c r="H163" t="str">
        <f>IF(IFERROR(VLOOKUP(B163,'Gelecek Sprint'!B:B,1,0),"-")=B163,"Gelecek Sprint","-")</f>
        <v>-</v>
      </c>
      <c r="I163" t="str">
        <f t="shared" si="8"/>
        <v>Ürün İş Listesi</v>
      </c>
      <c r="J163" s="5">
        <v>8</v>
      </c>
    </row>
    <row r="164" spans="1:10" x14ac:dyDescent="0.25">
      <c r="A164" t="s">
        <v>14</v>
      </c>
      <c r="B164" t="s">
        <v>373</v>
      </c>
      <c r="C164" t="s">
        <v>16</v>
      </c>
      <c r="D164" t="s">
        <v>374</v>
      </c>
      <c r="E164" s="5" t="s">
        <v>47</v>
      </c>
      <c r="F164" s="5" t="e">
        <f>VLOOKUP(B164,'Türkkep Jira'!B:F,5,0)</f>
        <v>#N/A</v>
      </c>
      <c r="G164" t="str">
        <f>IF(IFERROR(VLOOKUP(B164,'Devam Eden Sprint'!B:B,1,0),"-")=B164,"Devam Eden Sprint","-")</f>
        <v>-</v>
      </c>
      <c r="H164" t="str">
        <f>IF(IFERROR(VLOOKUP(B164,'Gelecek Sprint'!B:B,1,0),"-")=B164,"Gelecek Sprint","-")</f>
        <v>-</v>
      </c>
      <c r="I164" t="str">
        <f t="shared" si="8"/>
        <v>Ürün İş Listesi</v>
      </c>
      <c r="J164" s="5">
        <v>3</v>
      </c>
    </row>
    <row r="165" spans="1:10" x14ac:dyDescent="0.25">
      <c r="A165" t="s">
        <v>375</v>
      </c>
      <c r="B165" t="s">
        <v>376</v>
      </c>
      <c r="C165" t="s">
        <v>16</v>
      </c>
      <c r="D165" t="s">
        <v>377</v>
      </c>
      <c r="E165" s="5" t="s">
        <v>47</v>
      </c>
      <c r="F165" s="5" t="e">
        <f>VLOOKUP(B165,'Türkkep Jira'!B:F,5,0)</f>
        <v>#N/A</v>
      </c>
      <c r="G165" t="str">
        <f>IF(IFERROR(VLOOKUP(B165,'Devam Eden Sprint'!B:B,1,0),"-")=B165,"Devam Eden Sprint","-")</f>
        <v>-</v>
      </c>
      <c r="H165" t="str">
        <f>IF(IFERROR(VLOOKUP(B165,'Gelecek Sprint'!B:B,1,0),"-")=B165,"Gelecek Sprint","-")</f>
        <v>-</v>
      </c>
      <c r="I165" t="str">
        <f t="shared" si="8"/>
        <v>Ürün İş Listesi</v>
      </c>
      <c r="J165" s="5">
        <v>2</v>
      </c>
    </row>
    <row r="166" spans="1:10" x14ac:dyDescent="0.25">
      <c r="A166" t="s">
        <v>14</v>
      </c>
      <c r="B166" t="s">
        <v>378</v>
      </c>
      <c r="C166" t="s">
        <v>16</v>
      </c>
      <c r="D166" t="s">
        <v>379</v>
      </c>
      <c r="E166" s="5" t="s">
        <v>47</v>
      </c>
      <c r="F166" s="5" t="e">
        <f>VLOOKUP(B166,'Türkkep Jira'!B:F,5,0)</f>
        <v>#N/A</v>
      </c>
      <c r="G166" t="str">
        <f>IF(IFERROR(VLOOKUP(B166,'Devam Eden Sprint'!B:B,1,0),"-")=B166,"Devam Eden Sprint","-")</f>
        <v>-</v>
      </c>
      <c r="H166" t="str">
        <f>IF(IFERROR(VLOOKUP(B166,'Gelecek Sprint'!B:B,1,0),"-")=B166,"Gelecek Sprint","-")</f>
        <v>-</v>
      </c>
      <c r="I166" t="str">
        <f t="shared" si="8"/>
        <v>Ürün İş Listesi</v>
      </c>
      <c r="J166" s="5">
        <v>5</v>
      </c>
    </row>
    <row r="167" spans="1:10" x14ac:dyDescent="0.25">
      <c r="A167" t="s">
        <v>14</v>
      </c>
      <c r="B167" t="s">
        <v>380</v>
      </c>
      <c r="C167" t="s">
        <v>16</v>
      </c>
      <c r="D167" t="s">
        <v>381</v>
      </c>
      <c r="E167" s="5" t="s">
        <v>47</v>
      </c>
      <c r="F167" s="5" t="e">
        <f>VLOOKUP(B167,'Türkkep Jira'!B:F,5,0)</f>
        <v>#N/A</v>
      </c>
      <c r="G167" t="str">
        <f>IF(IFERROR(VLOOKUP(B167,'Devam Eden Sprint'!B:B,1,0),"-")=B167,"Devam Eden Sprint","-")</f>
        <v>-</v>
      </c>
      <c r="H167" t="str">
        <f>IF(IFERROR(VLOOKUP(B167,'Gelecek Sprint'!B:B,1,0),"-")=B167,"Gelecek Sprint","-")</f>
        <v>-</v>
      </c>
      <c r="I167" t="str">
        <f t="shared" si="8"/>
        <v>Ürün İş Listesi</v>
      </c>
      <c r="J167" s="5">
        <v>5</v>
      </c>
    </row>
    <row r="168" spans="1:10" x14ac:dyDescent="0.25">
      <c r="A168" t="s">
        <v>14</v>
      </c>
      <c r="B168" t="s">
        <v>382</v>
      </c>
      <c r="C168" t="s">
        <v>16</v>
      </c>
      <c r="D168" t="s">
        <v>383</v>
      </c>
      <c r="E168" s="5" t="s">
        <v>47</v>
      </c>
      <c r="F168" s="5" t="e">
        <f>VLOOKUP(B168,'Türkkep Jira'!B:F,5,0)</f>
        <v>#N/A</v>
      </c>
      <c r="G168" t="str">
        <f>IF(IFERROR(VLOOKUP(B168,'Devam Eden Sprint'!B:B,1,0),"-")=B168,"Devam Eden Sprint","-")</f>
        <v>-</v>
      </c>
      <c r="H168" t="str">
        <f>IF(IFERROR(VLOOKUP(B168,'Gelecek Sprint'!B:B,1,0),"-")=B168,"Gelecek Sprint","-")</f>
        <v>-</v>
      </c>
      <c r="I168" t="str">
        <f t="shared" si="8"/>
        <v>Ürün İş Listesi</v>
      </c>
    </row>
    <row r="169" spans="1:10" x14ac:dyDescent="0.25">
      <c r="A169" t="s">
        <v>14</v>
      </c>
      <c r="B169" t="s">
        <v>384</v>
      </c>
      <c r="C169" t="s">
        <v>16</v>
      </c>
      <c r="D169" t="s">
        <v>385</v>
      </c>
      <c r="E169" s="5" t="s">
        <v>47</v>
      </c>
      <c r="F169" s="5" t="e">
        <f>VLOOKUP(B169,'Türkkep Jira'!B:F,5,0)</f>
        <v>#N/A</v>
      </c>
      <c r="G169" t="str">
        <f>IF(IFERROR(VLOOKUP(B169,'Devam Eden Sprint'!B:B,1,0),"-")=B169,"Devam Eden Sprint","-")</f>
        <v>-</v>
      </c>
      <c r="H169" t="str">
        <f>IF(IFERROR(VLOOKUP(B169,'Gelecek Sprint'!B:B,1,0),"-")=B169,"Gelecek Sprint","-")</f>
        <v>-</v>
      </c>
      <c r="I169" t="str">
        <f t="shared" si="8"/>
        <v>Ürün İş Listesi</v>
      </c>
      <c r="J169" s="5">
        <v>13</v>
      </c>
    </row>
    <row r="170" spans="1:10" x14ac:dyDescent="0.25">
      <c r="A170" t="s">
        <v>14</v>
      </c>
      <c r="B170" t="s">
        <v>386</v>
      </c>
      <c r="C170" t="s">
        <v>16</v>
      </c>
      <c r="D170" t="s">
        <v>387</v>
      </c>
      <c r="E170" s="5" t="s">
        <v>47</v>
      </c>
      <c r="F170" s="5" t="e">
        <f>VLOOKUP(B170,'Türkkep Jira'!B:F,5,0)</f>
        <v>#N/A</v>
      </c>
      <c r="G170" t="str">
        <f>IF(IFERROR(VLOOKUP(B170,'Devam Eden Sprint'!B:B,1,0),"-")=B170,"Devam Eden Sprint","-")</f>
        <v>-</v>
      </c>
      <c r="H170" t="str">
        <f>IF(IFERROR(VLOOKUP(B170,'Gelecek Sprint'!B:B,1,0),"-")=B170,"Gelecek Sprint","-")</f>
        <v>-</v>
      </c>
      <c r="I170" t="str">
        <f t="shared" si="8"/>
        <v>Ürün İş Listesi</v>
      </c>
      <c r="J170" s="5">
        <v>5</v>
      </c>
    </row>
    <row r="171" spans="1:10" x14ac:dyDescent="0.25">
      <c r="A171" t="s">
        <v>14</v>
      </c>
      <c r="B171" t="s">
        <v>388</v>
      </c>
      <c r="C171" t="s">
        <v>16</v>
      </c>
      <c r="D171" t="s">
        <v>389</v>
      </c>
      <c r="E171" s="5" t="s">
        <v>47</v>
      </c>
      <c r="F171" s="5" t="e">
        <f>VLOOKUP(B171,'Türkkep Jira'!B:F,5,0)</f>
        <v>#N/A</v>
      </c>
      <c r="G171" t="str">
        <f>IF(IFERROR(VLOOKUP(B171,'Devam Eden Sprint'!B:B,1,0),"-")=B171,"Devam Eden Sprint","-")</f>
        <v>-</v>
      </c>
      <c r="H171" t="str">
        <f>IF(IFERROR(VLOOKUP(B171,'Gelecek Sprint'!B:B,1,0),"-")=B171,"Gelecek Sprint","-")</f>
        <v>-</v>
      </c>
      <c r="I171" t="str">
        <f t="shared" si="8"/>
        <v>Ürün İş Listesi</v>
      </c>
    </row>
    <row r="172" spans="1:10" x14ac:dyDescent="0.25">
      <c r="A172" t="s">
        <v>14</v>
      </c>
      <c r="B172" t="s">
        <v>390</v>
      </c>
      <c r="C172" t="s">
        <v>16</v>
      </c>
      <c r="D172" t="s">
        <v>391</v>
      </c>
      <c r="E172" s="5" t="s">
        <v>47</v>
      </c>
      <c r="F172" s="5" t="e">
        <f>VLOOKUP(B172,'Türkkep Jira'!B:F,5,0)</f>
        <v>#N/A</v>
      </c>
      <c r="G172" t="str">
        <f>IF(IFERROR(VLOOKUP(B172,'Devam Eden Sprint'!B:B,1,0),"-")=B172,"Devam Eden Sprint","-")</f>
        <v>-</v>
      </c>
      <c r="H172" t="str">
        <f>IF(IFERROR(VLOOKUP(B172,'Gelecek Sprint'!B:B,1,0),"-")=B172,"Gelecek Sprint","-")</f>
        <v>-</v>
      </c>
      <c r="I172" t="str">
        <f t="shared" si="8"/>
        <v>Ürün İş Listesi</v>
      </c>
      <c r="J172" s="5">
        <v>1</v>
      </c>
    </row>
    <row r="173" spans="1:10" x14ac:dyDescent="0.25">
      <c r="A173" t="s">
        <v>14</v>
      </c>
      <c r="B173" t="s">
        <v>392</v>
      </c>
      <c r="C173" t="s">
        <v>16</v>
      </c>
      <c r="D173" t="s">
        <v>393</v>
      </c>
      <c r="E173" s="5" t="s">
        <v>130</v>
      </c>
      <c r="F173" s="5" t="e">
        <f>VLOOKUP(B173,'Türkkep Jira'!B:F,5,0)</f>
        <v>#N/A</v>
      </c>
      <c r="G173" t="str">
        <f>IF(IFERROR(VLOOKUP(B173,'Devam Eden Sprint'!B:B,1,0),"-")=B173,"Devam Eden Sprint","-")</f>
        <v>-</v>
      </c>
      <c r="H173" t="str">
        <f>IF(IFERROR(VLOOKUP(B173,'Gelecek Sprint'!B:B,1,0),"-")=B173,"Gelecek Sprint","-")</f>
        <v>-</v>
      </c>
      <c r="I173" t="str">
        <f t="shared" si="8"/>
        <v>Ürün İş Listesi</v>
      </c>
      <c r="J173" s="5">
        <v>1</v>
      </c>
    </row>
    <row r="174" spans="1:10" x14ac:dyDescent="0.25">
      <c r="A174" t="s">
        <v>14</v>
      </c>
      <c r="B174" t="s">
        <v>394</v>
      </c>
      <c r="C174" t="s">
        <v>16</v>
      </c>
      <c r="D174" t="s">
        <v>395</v>
      </c>
      <c r="E174" s="5" t="s">
        <v>130</v>
      </c>
      <c r="F174" s="5" t="e">
        <f>VLOOKUP(B174,'Türkkep Jira'!B:F,5,0)</f>
        <v>#N/A</v>
      </c>
      <c r="G174" t="str">
        <f>IF(IFERROR(VLOOKUP(B174,'Devam Eden Sprint'!B:B,1,0),"-")=B174,"Devam Eden Sprint","-")</f>
        <v>-</v>
      </c>
      <c r="H174" t="str">
        <f>IF(IFERROR(VLOOKUP(B174,'Gelecek Sprint'!B:B,1,0),"-")=B174,"Gelecek Sprint","-")</f>
        <v>-</v>
      </c>
      <c r="I174" t="str">
        <f t="shared" si="8"/>
        <v>Ürün İş Listesi</v>
      </c>
      <c r="J174" s="5">
        <v>3</v>
      </c>
    </row>
    <row r="175" spans="1:10" x14ac:dyDescent="0.25">
      <c r="A175" t="s">
        <v>14</v>
      </c>
      <c r="B175" t="s">
        <v>396</v>
      </c>
      <c r="C175" t="s">
        <v>26</v>
      </c>
      <c r="D175" t="s">
        <v>397</v>
      </c>
      <c r="E175" s="5" t="s">
        <v>130</v>
      </c>
      <c r="F175" s="5" t="e">
        <f>VLOOKUP(B175,'Türkkep Jira'!B:F,5,0)</f>
        <v>#N/A</v>
      </c>
      <c r="G175" t="str">
        <f>IF(IFERROR(VLOOKUP(B175,'Devam Eden Sprint'!B:B,1,0),"-")=B175,"Devam Eden Sprint","-")</f>
        <v>-</v>
      </c>
      <c r="H175" t="str">
        <f>IF(IFERROR(VLOOKUP(B175,'Gelecek Sprint'!B:B,1,0),"-")=B175,"Gelecek Sprint","-")</f>
        <v>-</v>
      </c>
      <c r="I175" t="str">
        <f t="shared" si="8"/>
        <v>Ürün İş Listesi</v>
      </c>
      <c r="J175" s="5">
        <v>3</v>
      </c>
    </row>
    <row r="176" spans="1:10" x14ac:dyDescent="0.25">
      <c r="A176" t="s">
        <v>14</v>
      </c>
      <c r="B176" t="s">
        <v>398</v>
      </c>
      <c r="C176" t="s">
        <v>16</v>
      </c>
      <c r="D176" t="s">
        <v>399</v>
      </c>
      <c r="E176" s="5" t="s">
        <v>130</v>
      </c>
      <c r="F176" s="5" t="e">
        <f>VLOOKUP(B176,'Türkkep Jira'!B:F,5,0)</f>
        <v>#N/A</v>
      </c>
      <c r="G176" t="str">
        <f>IF(IFERROR(VLOOKUP(B176,'Devam Eden Sprint'!B:B,1,0),"-")=B176,"Devam Eden Sprint","-")</f>
        <v>-</v>
      </c>
      <c r="H176" t="str">
        <f>IF(IFERROR(VLOOKUP(B176,'Gelecek Sprint'!B:B,1,0),"-")=B176,"Gelecek Sprint","-")</f>
        <v>-</v>
      </c>
      <c r="I176" t="str">
        <f t="shared" si="8"/>
        <v>Ürün İş Listesi</v>
      </c>
      <c r="J176" s="5">
        <v>3</v>
      </c>
    </row>
    <row r="177" spans="1:10" x14ac:dyDescent="0.25">
      <c r="A177" t="s">
        <v>14</v>
      </c>
      <c r="B177" t="s">
        <v>400</v>
      </c>
      <c r="C177" t="s">
        <v>16</v>
      </c>
      <c r="D177" t="s">
        <v>401</v>
      </c>
      <c r="E177" s="5" t="s">
        <v>56</v>
      </c>
      <c r="F177" s="5" t="e">
        <f>VLOOKUP(B177,'Türkkep Jira'!B:F,5,0)</f>
        <v>#N/A</v>
      </c>
      <c r="G177" t="str">
        <f>IF(IFERROR(VLOOKUP(B177,'Devam Eden Sprint'!B:B,1,0),"-")=B177,"Devam Eden Sprint","-")</f>
        <v>-</v>
      </c>
      <c r="H177" t="str">
        <f>IF(IFERROR(VLOOKUP(B177,'Gelecek Sprint'!B:B,1,0),"-")=B177,"Gelecek Sprint","-")</f>
        <v>-</v>
      </c>
      <c r="I177" t="str">
        <f t="shared" si="8"/>
        <v>Ürün İş Listesi</v>
      </c>
    </row>
    <row r="178" spans="1:10" x14ac:dyDescent="0.25">
      <c r="A178" t="s">
        <v>14</v>
      </c>
      <c r="B178" t="s">
        <v>402</v>
      </c>
      <c r="C178" t="s">
        <v>16</v>
      </c>
      <c r="D178" t="s">
        <v>403</v>
      </c>
      <c r="E178" s="5" t="s">
        <v>56</v>
      </c>
      <c r="F178" s="5" t="e">
        <f>VLOOKUP(B178,'Türkkep Jira'!B:F,5,0)</f>
        <v>#N/A</v>
      </c>
      <c r="G178" t="str">
        <f>IF(IFERROR(VLOOKUP(B178,'Devam Eden Sprint'!B:B,1,0),"-")=B178,"Devam Eden Sprint","-")</f>
        <v>-</v>
      </c>
      <c r="H178" t="str">
        <f>IF(IFERROR(VLOOKUP(B178,'Gelecek Sprint'!B:B,1,0),"-")=B178,"Gelecek Sprint","-")</f>
        <v>-</v>
      </c>
      <c r="I178" t="str">
        <f t="shared" si="8"/>
        <v>Ürün İş Listesi</v>
      </c>
    </row>
    <row r="179" spans="1:10" x14ac:dyDescent="0.25">
      <c r="A179" t="s">
        <v>14</v>
      </c>
      <c r="B179" t="s">
        <v>404</v>
      </c>
      <c r="C179" t="s">
        <v>16</v>
      </c>
      <c r="D179" t="s">
        <v>405</v>
      </c>
      <c r="E179" s="5" t="s">
        <v>56</v>
      </c>
      <c r="F179" s="5" t="e">
        <f>VLOOKUP(B179,'Türkkep Jira'!B:F,5,0)</f>
        <v>#N/A</v>
      </c>
      <c r="G179" t="str">
        <f>IF(IFERROR(VLOOKUP(B179,'Devam Eden Sprint'!B:B,1,0),"-")=B179,"Devam Eden Sprint","-")</f>
        <v>-</v>
      </c>
      <c r="H179" t="str">
        <f>IF(IFERROR(VLOOKUP(B179,'Gelecek Sprint'!B:B,1,0),"-")=B179,"Gelecek Sprint","-")</f>
        <v>-</v>
      </c>
      <c r="I179" t="str">
        <f t="shared" si="8"/>
        <v>Ürün İş Listesi</v>
      </c>
    </row>
    <row r="180" spans="1:10" x14ac:dyDescent="0.25">
      <c r="A180" t="s">
        <v>14</v>
      </c>
      <c r="B180" t="s">
        <v>406</v>
      </c>
      <c r="C180" t="s">
        <v>16</v>
      </c>
      <c r="D180" t="s">
        <v>407</v>
      </c>
      <c r="E180" s="5" t="s">
        <v>56</v>
      </c>
      <c r="F180" s="5" t="e">
        <f>VLOOKUP(B180,'Türkkep Jira'!B:F,5,0)</f>
        <v>#N/A</v>
      </c>
      <c r="G180" t="str">
        <f>IF(IFERROR(VLOOKUP(B180,'Devam Eden Sprint'!B:B,1,0),"-")=B180,"Devam Eden Sprint","-")</f>
        <v>-</v>
      </c>
      <c r="H180" t="str">
        <f>IF(IFERROR(VLOOKUP(B180,'Gelecek Sprint'!B:B,1,0),"-")=B180,"Gelecek Sprint","-")</f>
        <v>-</v>
      </c>
      <c r="I180" t="str">
        <f t="shared" si="8"/>
        <v>Ürün İş Listesi</v>
      </c>
    </row>
    <row r="181" spans="1:10" x14ac:dyDescent="0.25">
      <c r="A181" t="s">
        <v>14</v>
      </c>
      <c r="B181" t="s">
        <v>408</v>
      </c>
      <c r="C181" t="s">
        <v>16</v>
      </c>
      <c r="D181" t="s">
        <v>409</v>
      </c>
      <c r="E181" s="5" t="s">
        <v>56</v>
      </c>
      <c r="F181" s="5" t="e">
        <f>VLOOKUP(B181,'Türkkep Jira'!B:F,5,0)</f>
        <v>#N/A</v>
      </c>
      <c r="G181" t="str">
        <f>IF(IFERROR(VLOOKUP(B181,'Devam Eden Sprint'!B:B,1,0),"-")=B181,"Devam Eden Sprint","-")</f>
        <v>-</v>
      </c>
      <c r="H181" t="str">
        <f>IF(IFERROR(VLOOKUP(B181,'Gelecek Sprint'!B:B,1,0),"-")=B181,"Gelecek Sprint","-")</f>
        <v>-</v>
      </c>
      <c r="I181" t="str">
        <f t="shared" si="8"/>
        <v>Ürün İş Listesi</v>
      </c>
    </row>
    <row r="182" spans="1:10" x14ac:dyDescent="0.25">
      <c r="A182" t="s">
        <v>14</v>
      </c>
      <c r="B182" t="s">
        <v>410</v>
      </c>
      <c r="C182" t="s">
        <v>16</v>
      </c>
      <c r="D182" t="s">
        <v>411</v>
      </c>
      <c r="E182" s="5" t="s">
        <v>56</v>
      </c>
      <c r="F182" s="5" t="e">
        <f>VLOOKUP(B182,'Türkkep Jira'!B:F,5,0)</f>
        <v>#N/A</v>
      </c>
      <c r="G182" t="str">
        <f>IF(IFERROR(VLOOKUP(B182,'Devam Eden Sprint'!B:B,1,0),"-")=B182,"Devam Eden Sprint","-")</f>
        <v>-</v>
      </c>
      <c r="H182" t="str">
        <f>IF(IFERROR(VLOOKUP(B182,'Gelecek Sprint'!B:B,1,0),"-")=B182,"Gelecek Sprint","-")</f>
        <v>-</v>
      </c>
      <c r="I182" t="str">
        <f t="shared" si="8"/>
        <v>Ürün İş Listesi</v>
      </c>
    </row>
    <row r="183" spans="1:10" x14ac:dyDescent="0.25">
      <c r="A183" t="s">
        <v>14</v>
      </c>
      <c r="B183" t="s">
        <v>412</v>
      </c>
      <c r="C183" t="s">
        <v>16</v>
      </c>
      <c r="D183" t="s">
        <v>413</v>
      </c>
      <c r="E183" s="5" t="s">
        <v>56</v>
      </c>
      <c r="F183" s="5" t="e">
        <f>VLOOKUP(B183,'Türkkep Jira'!B:F,5,0)</f>
        <v>#N/A</v>
      </c>
      <c r="G183" t="str">
        <f>IF(IFERROR(VLOOKUP(B183,'Devam Eden Sprint'!B:B,1,0),"-")=B183,"Devam Eden Sprint","-")</f>
        <v>-</v>
      </c>
      <c r="H183" t="str">
        <f>IF(IFERROR(VLOOKUP(B183,'Gelecek Sprint'!B:B,1,0),"-")=B183,"Gelecek Sprint","-")</f>
        <v>-</v>
      </c>
      <c r="I183" t="str">
        <f t="shared" si="8"/>
        <v>Ürün İş Listesi</v>
      </c>
    </row>
    <row r="184" spans="1:10" x14ac:dyDescent="0.25">
      <c r="A184" t="s">
        <v>14</v>
      </c>
      <c r="B184" t="s">
        <v>414</v>
      </c>
      <c r="C184" t="s">
        <v>10</v>
      </c>
      <c r="D184" t="s">
        <v>415</v>
      </c>
      <c r="E184" s="5" t="s">
        <v>56</v>
      </c>
      <c r="F184" s="5" t="e">
        <f>VLOOKUP(B184,'Türkkep Jira'!B:F,5,0)</f>
        <v>#N/A</v>
      </c>
      <c r="G184" t="str">
        <f>IF(IFERROR(VLOOKUP(B184,'Devam Eden Sprint'!B:B,1,0),"-")=B184,"Devam Eden Sprint","-")</f>
        <v>-</v>
      </c>
      <c r="H184" t="str">
        <f>IF(IFERROR(VLOOKUP(B184,'Gelecek Sprint'!B:B,1,0),"-")=B184,"Gelecek Sprint","-")</f>
        <v>-</v>
      </c>
      <c r="I184" t="str">
        <f t="shared" si="8"/>
        <v>Ürün İş Listesi</v>
      </c>
    </row>
    <row r="185" spans="1:10" x14ac:dyDescent="0.25">
      <c r="A185" t="s">
        <v>14</v>
      </c>
      <c r="B185" t="s">
        <v>416</v>
      </c>
      <c r="C185" t="s">
        <v>16</v>
      </c>
      <c r="D185" t="s">
        <v>417</v>
      </c>
      <c r="E185" s="5" t="s">
        <v>56</v>
      </c>
      <c r="F185" s="5" t="e">
        <f>VLOOKUP(B185,'Türkkep Jira'!B:F,5,0)</f>
        <v>#N/A</v>
      </c>
      <c r="G185" t="str">
        <f>IF(IFERROR(VLOOKUP(B185,'Devam Eden Sprint'!B:B,1,0),"-")=B185,"Devam Eden Sprint","-")</f>
        <v>-</v>
      </c>
      <c r="H185" t="str">
        <f>IF(IFERROR(VLOOKUP(B185,'Gelecek Sprint'!B:B,1,0),"-")=B185,"Gelecek Sprint","-")</f>
        <v>-</v>
      </c>
      <c r="I185" t="str">
        <f t="shared" si="8"/>
        <v>Ürün İş Listesi</v>
      </c>
      <c r="J185" s="5">
        <v>8</v>
      </c>
    </row>
    <row r="186" spans="1:10" x14ac:dyDescent="0.25">
      <c r="A186" t="s">
        <v>14</v>
      </c>
      <c r="B186" t="s">
        <v>418</v>
      </c>
      <c r="C186" t="s">
        <v>16</v>
      </c>
      <c r="D186" t="s">
        <v>419</v>
      </c>
      <c r="E186" s="5" t="s">
        <v>56</v>
      </c>
      <c r="F186" s="5" t="e">
        <f>VLOOKUP(B186,'Türkkep Jira'!B:F,5,0)</f>
        <v>#N/A</v>
      </c>
      <c r="G186" t="str">
        <f>IF(IFERROR(VLOOKUP(B186,'Devam Eden Sprint'!B:B,1,0),"-")=B186,"Devam Eden Sprint","-")</f>
        <v>-</v>
      </c>
      <c r="H186" t="str">
        <f>IF(IFERROR(VLOOKUP(B186,'Gelecek Sprint'!B:B,1,0),"-")=B186,"Gelecek Sprint","-")</f>
        <v>-</v>
      </c>
      <c r="I186" t="str">
        <f t="shared" si="8"/>
        <v>Ürün İş Listesi</v>
      </c>
    </row>
    <row r="187" spans="1:10" x14ac:dyDescent="0.25">
      <c r="A187" t="s">
        <v>14</v>
      </c>
      <c r="B187" t="s">
        <v>420</v>
      </c>
      <c r="C187" t="s">
        <v>94</v>
      </c>
      <c r="D187" t="s">
        <v>421</v>
      </c>
      <c r="E187" s="5" t="s">
        <v>56</v>
      </c>
      <c r="F187" s="5" t="e">
        <f>VLOOKUP(B187,'Türkkep Jira'!B:F,5,0)</f>
        <v>#N/A</v>
      </c>
      <c r="G187" t="str">
        <f>IF(IFERROR(VLOOKUP(B187,'Devam Eden Sprint'!B:B,1,0),"-")=B187,"Devam Eden Sprint","-")</f>
        <v>-</v>
      </c>
      <c r="H187" t="str">
        <f>IF(IFERROR(VLOOKUP(B187,'Gelecek Sprint'!B:B,1,0),"-")=B187,"Gelecek Sprint","-")</f>
        <v>-</v>
      </c>
      <c r="I187" t="str">
        <f t="shared" si="8"/>
        <v>Ürün İş Listesi</v>
      </c>
      <c r="J187" s="5">
        <v>8</v>
      </c>
    </row>
    <row r="188" spans="1:10" x14ac:dyDescent="0.25">
      <c r="A188" t="s">
        <v>14</v>
      </c>
      <c r="B188" t="s">
        <v>422</v>
      </c>
      <c r="C188" t="s">
        <v>16</v>
      </c>
      <c r="D188" t="s">
        <v>423</v>
      </c>
      <c r="E188" s="5" t="s">
        <v>56</v>
      </c>
      <c r="F188" s="5" t="e">
        <f>VLOOKUP(B188,'Türkkep Jira'!B:F,5,0)</f>
        <v>#N/A</v>
      </c>
      <c r="G188" t="str">
        <f>IF(IFERROR(VLOOKUP(B188,'Devam Eden Sprint'!B:B,1,0),"-")=B188,"Devam Eden Sprint","-")</f>
        <v>-</v>
      </c>
      <c r="H188" t="str">
        <f>IF(IFERROR(VLOOKUP(B188,'Gelecek Sprint'!B:B,1,0),"-")=B188,"Gelecek Sprint","-")</f>
        <v>-</v>
      </c>
      <c r="I188" t="str">
        <f t="shared" si="8"/>
        <v>Ürün İş Listesi</v>
      </c>
    </row>
    <row r="189" spans="1:10" x14ac:dyDescent="0.25">
      <c r="A189" t="s">
        <v>77</v>
      </c>
      <c r="B189" t="s">
        <v>424</v>
      </c>
      <c r="C189" t="s">
        <v>16</v>
      </c>
      <c r="D189" t="s">
        <v>425</v>
      </c>
      <c r="E189" s="5" t="s">
        <v>56</v>
      </c>
      <c r="F189" s="5" t="e">
        <f>VLOOKUP(B189,'Türkkep Jira'!B:F,5,0)</f>
        <v>#N/A</v>
      </c>
      <c r="G189" t="str">
        <f>IF(IFERROR(VLOOKUP(B189,'Devam Eden Sprint'!B:B,1,0),"-")=B189,"Devam Eden Sprint","-")</f>
        <v>-</v>
      </c>
      <c r="H189" t="str">
        <f>IF(IFERROR(VLOOKUP(B189,'Gelecek Sprint'!B:B,1,0),"-")=B189,"Gelecek Sprint","-")</f>
        <v>-</v>
      </c>
      <c r="I189" t="str">
        <f t="shared" si="8"/>
        <v>Ürün İş Listesi</v>
      </c>
      <c r="J189" s="5">
        <v>3</v>
      </c>
    </row>
    <row r="190" spans="1:10" x14ac:dyDescent="0.25">
      <c r="A190" t="s">
        <v>77</v>
      </c>
      <c r="B190" t="s">
        <v>426</v>
      </c>
      <c r="C190" t="s">
        <v>16</v>
      </c>
      <c r="D190" t="s">
        <v>427</v>
      </c>
      <c r="E190" s="5" t="s">
        <v>428</v>
      </c>
      <c r="F190" s="5" t="e">
        <f>VLOOKUP(B190,'Türkkep Jira'!B:F,5,0)</f>
        <v>#N/A</v>
      </c>
      <c r="G190" t="str">
        <f>IF(IFERROR(VLOOKUP(B190,'Devam Eden Sprint'!B:B,1,0),"-")=B190,"Devam Eden Sprint","-")</f>
        <v>-</v>
      </c>
      <c r="H190" t="str">
        <f>IF(IFERROR(VLOOKUP(B190,'Gelecek Sprint'!B:B,1,0),"-")=B190,"Gelecek Sprint","-")</f>
        <v>-</v>
      </c>
      <c r="I190" t="str">
        <f t="shared" si="8"/>
        <v>Ürün İş Listesi</v>
      </c>
    </row>
    <row r="191" spans="1:10" x14ac:dyDescent="0.25">
      <c r="A191" t="s">
        <v>14</v>
      </c>
      <c r="B191" t="s">
        <v>429</v>
      </c>
      <c r="C191" t="s">
        <v>16</v>
      </c>
      <c r="D191" t="s">
        <v>430</v>
      </c>
      <c r="E191" s="5" t="s">
        <v>428</v>
      </c>
      <c r="F191" s="5" t="e">
        <f>VLOOKUP(B191,'Türkkep Jira'!B:F,5,0)</f>
        <v>#N/A</v>
      </c>
      <c r="G191" t="str">
        <f>IF(IFERROR(VLOOKUP(B191,'Devam Eden Sprint'!B:B,1,0),"-")=B191,"Devam Eden Sprint","-")</f>
        <v>-</v>
      </c>
      <c r="H191" t="str">
        <f>IF(IFERROR(VLOOKUP(B191,'Gelecek Sprint'!B:B,1,0),"-")=B191,"Gelecek Sprint","-")</f>
        <v>-</v>
      </c>
      <c r="I191" t="str">
        <f t="shared" si="8"/>
        <v>Ürün İş Listesi</v>
      </c>
    </row>
    <row r="192" spans="1:10" x14ac:dyDescent="0.25">
      <c r="A192" t="s">
        <v>14</v>
      </c>
      <c r="B192" t="s">
        <v>431</v>
      </c>
      <c r="C192" t="s">
        <v>16</v>
      </c>
      <c r="D192" t="s">
        <v>432</v>
      </c>
      <c r="E192" s="5" t="s">
        <v>428</v>
      </c>
      <c r="F192" s="5" t="e">
        <f>VLOOKUP(B192,'Türkkep Jira'!B:F,5,0)</f>
        <v>#N/A</v>
      </c>
      <c r="G192" t="str">
        <f>IF(IFERROR(VLOOKUP(B192,'Devam Eden Sprint'!B:B,1,0),"-")=B192,"Devam Eden Sprint","-")</f>
        <v>-</v>
      </c>
      <c r="H192" t="str">
        <f>IF(IFERROR(VLOOKUP(B192,'Gelecek Sprint'!B:B,1,0),"-")=B192,"Gelecek Sprint","-")</f>
        <v>-</v>
      </c>
      <c r="I192" t="str">
        <f t="shared" si="8"/>
        <v>Ürün İş Listesi</v>
      </c>
    </row>
    <row r="193" spans="1:10" x14ac:dyDescent="0.25">
      <c r="A193" t="s">
        <v>14</v>
      </c>
      <c r="B193" t="s">
        <v>433</v>
      </c>
      <c r="C193" t="s">
        <v>16</v>
      </c>
      <c r="D193" t="s">
        <v>434</v>
      </c>
      <c r="E193" s="5" t="s">
        <v>428</v>
      </c>
      <c r="F193" s="5" t="e">
        <f>VLOOKUP(B193,'Türkkep Jira'!B:F,5,0)</f>
        <v>#N/A</v>
      </c>
      <c r="G193" t="str">
        <f>IF(IFERROR(VLOOKUP(B193,'Devam Eden Sprint'!B:B,1,0),"-")=B193,"Devam Eden Sprint","-")</f>
        <v>-</v>
      </c>
      <c r="H193" t="str">
        <f>IF(IFERROR(VLOOKUP(B193,'Gelecek Sprint'!B:B,1,0),"-")=B193,"Gelecek Sprint","-")</f>
        <v>-</v>
      </c>
      <c r="I193" t="str">
        <f t="shared" si="8"/>
        <v>Ürün İş Listesi</v>
      </c>
    </row>
    <row r="194" spans="1:10" x14ac:dyDescent="0.25">
      <c r="A194" t="s">
        <v>14</v>
      </c>
      <c r="B194" t="s">
        <v>435</v>
      </c>
      <c r="C194" t="s">
        <v>16</v>
      </c>
      <c r="D194" t="s">
        <v>436</v>
      </c>
      <c r="E194" s="5" t="s">
        <v>428</v>
      </c>
      <c r="F194" s="5" t="e">
        <f>VLOOKUP(B194,'Türkkep Jira'!B:F,5,0)</f>
        <v>#N/A</v>
      </c>
      <c r="G194" t="str">
        <f>IF(IFERROR(VLOOKUP(B194,'Devam Eden Sprint'!B:B,1,0),"-")=B194,"Devam Eden Sprint","-")</f>
        <v>-</v>
      </c>
      <c r="H194" t="str">
        <f>IF(IFERROR(VLOOKUP(B194,'Gelecek Sprint'!B:B,1,0),"-")=B194,"Gelecek Sprint","-")</f>
        <v>-</v>
      </c>
      <c r="I194" t="str">
        <f t="shared" ref="I194:I257" si="9">IFERROR(IF(AND(G194="Devam Eden Sprint",H194="Gelecek Sprint"),"Devam Eden ve Gelecek Sprint",IF(G194="Devam Eden Sprint","Devam Eden Sprint",IF(H194="Gelecek Sprint","Gelecek Sprint","Ürün İş Listesi"))),"Ürün İş Listesi")</f>
        <v>Ürün İş Listesi</v>
      </c>
      <c r="J194" s="5">
        <v>5</v>
      </c>
    </row>
    <row r="195" spans="1:10" x14ac:dyDescent="0.25">
      <c r="A195" t="s">
        <v>14</v>
      </c>
      <c r="B195" t="s">
        <v>437</v>
      </c>
      <c r="C195" t="s">
        <v>16</v>
      </c>
      <c r="D195" t="s">
        <v>438</v>
      </c>
      <c r="E195" s="5" t="s">
        <v>428</v>
      </c>
      <c r="F195" s="5" t="e">
        <f>VLOOKUP(B195,'Türkkep Jira'!B:F,5,0)</f>
        <v>#N/A</v>
      </c>
      <c r="G195" t="str">
        <f>IF(IFERROR(VLOOKUP(B195,'Devam Eden Sprint'!B:B,1,0),"-")=B195,"Devam Eden Sprint","-")</f>
        <v>-</v>
      </c>
      <c r="H195" t="str">
        <f>IF(IFERROR(VLOOKUP(B195,'Gelecek Sprint'!B:B,1,0),"-")=B195,"Gelecek Sprint","-")</f>
        <v>-</v>
      </c>
      <c r="I195" t="str">
        <f t="shared" si="9"/>
        <v>Ürün İş Listesi</v>
      </c>
      <c r="J195" s="5">
        <v>8</v>
      </c>
    </row>
    <row r="196" spans="1:10" x14ac:dyDescent="0.25">
      <c r="A196" t="s">
        <v>14</v>
      </c>
      <c r="B196" t="s">
        <v>439</v>
      </c>
      <c r="C196" t="s">
        <v>16</v>
      </c>
      <c r="D196" t="s">
        <v>440</v>
      </c>
      <c r="E196" s="5" t="s">
        <v>428</v>
      </c>
      <c r="F196" s="5" t="e">
        <f>VLOOKUP(B196,'Türkkep Jira'!B:F,5,0)</f>
        <v>#N/A</v>
      </c>
      <c r="G196" t="str">
        <f>IF(IFERROR(VLOOKUP(B196,'Devam Eden Sprint'!B:B,1,0),"-")=B196,"Devam Eden Sprint","-")</f>
        <v>-</v>
      </c>
      <c r="H196" t="str">
        <f>IF(IFERROR(VLOOKUP(B196,'Gelecek Sprint'!B:B,1,0),"-")=B196,"Gelecek Sprint","-")</f>
        <v>-</v>
      </c>
      <c r="I196" t="str">
        <f t="shared" si="9"/>
        <v>Ürün İş Listesi</v>
      </c>
      <c r="J196" s="5">
        <v>8</v>
      </c>
    </row>
    <row r="197" spans="1:10" x14ac:dyDescent="0.25">
      <c r="A197" t="s">
        <v>14</v>
      </c>
      <c r="B197" t="s">
        <v>441</v>
      </c>
      <c r="C197" t="s">
        <v>16</v>
      </c>
      <c r="D197" t="s">
        <v>442</v>
      </c>
      <c r="E197" s="5" t="s">
        <v>428</v>
      </c>
      <c r="F197" s="5" t="e">
        <f>VLOOKUP(B197,'Türkkep Jira'!B:F,5,0)</f>
        <v>#N/A</v>
      </c>
      <c r="G197" t="str">
        <f>IF(IFERROR(VLOOKUP(B197,'Devam Eden Sprint'!B:B,1,0),"-")=B197,"Devam Eden Sprint","-")</f>
        <v>-</v>
      </c>
      <c r="H197" t="str">
        <f>IF(IFERROR(VLOOKUP(B197,'Gelecek Sprint'!B:B,1,0),"-")=B197,"Gelecek Sprint","-")</f>
        <v>-</v>
      </c>
      <c r="I197" t="str">
        <f t="shared" si="9"/>
        <v>Ürün İş Listesi</v>
      </c>
      <c r="J197" s="5">
        <v>5</v>
      </c>
    </row>
    <row r="198" spans="1:10" x14ac:dyDescent="0.25">
      <c r="A198" t="s">
        <v>14</v>
      </c>
      <c r="B198" t="s">
        <v>443</v>
      </c>
      <c r="C198" t="s">
        <v>16</v>
      </c>
      <c r="D198" t="s">
        <v>444</v>
      </c>
      <c r="E198" s="5" t="s">
        <v>428</v>
      </c>
      <c r="F198" s="5" t="e">
        <f>VLOOKUP(B198,'Türkkep Jira'!B:F,5,0)</f>
        <v>#N/A</v>
      </c>
      <c r="G198" t="str">
        <f>IF(IFERROR(VLOOKUP(B198,'Devam Eden Sprint'!B:B,1,0),"-")=B198,"Devam Eden Sprint","-")</f>
        <v>-</v>
      </c>
      <c r="H198" t="str">
        <f>IF(IFERROR(VLOOKUP(B198,'Gelecek Sprint'!B:B,1,0),"-")=B198,"Gelecek Sprint","-")</f>
        <v>-</v>
      </c>
      <c r="I198" t="str">
        <f t="shared" si="9"/>
        <v>Ürün İş Listesi</v>
      </c>
      <c r="J198" s="5">
        <v>1</v>
      </c>
    </row>
    <row r="199" spans="1:10" x14ac:dyDescent="0.25">
      <c r="A199" t="s">
        <v>14</v>
      </c>
      <c r="B199" t="s">
        <v>445</v>
      </c>
      <c r="C199" t="s">
        <v>16</v>
      </c>
      <c r="D199" t="s">
        <v>446</v>
      </c>
      <c r="E199" s="5" t="s">
        <v>428</v>
      </c>
      <c r="F199" s="5" t="e">
        <f>VLOOKUP(B199,'Türkkep Jira'!B:F,5,0)</f>
        <v>#N/A</v>
      </c>
      <c r="G199" t="str">
        <f>IF(IFERROR(VLOOKUP(B199,'Devam Eden Sprint'!B:B,1,0),"-")=B199,"Devam Eden Sprint","-")</f>
        <v>-</v>
      </c>
      <c r="H199" t="str">
        <f>IF(IFERROR(VLOOKUP(B199,'Gelecek Sprint'!B:B,1,0),"-")=B199,"Gelecek Sprint","-")</f>
        <v>-</v>
      </c>
      <c r="I199" t="str">
        <f t="shared" si="9"/>
        <v>Ürün İş Listesi</v>
      </c>
      <c r="J199" s="5">
        <v>3</v>
      </c>
    </row>
    <row r="200" spans="1:10" x14ac:dyDescent="0.25">
      <c r="A200" t="s">
        <v>14</v>
      </c>
      <c r="B200" t="s">
        <v>447</v>
      </c>
      <c r="C200" t="s">
        <v>16</v>
      </c>
      <c r="D200" t="s">
        <v>448</v>
      </c>
      <c r="E200" s="5" t="s">
        <v>428</v>
      </c>
      <c r="F200" s="5" t="e">
        <f>VLOOKUP(B200,'Türkkep Jira'!B:F,5,0)</f>
        <v>#N/A</v>
      </c>
      <c r="G200" t="str">
        <f>IF(IFERROR(VLOOKUP(B200,'Devam Eden Sprint'!B:B,1,0),"-")=B200,"Devam Eden Sprint","-")</f>
        <v>-</v>
      </c>
      <c r="H200" t="str">
        <f>IF(IFERROR(VLOOKUP(B200,'Gelecek Sprint'!B:B,1,0),"-")=B200,"Gelecek Sprint","-")</f>
        <v>-</v>
      </c>
      <c r="I200" t="str">
        <f t="shared" si="9"/>
        <v>Ürün İş Listesi</v>
      </c>
      <c r="J200" s="5">
        <v>5</v>
      </c>
    </row>
    <row r="201" spans="1:10" x14ac:dyDescent="0.25">
      <c r="A201" t="s">
        <v>14</v>
      </c>
      <c r="B201" t="s">
        <v>449</v>
      </c>
      <c r="C201" t="s">
        <v>16</v>
      </c>
      <c r="D201" t="s">
        <v>450</v>
      </c>
      <c r="E201" s="5" t="s">
        <v>428</v>
      </c>
      <c r="F201" s="5" t="e">
        <f>VLOOKUP(B201,'Türkkep Jira'!B:F,5,0)</f>
        <v>#N/A</v>
      </c>
      <c r="G201" t="str">
        <f>IF(IFERROR(VLOOKUP(B201,'Devam Eden Sprint'!B:B,1,0),"-")=B201,"Devam Eden Sprint","-")</f>
        <v>-</v>
      </c>
      <c r="H201" t="str">
        <f>IF(IFERROR(VLOOKUP(B201,'Gelecek Sprint'!B:B,1,0),"-")=B201,"Gelecek Sprint","-")</f>
        <v>-</v>
      </c>
      <c r="I201" t="str">
        <f t="shared" si="9"/>
        <v>Ürün İş Listesi</v>
      </c>
      <c r="J201" s="5">
        <v>2</v>
      </c>
    </row>
    <row r="202" spans="1:10" x14ac:dyDescent="0.25">
      <c r="A202" t="s">
        <v>14</v>
      </c>
      <c r="B202" t="s">
        <v>451</v>
      </c>
      <c r="C202" t="s">
        <v>16</v>
      </c>
      <c r="D202" t="s">
        <v>452</v>
      </c>
      <c r="E202" s="5" t="s">
        <v>428</v>
      </c>
      <c r="F202" s="5" t="e">
        <f>VLOOKUP(B202,'Türkkep Jira'!B:F,5,0)</f>
        <v>#N/A</v>
      </c>
      <c r="G202" t="str">
        <f>IF(IFERROR(VLOOKUP(B202,'Devam Eden Sprint'!B:B,1,0),"-")=B202,"Devam Eden Sprint","-")</f>
        <v>-</v>
      </c>
      <c r="H202" t="str">
        <f>IF(IFERROR(VLOOKUP(B202,'Gelecek Sprint'!B:B,1,0),"-")=B202,"Gelecek Sprint","-")</f>
        <v>-</v>
      </c>
      <c r="I202" t="str">
        <f t="shared" si="9"/>
        <v>Ürün İş Listesi</v>
      </c>
      <c r="J202" s="5">
        <v>2</v>
      </c>
    </row>
    <row r="203" spans="1:10" x14ac:dyDescent="0.25">
      <c r="A203" t="s">
        <v>14</v>
      </c>
      <c r="B203" t="s">
        <v>453</v>
      </c>
      <c r="C203" t="s">
        <v>16</v>
      </c>
      <c r="D203" t="s">
        <v>454</v>
      </c>
      <c r="E203" s="5" t="s">
        <v>455</v>
      </c>
      <c r="F203" s="5" t="e">
        <f>VLOOKUP(B203,'Türkkep Jira'!B:F,5,0)</f>
        <v>#N/A</v>
      </c>
      <c r="G203" t="str">
        <f>IF(IFERROR(VLOOKUP(B203,'Devam Eden Sprint'!B:B,1,0),"-")=B203,"Devam Eden Sprint","-")</f>
        <v>-</v>
      </c>
      <c r="H203" t="str">
        <f>IF(IFERROR(VLOOKUP(B203,'Gelecek Sprint'!B:B,1,0),"-")=B203,"Gelecek Sprint","-")</f>
        <v>-</v>
      </c>
      <c r="I203" t="str">
        <f t="shared" si="9"/>
        <v>Ürün İş Listesi</v>
      </c>
      <c r="J203" s="5">
        <v>8</v>
      </c>
    </row>
    <row r="204" spans="1:10" x14ac:dyDescent="0.25">
      <c r="A204" t="s">
        <v>14</v>
      </c>
      <c r="B204" t="s">
        <v>456</v>
      </c>
      <c r="C204" t="s">
        <v>16</v>
      </c>
      <c r="D204" t="s">
        <v>457</v>
      </c>
      <c r="E204" s="5" t="s">
        <v>458</v>
      </c>
      <c r="F204" s="5" t="e">
        <f>VLOOKUP(B204,'Türkkep Jira'!B:F,5,0)</f>
        <v>#N/A</v>
      </c>
      <c r="G204" t="str">
        <f>IF(IFERROR(VLOOKUP(B204,'Devam Eden Sprint'!B:B,1,0),"-")=B204,"Devam Eden Sprint","-")</f>
        <v>-</v>
      </c>
      <c r="H204" t="str">
        <f>IF(IFERROR(VLOOKUP(B204,'Gelecek Sprint'!B:B,1,0),"-")=B204,"Gelecek Sprint","-")</f>
        <v>-</v>
      </c>
      <c r="I204" t="str">
        <f t="shared" si="9"/>
        <v>Ürün İş Listesi</v>
      </c>
    </row>
    <row r="205" spans="1:10" x14ac:dyDescent="0.25">
      <c r="A205" t="s">
        <v>14</v>
      </c>
      <c r="B205" t="s">
        <v>459</v>
      </c>
      <c r="C205" t="s">
        <v>16</v>
      </c>
      <c r="D205" t="s">
        <v>460</v>
      </c>
      <c r="E205" s="5" t="s">
        <v>458</v>
      </c>
      <c r="F205" s="5" t="e">
        <f>VLOOKUP(B205,'Türkkep Jira'!B:F,5,0)</f>
        <v>#N/A</v>
      </c>
      <c r="G205" t="str">
        <f>IF(IFERROR(VLOOKUP(B205,'Devam Eden Sprint'!B:B,1,0),"-")=B205,"Devam Eden Sprint","-")</f>
        <v>-</v>
      </c>
      <c r="H205" t="str">
        <f>IF(IFERROR(VLOOKUP(B205,'Gelecek Sprint'!B:B,1,0),"-")=B205,"Gelecek Sprint","-")</f>
        <v>-</v>
      </c>
      <c r="I205" t="str">
        <f t="shared" si="9"/>
        <v>Ürün İş Listesi</v>
      </c>
    </row>
    <row r="206" spans="1:10" x14ac:dyDescent="0.25">
      <c r="A206" t="s">
        <v>77</v>
      </c>
      <c r="B206" t="s">
        <v>461</v>
      </c>
      <c r="C206" t="s">
        <v>16</v>
      </c>
      <c r="D206" t="s">
        <v>462</v>
      </c>
      <c r="E206" s="5" t="s">
        <v>59</v>
      </c>
      <c r="F206" s="5" t="e">
        <f>VLOOKUP(B206,'Türkkep Jira'!B:F,5,0)</f>
        <v>#N/A</v>
      </c>
      <c r="G206" t="str">
        <f>IF(IFERROR(VLOOKUP(B206,'Devam Eden Sprint'!B:B,1,0),"-")=B206,"Devam Eden Sprint","-")</f>
        <v>-</v>
      </c>
      <c r="H206" t="str">
        <f>IF(IFERROR(VLOOKUP(B206,'Gelecek Sprint'!B:B,1,0),"-")=B206,"Gelecek Sprint","-")</f>
        <v>-</v>
      </c>
      <c r="I206" t="str">
        <f t="shared" si="9"/>
        <v>Ürün İş Listesi</v>
      </c>
    </row>
    <row r="207" spans="1:10" x14ac:dyDescent="0.25">
      <c r="A207" t="s">
        <v>14</v>
      </c>
      <c r="B207" t="s">
        <v>463</v>
      </c>
      <c r="C207" t="s">
        <v>16</v>
      </c>
      <c r="D207" t="s">
        <v>464</v>
      </c>
      <c r="E207" s="5" t="s">
        <v>59</v>
      </c>
      <c r="F207" s="5" t="e">
        <f>VLOOKUP(B207,'Türkkep Jira'!B:F,5,0)</f>
        <v>#N/A</v>
      </c>
      <c r="G207" t="str">
        <f>IF(IFERROR(VLOOKUP(B207,'Devam Eden Sprint'!B:B,1,0),"-")=B207,"Devam Eden Sprint","-")</f>
        <v>-</v>
      </c>
      <c r="H207" t="str">
        <f>IF(IFERROR(VLOOKUP(B207,'Gelecek Sprint'!B:B,1,0),"-")=B207,"Gelecek Sprint","-")</f>
        <v>-</v>
      </c>
      <c r="I207" t="str">
        <f t="shared" si="9"/>
        <v>Ürün İş Listesi</v>
      </c>
      <c r="J207" s="5">
        <v>1</v>
      </c>
    </row>
    <row r="208" spans="1:10" x14ac:dyDescent="0.25">
      <c r="A208" t="s">
        <v>14</v>
      </c>
      <c r="B208" t="s">
        <v>465</v>
      </c>
      <c r="C208" t="s">
        <v>16</v>
      </c>
      <c r="D208" t="s">
        <v>466</v>
      </c>
      <c r="E208" s="5" t="s">
        <v>59</v>
      </c>
      <c r="F208" s="5" t="e">
        <f>VLOOKUP(B208,'Türkkep Jira'!B:F,5,0)</f>
        <v>#N/A</v>
      </c>
      <c r="G208" t="str">
        <f>IF(IFERROR(VLOOKUP(B208,'Devam Eden Sprint'!B:B,1,0),"-")=B208,"Devam Eden Sprint","-")</f>
        <v>-</v>
      </c>
      <c r="H208" t="str">
        <f>IF(IFERROR(VLOOKUP(B208,'Gelecek Sprint'!B:B,1,0),"-")=B208,"Gelecek Sprint","-")</f>
        <v>-</v>
      </c>
      <c r="I208" t="str">
        <f t="shared" si="9"/>
        <v>Ürün İş Listesi</v>
      </c>
      <c r="J208" s="5">
        <v>1</v>
      </c>
    </row>
    <row r="209" spans="1:10" x14ac:dyDescent="0.25">
      <c r="A209" t="s">
        <v>77</v>
      </c>
      <c r="B209" t="s">
        <v>467</v>
      </c>
      <c r="C209" t="s">
        <v>16</v>
      </c>
      <c r="D209" t="s">
        <v>468</v>
      </c>
      <c r="E209" s="5" t="s">
        <v>59</v>
      </c>
      <c r="F209" s="5" t="e">
        <f>VLOOKUP(B209,'Türkkep Jira'!B:F,5,0)</f>
        <v>#N/A</v>
      </c>
      <c r="G209" t="str">
        <f>IF(IFERROR(VLOOKUP(B209,'Devam Eden Sprint'!B:B,1,0),"-")=B209,"Devam Eden Sprint","-")</f>
        <v>-</v>
      </c>
      <c r="H209" t="str">
        <f>IF(IFERROR(VLOOKUP(B209,'Gelecek Sprint'!B:B,1,0),"-")=B209,"Gelecek Sprint","-")</f>
        <v>-</v>
      </c>
      <c r="I209" t="str">
        <f t="shared" si="9"/>
        <v>Ürün İş Listesi</v>
      </c>
      <c r="J209" s="5">
        <v>1</v>
      </c>
    </row>
    <row r="210" spans="1:10" x14ac:dyDescent="0.25">
      <c r="A210" t="s">
        <v>14</v>
      </c>
      <c r="B210" t="s">
        <v>469</v>
      </c>
      <c r="C210" t="s">
        <v>16</v>
      </c>
      <c r="D210" t="s">
        <v>470</v>
      </c>
      <c r="E210" s="5" t="s">
        <v>59</v>
      </c>
      <c r="F210" s="5" t="e">
        <f>VLOOKUP(B210,'Türkkep Jira'!B:F,5,0)</f>
        <v>#N/A</v>
      </c>
      <c r="G210" t="str">
        <f>IF(IFERROR(VLOOKUP(B210,'Devam Eden Sprint'!B:B,1,0),"-")=B210,"Devam Eden Sprint","-")</f>
        <v>-</v>
      </c>
      <c r="H210" t="str">
        <f>IF(IFERROR(VLOOKUP(B210,'Gelecek Sprint'!B:B,1,0),"-")=B210,"Gelecek Sprint","-")</f>
        <v>-</v>
      </c>
      <c r="I210" t="str">
        <f t="shared" si="9"/>
        <v>Ürün İş Listesi</v>
      </c>
      <c r="J210" s="5">
        <v>3</v>
      </c>
    </row>
    <row r="211" spans="1:10" x14ac:dyDescent="0.25">
      <c r="A211" t="s">
        <v>14</v>
      </c>
      <c r="B211" t="s">
        <v>471</v>
      </c>
      <c r="C211" t="s">
        <v>16</v>
      </c>
      <c r="D211" t="s">
        <v>472</v>
      </c>
      <c r="E211" s="5" t="s">
        <v>59</v>
      </c>
      <c r="F211" s="5" t="e">
        <f>VLOOKUP(B211,'Türkkep Jira'!B:F,5,0)</f>
        <v>#N/A</v>
      </c>
      <c r="G211" t="str">
        <f>IF(IFERROR(VLOOKUP(B211,'Devam Eden Sprint'!B:B,1,0),"-")=B211,"Devam Eden Sprint","-")</f>
        <v>-</v>
      </c>
      <c r="H211" t="str">
        <f>IF(IFERROR(VLOOKUP(B211,'Gelecek Sprint'!B:B,1,0),"-")=B211,"Gelecek Sprint","-")</f>
        <v>-</v>
      </c>
      <c r="I211" t="str">
        <f t="shared" si="9"/>
        <v>Ürün İş Listesi</v>
      </c>
      <c r="J211" s="5">
        <v>1</v>
      </c>
    </row>
    <row r="212" spans="1:10" x14ac:dyDescent="0.25">
      <c r="A212" t="s">
        <v>14</v>
      </c>
      <c r="B212" t="s">
        <v>473</v>
      </c>
      <c r="C212" t="s">
        <v>16</v>
      </c>
      <c r="D212" t="s">
        <v>474</v>
      </c>
      <c r="E212" s="5" t="s">
        <v>59</v>
      </c>
      <c r="F212" s="5" t="e">
        <f>VLOOKUP(B212,'Türkkep Jira'!B:F,5,0)</f>
        <v>#N/A</v>
      </c>
      <c r="G212" t="str">
        <f>IF(IFERROR(VLOOKUP(B212,'Devam Eden Sprint'!B:B,1,0),"-")=B212,"Devam Eden Sprint","-")</f>
        <v>-</v>
      </c>
      <c r="H212" t="str">
        <f>IF(IFERROR(VLOOKUP(B212,'Gelecek Sprint'!B:B,1,0),"-")=B212,"Gelecek Sprint","-")</f>
        <v>-</v>
      </c>
      <c r="I212" t="str">
        <f t="shared" si="9"/>
        <v>Ürün İş Listesi</v>
      </c>
      <c r="J212" s="5">
        <v>1</v>
      </c>
    </row>
    <row r="213" spans="1:10" x14ac:dyDescent="0.25">
      <c r="A213" t="s">
        <v>14</v>
      </c>
      <c r="B213" t="s">
        <v>475</v>
      </c>
      <c r="C213" t="s">
        <v>16</v>
      </c>
      <c r="D213" t="s">
        <v>476</v>
      </c>
      <c r="E213" s="5" t="s">
        <v>59</v>
      </c>
      <c r="F213" s="5" t="e">
        <f>VLOOKUP(B213,'Türkkep Jira'!B:F,5,0)</f>
        <v>#N/A</v>
      </c>
      <c r="G213" t="str">
        <f>IF(IFERROR(VLOOKUP(B213,'Devam Eden Sprint'!B:B,1,0),"-")=B213,"Devam Eden Sprint","-")</f>
        <v>-</v>
      </c>
      <c r="H213" t="str">
        <f>IF(IFERROR(VLOOKUP(B213,'Gelecek Sprint'!B:B,1,0),"-")=B213,"Gelecek Sprint","-")</f>
        <v>-</v>
      </c>
      <c r="I213" t="str">
        <f t="shared" si="9"/>
        <v>Ürün İş Listesi</v>
      </c>
      <c r="J213" s="5">
        <v>1</v>
      </c>
    </row>
    <row r="214" spans="1:10" x14ac:dyDescent="0.25">
      <c r="A214" t="s">
        <v>14</v>
      </c>
      <c r="B214" t="s">
        <v>477</v>
      </c>
      <c r="C214" t="s">
        <v>16</v>
      </c>
      <c r="D214" t="s">
        <v>478</v>
      </c>
      <c r="E214" s="5" t="s">
        <v>59</v>
      </c>
      <c r="F214" s="5" t="e">
        <f>VLOOKUP(B214,'Türkkep Jira'!B:F,5,0)</f>
        <v>#N/A</v>
      </c>
      <c r="G214" t="str">
        <f>IF(IFERROR(VLOOKUP(B214,'Devam Eden Sprint'!B:B,1,0),"-")=B214,"Devam Eden Sprint","-")</f>
        <v>-</v>
      </c>
      <c r="H214" t="str">
        <f>IF(IFERROR(VLOOKUP(B214,'Gelecek Sprint'!B:B,1,0),"-")=B214,"Gelecek Sprint","-")</f>
        <v>-</v>
      </c>
      <c r="I214" t="str">
        <f t="shared" si="9"/>
        <v>Ürün İş Listesi</v>
      </c>
      <c r="J214" s="5">
        <v>1</v>
      </c>
    </row>
    <row r="215" spans="1:10" x14ac:dyDescent="0.25">
      <c r="A215" t="s">
        <v>77</v>
      </c>
      <c r="B215" t="s">
        <v>479</v>
      </c>
      <c r="C215" t="s">
        <v>16</v>
      </c>
      <c r="D215" t="s">
        <v>480</v>
      </c>
      <c r="E215" s="5" t="s">
        <v>59</v>
      </c>
      <c r="F215" s="5" t="e">
        <f>VLOOKUP(B215,'Türkkep Jira'!B:F,5,0)</f>
        <v>#N/A</v>
      </c>
      <c r="G215" t="str">
        <f>IF(IFERROR(VLOOKUP(B215,'Devam Eden Sprint'!B:B,1,0),"-")=B215,"Devam Eden Sprint","-")</f>
        <v>-</v>
      </c>
      <c r="H215" t="str">
        <f>IF(IFERROR(VLOOKUP(B215,'Gelecek Sprint'!B:B,1,0),"-")=B215,"Gelecek Sprint","-")</f>
        <v>-</v>
      </c>
      <c r="I215" t="str">
        <f t="shared" si="9"/>
        <v>Ürün İş Listesi</v>
      </c>
      <c r="J215" s="5">
        <v>1</v>
      </c>
    </row>
    <row r="216" spans="1:10" x14ac:dyDescent="0.25">
      <c r="A216" t="s">
        <v>77</v>
      </c>
      <c r="B216" t="s">
        <v>481</v>
      </c>
      <c r="C216" t="s">
        <v>16</v>
      </c>
      <c r="D216" t="s">
        <v>482</v>
      </c>
      <c r="E216" s="5" t="s">
        <v>59</v>
      </c>
      <c r="F216" s="5" t="e">
        <f>VLOOKUP(B216,'Türkkep Jira'!B:F,5,0)</f>
        <v>#N/A</v>
      </c>
      <c r="G216" t="str">
        <f>IF(IFERROR(VLOOKUP(B216,'Devam Eden Sprint'!B:B,1,0),"-")=B216,"Devam Eden Sprint","-")</f>
        <v>-</v>
      </c>
      <c r="H216" t="str">
        <f>IF(IFERROR(VLOOKUP(B216,'Gelecek Sprint'!B:B,1,0),"-")=B216,"Gelecek Sprint","-")</f>
        <v>-</v>
      </c>
      <c r="I216" t="str">
        <f t="shared" si="9"/>
        <v>Ürün İş Listesi</v>
      </c>
      <c r="J216" s="5">
        <v>1</v>
      </c>
    </row>
    <row r="217" spans="1:10" x14ac:dyDescent="0.25">
      <c r="A217" t="s">
        <v>14</v>
      </c>
      <c r="B217" t="s">
        <v>483</v>
      </c>
      <c r="C217" t="s">
        <v>16</v>
      </c>
      <c r="D217" t="s">
        <v>484</v>
      </c>
      <c r="E217" s="5" t="s">
        <v>59</v>
      </c>
      <c r="F217" s="5" t="e">
        <f>VLOOKUP(B217,'Türkkep Jira'!B:F,5,0)</f>
        <v>#N/A</v>
      </c>
      <c r="G217" t="str">
        <f>IF(IFERROR(VLOOKUP(B217,'Devam Eden Sprint'!B:B,1,0),"-")=B217,"Devam Eden Sprint","-")</f>
        <v>-</v>
      </c>
      <c r="H217" t="str">
        <f>IF(IFERROR(VLOOKUP(B217,'Gelecek Sprint'!B:B,1,0),"-")=B217,"Gelecek Sprint","-")</f>
        <v>-</v>
      </c>
      <c r="I217" t="str">
        <f t="shared" si="9"/>
        <v>Ürün İş Listesi</v>
      </c>
      <c r="J217" s="5">
        <v>3</v>
      </c>
    </row>
    <row r="218" spans="1:10" x14ac:dyDescent="0.25">
      <c r="A218" t="s">
        <v>77</v>
      </c>
      <c r="B218" t="s">
        <v>485</v>
      </c>
      <c r="C218" t="s">
        <v>16</v>
      </c>
      <c r="D218" t="s">
        <v>486</v>
      </c>
      <c r="E218" s="5" t="s">
        <v>59</v>
      </c>
      <c r="F218" s="5" t="e">
        <f>VLOOKUP(B218,'Türkkep Jira'!B:F,5,0)</f>
        <v>#N/A</v>
      </c>
      <c r="G218" t="str">
        <f>IF(IFERROR(VLOOKUP(B218,'Devam Eden Sprint'!B:B,1,0),"-")=B218,"Devam Eden Sprint","-")</f>
        <v>-</v>
      </c>
      <c r="H218" t="str">
        <f>IF(IFERROR(VLOOKUP(B218,'Gelecek Sprint'!B:B,1,0),"-")=B218,"Gelecek Sprint","-")</f>
        <v>-</v>
      </c>
      <c r="I218" t="str">
        <f t="shared" si="9"/>
        <v>Ürün İş Listesi</v>
      </c>
      <c r="J218" s="5">
        <v>1</v>
      </c>
    </row>
    <row r="219" spans="1:10" x14ac:dyDescent="0.25">
      <c r="A219" t="s">
        <v>77</v>
      </c>
      <c r="B219" t="s">
        <v>487</v>
      </c>
      <c r="C219" t="s">
        <v>16</v>
      </c>
      <c r="D219" t="s">
        <v>488</v>
      </c>
      <c r="E219" s="5" t="s">
        <v>59</v>
      </c>
      <c r="F219" s="5" t="e">
        <f>VLOOKUP(B219,'Türkkep Jira'!B:F,5,0)</f>
        <v>#N/A</v>
      </c>
      <c r="G219" t="str">
        <f>IF(IFERROR(VLOOKUP(B219,'Devam Eden Sprint'!B:B,1,0),"-")=B219,"Devam Eden Sprint","-")</f>
        <v>-</v>
      </c>
      <c r="H219" t="str">
        <f>IF(IFERROR(VLOOKUP(B219,'Gelecek Sprint'!B:B,1,0),"-")=B219,"Gelecek Sprint","-")</f>
        <v>-</v>
      </c>
      <c r="I219" t="str">
        <f t="shared" si="9"/>
        <v>Ürün İş Listesi</v>
      </c>
      <c r="J219" s="5">
        <v>1</v>
      </c>
    </row>
    <row r="220" spans="1:10" x14ac:dyDescent="0.25">
      <c r="A220" t="s">
        <v>14</v>
      </c>
      <c r="B220" t="s">
        <v>489</v>
      </c>
      <c r="C220" t="s">
        <v>16</v>
      </c>
      <c r="D220" t="s">
        <v>340</v>
      </c>
      <c r="E220" s="5" t="s">
        <v>59</v>
      </c>
      <c r="F220" s="5" t="e">
        <f>VLOOKUP(B220,'Türkkep Jira'!B:F,5,0)</f>
        <v>#N/A</v>
      </c>
      <c r="G220" t="str">
        <f>IF(IFERROR(VLOOKUP(B220,'Devam Eden Sprint'!B:B,1,0),"-")=B220,"Devam Eden Sprint","-")</f>
        <v>-</v>
      </c>
      <c r="H220" t="str">
        <f>IF(IFERROR(VLOOKUP(B220,'Gelecek Sprint'!B:B,1,0),"-")=B220,"Gelecek Sprint","-")</f>
        <v>-</v>
      </c>
      <c r="I220" t="str">
        <f t="shared" si="9"/>
        <v>Ürün İş Listesi</v>
      </c>
      <c r="J220" s="5">
        <v>3</v>
      </c>
    </row>
    <row r="221" spans="1:10" x14ac:dyDescent="0.25">
      <c r="A221" t="s">
        <v>14</v>
      </c>
      <c r="B221" t="s">
        <v>490</v>
      </c>
      <c r="C221" t="s">
        <v>16</v>
      </c>
      <c r="D221" t="s">
        <v>491</v>
      </c>
      <c r="E221" s="5" t="s">
        <v>59</v>
      </c>
      <c r="F221" s="5" t="e">
        <f>VLOOKUP(B221,'Türkkep Jira'!B:F,5,0)</f>
        <v>#N/A</v>
      </c>
      <c r="G221" t="str">
        <f>IF(IFERROR(VLOOKUP(B221,'Devam Eden Sprint'!B:B,1,0),"-")=B221,"Devam Eden Sprint","-")</f>
        <v>-</v>
      </c>
      <c r="H221" t="str">
        <f>IF(IFERROR(VLOOKUP(B221,'Gelecek Sprint'!B:B,1,0),"-")=B221,"Gelecek Sprint","-")</f>
        <v>-</v>
      </c>
      <c r="I221" t="str">
        <f t="shared" si="9"/>
        <v>Ürün İş Listesi</v>
      </c>
      <c r="J221" s="5">
        <v>2</v>
      </c>
    </row>
    <row r="222" spans="1:10" x14ac:dyDescent="0.25">
      <c r="A222" t="s">
        <v>77</v>
      </c>
      <c r="B222" t="s">
        <v>492</v>
      </c>
      <c r="C222" t="s">
        <v>192</v>
      </c>
      <c r="D222" t="s">
        <v>462</v>
      </c>
      <c r="E222" s="5" t="s">
        <v>62</v>
      </c>
      <c r="F222" s="5" t="e">
        <f>VLOOKUP(B222,'Türkkep Jira'!B:F,5,0)</f>
        <v>#N/A</v>
      </c>
      <c r="G222" t="str">
        <f>IF(IFERROR(VLOOKUP(B222,'Devam Eden Sprint'!B:B,1,0),"-")=B222,"Devam Eden Sprint","-")</f>
        <v>-</v>
      </c>
      <c r="H222" t="str">
        <f>IF(IFERROR(VLOOKUP(B222,'Gelecek Sprint'!B:B,1,0),"-")=B222,"Gelecek Sprint","-")</f>
        <v>-</v>
      </c>
      <c r="I222" t="str">
        <f t="shared" si="9"/>
        <v>Ürün İş Listesi</v>
      </c>
    </row>
    <row r="223" spans="1:10" x14ac:dyDescent="0.25">
      <c r="A223" t="s">
        <v>14</v>
      </c>
      <c r="B223" t="s">
        <v>493</v>
      </c>
      <c r="C223" t="s">
        <v>16</v>
      </c>
      <c r="D223" t="s">
        <v>494</v>
      </c>
      <c r="E223" s="5" t="s">
        <v>62</v>
      </c>
      <c r="F223" s="5" t="e">
        <f>VLOOKUP(B223,'Türkkep Jira'!B:F,5,0)</f>
        <v>#N/A</v>
      </c>
      <c r="G223" t="str">
        <f>IF(IFERROR(VLOOKUP(B223,'Devam Eden Sprint'!B:B,1,0),"-")=B223,"Devam Eden Sprint","-")</f>
        <v>-</v>
      </c>
      <c r="H223" t="str">
        <f>IF(IFERROR(VLOOKUP(B223,'Gelecek Sprint'!B:B,1,0),"-")=B223,"Gelecek Sprint","-")</f>
        <v>-</v>
      </c>
      <c r="I223" t="str">
        <f t="shared" si="9"/>
        <v>Ürün İş Listesi</v>
      </c>
    </row>
    <row r="224" spans="1:10" x14ac:dyDescent="0.25">
      <c r="A224" t="s">
        <v>14</v>
      </c>
      <c r="B224" t="s">
        <v>495</v>
      </c>
      <c r="C224" t="s">
        <v>16</v>
      </c>
      <c r="D224" t="s">
        <v>496</v>
      </c>
      <c r="E224" s="5" t="s">
        <v>62</v>
      </c>
      <c r="F224" s="5" t="e">
        <f>VLOOKUP(B224,'Türkkep Jira'!B:F,5,0)</f>
        <v>#N/A</v>
      </c>
      <c r="G224" t="str">
        <f>IF(IFERROR(VLOOKUP(B224,'Devam Eden Sprint'!B:B,1,0),"-")=B224,"Devam Eden Sprint","-")</f>
        <v>-</v>
      </c>
      <c r="H224" t="str">
        <f>IF(IFERROR(VLOOKUP(B224,'Gelecek Sprint'!B:B,1,0),"-")=B224,"Gelecek Sprint","-")</f>
        <v>-</v>
      </c>
      <c r="I224" t="str">
        <f t="shared" si="9"/>
        <v>Ürün İş Listesi</v>
      </c>
    </row>
    <row r="225" spans="1:10" x14ac:dyDescent="0.25">
      <c r="A225" t="s">
        <v>14</v>
      </c>
      <c r="B225" t="s">
        <v>497</v>
      </c>
      <c r="C225" t="s">
        <v>16</v>
      </c>
      <c r="D225" t="s">
        <v>498</v>
      </c>
      <c r="E225" s="5" t="s">
        <v>62</v>
      </c>
      <c r="F225" s="5" t="e">
        <f>VLOOKUP(B225,'Türkkep Jira'!B:F,5,0)</f>
        <v>#N/A</v>
      </c>
      <c r="G225" t="str">
        <f>IF(IFERROR(VLOOKUP(B225,'Devam Eden Sprint'!B:B,1,0),"-")=B225,"Devam Eden Sprint","-")</f>
        <v>-</v>
      </c>
      <c r="H225" t="str">
        <f>IF(IFERROR(VLOOKUP(B225,'Gelecek Sprint'!B:B,1,0),"-")=B225,"Gelecek Sprint","-")</f>
        <v>-</v>
      </c>
      <c r="I225" t="str">
        <f t="shared" si="9"/>
        <v>Ürün İş Listesi</v>
      </c>
      <c r="J225" s="5">
        <v>5</v>
      </c>
    </row>
    <row r="226" spans="1:10" x14ac:dyDescent="0.25">
      <c r="A226" t="s">
        <v>14</v>
      </c>
      <c r="B226" t="s">
        <v>499</v>
      </c>
      <c r="C226" t="s">
        <v>16</v>
      </c>
      <c r="D226" t="s">
        <v>500</v>
      </c>
      <c r="E226" s="5" t="s">
        <v>62</v>
      </c>
      <c r="F226" s="5" t="e">
        <f>VLOOKUP(B226,'Türkkep Jira'!B:F,5,0)</f>
        <v>#N/A</v>
      </c>
      <c r="G226" t="str">
        <f>IF(IFERROR(VLOOKUP(B226,'Devam Eden Sprint'!B:B,1,0),"-")=B226,"Devam Eden Sprint","-")</f>
        <v>-</v>
      </c>
      <c r="H226" t="str">
        <f>IF(IFERROR(VLOOKUP(B226,'Gelecek Sprint'!B:B,1,0),"-")=B226,"Gelecek Sprint","-")</f>
        <v>-</v>
      </c>
      <c r="I226" t="str">
        <f t="shared" si="9"/>
        <v>Ürün İş Listesi</v>
      </c>
    </row>
    <row r="227" spans="1:10" x14ac:dyDescent="0.25">
      <c r="A227" t="s">
        <v>14</v>
      </c>
      <c r="B227" t="s">
        <v>501</v>
      </c>
      <c r="C227" t="s">
        <v>16</v>
      </c>
      <c r="D227" t="s">
        <v>502</v>
      </c>
      <c r="E227" s="5" t="s">
        <v>62</v>
      </c>
      <c r="F227" s="5" t="e">
        <f>VLOOKUP(B227,'Türkkep Jira'!B:F,5,0)</f>
        <v>#N/A</v>
      </c>
      <c r="G227" t="str">
        <f>IF(IFERROR(VLOOKUP(B227,'Devam Eden Sprint'!B:B,1,0),"-")=B227,"Devam Eden Sprint","-")</f>
        <v>-</v>
      </c>
      <c r="H227" t="str">
        <f>IF(IFERROR(VLOOKUP(B227,'Gelecek Sprint'!B:B,1,0),"-")=B227,"Gelecek Sprint","-")</f>
        <v>-</v>
      </c>
      <c r="I227" t="str">
        <f t="shared" si="9"/>
        <v>Ürün İş Listesi</v>
      </c>
      <c r="J227" s="5">
        <v>8</v>
      </c>
    </row>
    <row r="228" spans="1:10" x14ac:dyDescent="0.25">
      <c r="A228" t="s">
        <v>14</v>
      </c>
      <c r="B228" t="s">
        <v>503</v>
      </c>
      <c r="C228" t="s">
        <v>192</v>
      </c>
      <c r="D228" t="s">
        <v>504</v>
      </c>
      <c r="E228" s="5" t="s">
        <v>62</v>
      </c>
      <c r="F228" s="5" t="e">
        <f>VLOOKUP(B228,'Türkkep Jira'!B:F,5,0)</f>
        <v>#N/A</v>
      </c>
      <c r="G228" t="str">
        <f>IF(IFERROR(VLOOKUP(B228,'Devam Eden Sprint'!B:B,1,0),"-")=B228,"Devam Eden Sprint","-")</f>
        <v>-</v>
      </c>
      <c r="H228" t="str">
        <f>IF(IFERROR(VLOOKUP(B228,'Gelecek Sprint'!B:B,1,0),"-")=B228,"Gelecek Sprint","-")</f>
        <v>-</v>
      </c>
      <c r="I228" t="str">
        <f t="shared" si="9"/>
        <v>Ürün İş Listesi</v>
      </c>
    </row>
    <row r="229" spans="1:10" x14ac:dyDescent="0.25">
      <c r="A229" t="s">
        <v>14</v>
      </c>
      <c r="B229" t="s">
        <v>505</v>
      </c>
      <c r="C229" t="s">
        <v>10</v>
      </c>
      <c r="D229" t="s">
        <v>506</v>
      </c>
      <c r="E229" s="5" t="s">
        <v>62</v>
      </c>
      <c r="F229" s="5" t="e">
        <f>VLOOKUP(B229,'Türkkep Jira'!B:F,5,0)</f>
        <v>#N/A</v>
      </c>
      <c r="G229" t="str">
        <f>IF(IFERROR(VLOOKUP(B229,'Devam Eden Sprint'!B:B,1,0),"-")=B229,"Devam Eden Sprint","-")</f>
        <v>-</v>
      </c>
      <c r="H229" t="str">
        <f>IF(IFERROR(VLOOKUP(B229,'Gelecek Sprint'!B:B,1,0),"-")=B229,"Gelecek Sprint","-")</f>
        <v>-</v>
      </c>
      <c r="I229" t="str">
        <f t="shared" si="9"/>
        <v>Ürün İş Listesi</v>
      </c>
    </row>
    <row r="230" spans="1:10" x14ac:dyDescent="0.25">
      <c r="A230" t="s">
        <v>14</v>
      </c>
      <c r="B230" t="s">
        <v>507</v>
      </c>
      <c r="C230" t="s">
        <v>16</v>
      </c>
      <c r="D230" t="s">
        <v>508</v>
      </c>
      <c r="E230" s="5" t="s">
        <v>62</v>
      </c>
      <c r="F230" s="5" t="e">
        <f>VLOOKUP(B230,'Türkkep Jira'!B:F,5,0)</f>
        <v>#N/A</v>
      </c>
      <c r="G230" t="str">
        <f>IF(IFERROR(VLOOKUP(B230,'Devam Eden Sprint'!B:B,1,0),"-")=B230,"Devam Eden Sprint","-")</f>
        <v>-</v>
      </c>
      <c r="H230" t="str">
        <f>IF(IFERROR(VLOOKUP(B230,'Gelecek Sprint'!B:B,1,0),"-")=B230,"Gelecek Sprint","-")</f>
        <v>-</v>
      </c>
      <c r="I230" t="str">
        <f t="shared" si="9"/>
        <v>Ürün İş Listesi</v>
      </c>
    </row>
    <row r="231" spans="1:10" x14ac:dyDescent="0.25">
      <c r="A231" t="s">
        <v>14</v>
      </c>
      <c r="B231" t="s">
        <v>509</v>
      </c>
      <c r="C231" t="s">
        <v>16</v>
      </c>
      <c r="D231" t="s">
        <v>510</v>
      </c>
      <c r="E231" s="5" t="s">
        <v>62</v>
      </c>
      <c r="F231" s="5" t="e">
        <f>VLOOKUP(B231,'Türkkep Jira'!B:F,5,0)</f>
        <v>#N/A</v>
      </c>
      <c r="G231" t="str">
        <f>IF(IFERROR(VLOOKUP(B231,'Devam Eden Sprint'!B:B,1,0),"-")=B231,"Devam Eden Sprint","-")</f>
        <v>-</v>
      </c>
      <c r="H231" t="str">
        <f>IF(IFERROR(VLOOKUP(B231,'Gelecek Sprint'!B:B,1,0),"-")=B231,"Gelecek Sprint","-")</f>
        <v>-</v>
      </c>
      <c r="I231" t="str">
        <f t="shared" si="9"/>
        <v>Ürün İş Listesi</v>
      </c>
    </row>
    <row r="232" spans="1:10" x14ac:dyDescent="0.25">
      <c r="A232" t="s">
        <v>14</v>
      </c>
      <c r="B232" t="s">
        <v>511</v>
      </c>
      <c r="C232" t="s">
        <v>16</v>
      </c>
      <c r="D232" t="s">
        <v>512</v>
      </c>
      <c r="E232" s="5" t="s">
        <v>62</v>
      </c>
      <c r="F232" s="5" t="e">
        <f>VLOOKUP(B232,'Türkkep Jira'!B:F,5,0)</f>
        <v>#N/A</v>
      </c>
      <c r="G232" t="str">
        <f>IF(IFERROR(VLOOKUP(B232,'Devam Eden Sprint'!B:B,1,0),"-")=B232,"Devam Eden Sprint","-")</f>
        <v>-</v>
      </c>
      <c r="H232" t="str">
        <f>IF(IFERROR(VLOOKUP(B232,'Gelecek Sprint'!B:B,1,0),"-")=B232,"Gelecek Sprint","-")</f>
        <v>-</v>
      </c>
      <c r="I232" t="str">
        <f t="shared" si="9"/>
        <v>Ürün İş Listesi</v>
      </c>
    </row>
    <row r="233" spans="1:10" x14ac:dyDescent="0.25">
      <c r="A233" t="s">
        <v>77</v>
      </c>
      <c r="B233" t="s">
        <v>513</v>
      </c>
      <c r="C233" t="s">
        <v>16</v>
      </c>
      <c r="D233" t="s">
        <v>514</v>
      </c>
      <c r="E233" s="5" t="s">
        <v>62</v>
      </c>
      <c r="F233" s="5" t="e">
        <f>VLOOKUP(B233,'Türkkep Jira'!B:F,5,0)</f>
        <v>#N/A</v>
      </c>
      <c r="G233" t="str">
        <f>IF(IFERROR(VLOOKUP(B233,'Devam Eden Sprint'!B:B,1,0),"-")=B233,"Devam Eden Sprint","-")</f>
        <v>-</v>
      </c>
      <c r="H233" t="str">
        <f>IF(IFERROR(VLOOKUP(B233,'Gelecek Sprint'!B:B,1,0),"-")=B233,"Gelecek Sprint","-")</f>
        <v>-</v>
      </c>
      <c r="I233" t="str">
        <f t="shared" si="9"/>
        <v>Ürün İş Listesi</v>
      </c>
    </row>
    <row r="234" spans="1:10" x14ac:dyDescent="0.25">
      <c r="A234" t="s">
        <v>77</v>
      </c>
      <c r="B234" t="s">
        <v>515</v>
      </c>
      <c r="C234" t="s">
        <v>16</v>
      </c>
      <c r="D234" t="s">
        <v>516</v>
      </c>
      <c r="E234" s="5" t="s">
        <v>62</v>
      </c>
      <c r="F234" s="5" t="e">
        <f>VLOOKUP(B234,'Türkkep Jira'!B:F,5,0)</f>
        <v>#N/A</v>
      </c>
      <c r="G234" t="str">
        <f>IF(IFERROR(VLOOKUP(B234,'Devam Eden Sprint'!B:B,1,0),"-")=B234,"Devam Eden Sprint","-")</f>
        <v>-</v>
      </c>
      <c r="H234" t="str">
        <f>IF(IFERROR(VLOOKUP(B234,'Gelecek Sprint'!B:B,1,0),"-")=B234,"Gelecek Sprint","-")</f>
        <v>-</v>
      </c>
      <c r="I234" t="str">
        <f t="shared" si="9"/>
        <v>Ürün İş Listesi</v>
      </c>
    </row>
    <row r="235" spans="1:10" x14ac:dyDescent="0.25">
      <c r="A235" t="s">
        <v>14</v>
      </c>
      <c r="B235" t="s">
        <v>517</v>
      </c>
      <c r="C235" t="s">
        <v>10</v>
      </c>
      <c r="D235" t="s">
        <v>518</v>
      </c>
      <c r="E235" s="5" t="s">
        <v>62</v>
      </c>
      <c r="F235" s="5" t="e">
        <f>VLOOKUP(B235,'Türkkep Jira'!B:F,5,0)</f>
        <v>#N/A</v>
      </c>
      <c r="G235" t="str">
        <f>IF(IFERROR(VLOOKUP(B235,'Devam Eden Sprint'!B:B,1,0),"-")=B235,"Devam Eden Sprint","-")</f>
        <v>-</v>
      </c>
      <c r="H235" t="str">
        <f>IF(IFERROR(VLOOKUP(B235,'Gelecek Sprint'!B:B,1,0),"-")=B235,"Gelecek Sprint","-")</f>
        <v>-</v>
      </c>
      <c r="I235" t="str">
        <f t="shared" si="9"/>
        <v>Ürün İş Listesi</v>
      </c>
    </row>
    <row r="236" spans="1:10" x14ac:dyDescent="0.25">
      <c r="A236" t="s">
        <v>14</v>
      </c>
      <c r="B236" t="s">
        <v>519</v>
      </c>
      <c r="C236" t="s">
        <v>192</v>
      </c>
      <c r="D236" t="s">
        <v>520</v>
      </c>
      <c r="E236" s="5" t="s">
        <v>62</v>
      </c>
      <c r="F236" s="5" t="e">
        <f>VLOOKUP(B236,'Türkkep Jira'!B:F,5,0)</f>
        <v>#N/A</v>
      </c>
      <c r="G236" t="str">
        <f>IF(IFERROR(VLOOKUP(B236,'Devam Eden Sprint'!B:B,1,0),"-")=B236,"Devam Eden Sprint","-")</f>
        <v>-</v>
      </c>
      <c r="H236" t="str">
        <f>IF(IFERROR(VLOOKUP(B236,'Gelecek Sprint'!B:B,1,0),"-")=B236,"Gelecek Sprint","-")</f>
        <v>-</v>
      </c>
      <c r="I236" t="str">
        <f t="shared" si="9"/>
        <v>Ürün İş Listesi</v>
      </c>
    </row>
    <row r="237" spans="1:10" x14ac:dyDescent="0.25">
      <c r="A237" t="s">
        <v>14</v>
      </c>
      <c r="B237" t="s">
        <v>521</v>
      </c>
      <c r="C237" t="s">
        <v>16</v>
      </c>
      <c r="D237" t="s">
        <v>522</v>
      </c>
      <c r="E237" s="5" t="s">
        <v>62</v>
      </c>
      <c r="F237" s="5" t="e">
        <f>VLOOKUP(B237,'Türkkep Jira'!B:F,5,0)</f>
        <v>#N/A</v>
      </c>
      <c r="G237" t="str">
        <f>IF(IFERROR(VLOOKUP(B237,'Devam Eden Sprint'!B:B,1,0),"-")=B237,"Devam Eden Sprint","-")</f>
        <v>-</v>
      </c>
      <c r="H237" t="str">
        <f>IF(IFERROR(VLOOKUP(B237,'Gelecek Sprint'!B:B,1,0),"-")=B237,"Gelecek Sprint","-")</f>
        <v>-</v>
      </c>
      <c r="I237" t="str">
        <f t="shared" si="9"/>
        <v>Ürün İş Listesi</v>
      </c>
    </row>
    <row r="238" spans="1:10" x14ac:dyDescent="0.25">
      <c r="A238" t="s">
        <v>14</v>
      </c>
      <c r="B238" t="s">
        <v>523</v>
      </c>
      <c r="C238" t="s">
        <v>192</v>
      </c>
      <c r="D238" t="s">
        <v>524</v>
      </c>
      <c r="E238" s="5" t="s">
        <v>62</v>
      </c>
      <c r="F238" s="5" t="e">
        <f>VLOOKUP(B238,'Türkkep Jira'!B:F,5,0)</f>
        <v>#N/A</v>
      </c>
      <c r="G238" t="str">
        <f>IF(IFERROR(VLOOKUP(B238,'Devam Eden Sprint'!B:B,1,0),"-")=B238,"Devam Eden Sprint","-")</f>
        <v>-</v>
      </c>
      <c r="H238" t="str">
        <f>IF(IFERROR(VLOOKUP(B238,'Gelecek Sprint'!B:B,1,0),"-")=B238,"Gelecek Sprint","-")</f>
        <v>-</v>
      </c>
      <c r="I238" t="str">
        <f t="shared" si="9"/>
        <v>Ürün İş Listesi</v>
      </c>
    </row>
    <row r="239" spans="1:10" x14ac:dyDescent="0.25">
      <c r="A239" t="s">
        <v>14</v>
      </c>
      <c r="B239" t="s">
        <v>525</v>
      </c>
      <c r="C239" t="s">
        <v>192</v>
      </c>
      <c r="D239" t="s">
        <v>526</v>
      </c>
      <c r="E239" s="5" t="s">
        <v>62</v>
      </c>
      <c r="F239" s="5" t="e">
        <f>VLOOKUP(B239,'Türkkep Jira'!B:F,5,0)</f>
        <v>#N/A</v>
      </c>
      <c r="G239" t="str">
        <f>IF(IFERROR(VLOOKUP(B239,'Devam Eden Sprint'!B:B,1,0),"-")=B239,"Devam Eden Sprint","-")</f>
        <v>-</v>
      </c>
      <c r="H239" t="str">
        <f>IF(IFERROR(VLOOKUP(B239,'Gelecek Sprint'!B:B,1,0),"-")=B239,"Gelecek Sprint","-")</f>
        <v>-</v>
      </c>
      <c r="I239" t="str">
        <f t="shared" si="9"/>
        <v>Ürün İş Listesi</v>
      </c>
    </row>
    <row r="240" spans="1:10" x14ac:dyDescent="0.25">
      <c r="A240" t="s">
        <v>14</v>
      </c>
      <c r="B240" t="s">
        <v>527</v>
      </c>
      <c r="C240" t="s">
        <v>192</v>
      </c>
      <c r="D240" t="s">
        <v>528</v>
      </c>
      <c r="E240" s="5" t="s">
        <v>62</v>
      </c>
      <c r="F240" s="5" t="e">
        <f>VLOOKUP(B240,'Türkkep Jira'!B:F,5,0)</f>
        <v>#N/A</v>
      </c>
      <c r="G240" t="str">
        <f>IF(IFERROR(VLOOKUP(B240,'Devam Eden Sprint'!B:B,1,0),"-")=B240,"Devam Eden Sprint","-")</f>
        <v>-</v>
      </c>
      <c r="H240" t="str">
        <f>IF(IFERROR(VLOOKUP(B240,'Gelecek Sprint'!B:B,1,0),"-")=B240,"Gelecek Sprint","-")</f>
        <v>-</v>
      </c>
      <c r="I240" t="str">
        <f t="shared" si="9"/>
        <v>Ürün İş Listesi</v>
      </c>
    </row>
    <row r="241" spans="1:10" x14ac:dyDescent="0.25">
      <c r="A241" t="s">
        <v>77</v>
      </c>
      <c r="B241" t="s">
        <v>529</v>
      </c>
      <c r="C241" t="s">
        <v>192</v>
      </c>
      <c r="D241" t="s">
        <v>530</v>
      </c>
      <c r="E241" s="5" t="s">
        <v>62</v>
      </c>
      <c r="F241" s="5" t="e">
        <f>VLOOKUP(B241,'Türkkep Jira'!B:F,5,0)</f>
        <v>#N/A</v>
      </c>
      <c r="G241" t="str">
        <f>IF(IFERROR(VLOOKUP(B241,'Devam Eden Sprint'!B:B,1,0),"-")=B241,"Devam Eden Sprint","-")</f>
        <v>-</v>
      </c>
      <c r="H241" t="str">
        <f>IF(IFERROR(VLOOKUP(B241,'Gelecek Sprint'!B:B,1,0),"-")=B241,"Gelecek Sprint","-")</f>
        <v>-</v>
      </c>
      <c r="I241" t="str">
        <f t="shared" si="9"/>
        <v>Ürün İş Listesi</v>
      </c>
    </row>
    <row r="242" spans="1:10" x14ac:dyDescent="0.25">
      <c r="A242" t="s">
        <v>14</v>
      </c>
      <c r="B242" t="s">
        <v>531</v>
      </c>
      <c r="C242" t="s">
        <v>16</v>
      </c>
      <c r="D242" t="s">
        <v>532</v>
      </c>
      <c r="E242" s="5" t="s">
        <v>533</v>
      </c>
      <c r="F242" s="5" t="e">
        <f>VLOOKUP(B242,'Türkkep Jira'!B:F,5,0)</f>
        <v>#N/A</v>
      </c>
      <c r="G242" t="str">
        <f>IF(IFERROR(VLOOKUP(B242,'Devam Eden Sprint'!B:B,1,0),"-")=B242,"Devam Eden Sprint","-")</f>
        <v>-</v>
      </c>
      <c r="H242" t="str">
        <f>IF(IFERROR(VLOOKUP(B242,'Gelecek Sprint'!B:B,1,0),"-")=B242,"Gelecek Sprint","-")</f>
        <v>-</v>
      </c>
      <c r="I242" t="str">
        <f t="shared" si="9"/>
        <v>Ürün İş Listesi</v>
      </c>
      <c r="J242" s="5">
        <v>5</v>
      </c>
    </row>
    <row r="243" spans="1:10" x14ac:dyDescent="0.25">
      <c r="A243" t="s">
        <v>14</v>
      </c>
      <c r="B243" t="s">
        <v>534</v>
      </c>
      <c r="C243" t="s">
        <v>16</v>
      </c>
      <c r="D243" t="s">
        <v>535</v>
      </c>
      <c r="E243" s="5" t="s">
        <v>533</v>
      </c>
      <c r="F243" s="5" t="e">
        <f>VLOOKUP(B243,'Türkkep Jira'!B:F,5,0)</f>
        <v>#N/A</v>
      </c>
      <c r="G243" t="str">
        <f>IF(IFERROR(VLOOKUP(B243,'Devam Eden Sprint'!B:B,1,0),"-")=B243,"Devam Eden Sprint","-")</f>
        <v>-</v>
      </c>
      <c r="H243" t="str">
        <f>IF(IFERROR(VLOOKUP(B243,'Gelecek Sprint'!B:B,1,0),"-")=B243,"Gelecek Sprint","-")</f>
        <v>-</v>
      </c>
      <c r="I243" t="str">
        <f t="shared" si="9"/>
        <v>Ürün İş Listesi</v>
      </c>
      <c r="J243" s="5">
        <v>8</v>
      </c>
    </row>
    <row r="244" spans="1:10" x14ac:dyDescent="0.25">
      <c r="A244" t="s">
        <v>14</v>
      </c>
      <c r="B244" t="s">
        <v>536</v>
      </c>
      <c r="C244" t="s">
        <v>16</v>
      </c>
      <c r="D244" t="s">
        <v>537</v>
      </c>
      <c r="E244" s="5" t="s">
        <v>533</v>
      </c>
      <c r="F244" s="5" t="e">
        <f>VLOOKUP(B244,'Türkkep Jira'!B:F,5,0)</f>
        <v>#N/A</v>
      </c>
      <c r="G244" t="str">
        <f>IF(IFERROR(VLOOKUP(B244,'Devam Eden Sprint'!B:B,1,0),"-")=B244,"Devam Eden Sprint","-")</f>
        <v>-</v>
      </c>
      <c r="H244" t="str">
        <f>IF(IFERROR(VLOOKUP(B244,'Gelecek Sprint'!B:B,1,0),"-")=B244,"Gelecek Sprint","-")</f>
        <v>-</v>
      </c>
      <c r="I244" t="str">
        <f t="shared" si="9"/>
        <v>Ürün İş Listesi</v>
      </c>
      <c r="J244" s="5">
        <v>8</v>
      </c>
    </row>
    <row r="245" spans="1:10" x14ac:dyDescent="0.25">
      <c r="A245" t="s">
        <v>14</v>
      </c>
      <c r="B245" t="s">
        <v>538</v>
      </c>
      <c r="C245" t="s">
        <v>16</v>
      </c>
      <c r="D245" t="s">
        <v>539</v>
      </c>
      <c r="E245" s="5" t="s">
        <v>533</v>
      </c>
      <c r="F245" s="5" t="e">
        <f>VLOOKUP(B245,'Türkkep Jira'!B:F,5,0)</f>
        <v>#N/A</v>
      </c>
      <c r="G245" t="str">
        <f>IF(IFERROR(VLOOKUP(B245,'Devam Eden Sprint'!B:B,1,0),"-")=B245,"Devam Eden Sprint","-")</f>
        <v>-</v>
      </c>
      <c r="H245" t="str">
        <f>IF(IFERROR(VLOOKUP(B245,'Gelecek Sprint'!B:B,1,0),"-")=B245,"Gelecek Sprint","-")</f>
        <v>-</v>
      </c>
      <c r="I245" t="str">
        <f t="shared" si="9"/>
        <v>Ürün İş Listesi</v>
      </c>
      <c r="J245" s="5">
        <v>8</v>
      </c>
    </row>
    <row r="246" spans="1:10" x14ac:dyDescent="0.25">
      <c r="A246" t="s">
        <v>14</v>
      </c>
      <c r="B246" t="s">
        <v>540</v>
      </c>
      <c r="C246" t="s">
        <v>16</v>
      </c>
      <c r="D246" t="s">
        <v>541</v>
      </c>
      <c r="E246" s="5" t="s">
        <v>542</v>
      </c>
      <c r="F246" s="5" t="e">
        <f>VLOOKUP(B246,'Türkkep Jira'!B:F,5,0)</f>
        <v>#N/A</v>
      </c>
      <c r="G246" t="str">
        <f>IF(IFERROR(VLOOKUP(B246,'Devam Eden Sprint'!B:B,1,0),"-")=B246,"Devam Eden Sprint","-")</f>
        <v>-</v>
      </c>
      <c r="H246" t="str">
        <f>IF(IFERROR(VLOOKUP(B246,'Gelecek Sprint'!B:B,1,0),"-")=B246,"Gelecek Sprint","-")</f>
        <v>-</v>
      </c>
      <c r="I246" t="str">
        <f t="shared" si="9"/>
        <v>Ürün İş Listesi</v>
      </c>
      <c r="J246" s="5">
        <v>3</v>
      </c>
    </row>
    <row r="247" spans="1:10" x14ac:dyDescent="0.25">
      <c r="A247" t="s">
        <v>14</v>
      </c>
      <c r="B247" t="s">
        <v>543</v>
      </c>
      <c r="C247" t="s">
        <v>10</v>
      </c>
      <c r="D247" t="s">
        <v>544</v>
      </c>
      <c r="E247" s="5" t="s">
        <v>124</v>
      </c>
      <c r="F247" s="5" t="e">
        <f>VLOOKUP(B247,'Türkkep Jira'!B:F,5,0)</f>
        <v>#N/A</v>
      </c>
      <c r="G247" t="str">
        <f>IF(IFERROR(VLOOKUP(B247,'Devam Eden Sprint'!B:B,1,0),"-")=B247,"Devam Eden Sprint","-")</f>
        <v>-</v>
      </c>
      <c r="H247" t="str">
        <f>IF(IFERROR(VLOOKUP(B247,'Gelecek Sprint'!B:B,1,0),"-")=B247,"Gelecek Sprint","-")</f>
        <v>-</v>
      </c>
      <c r="I247" t="str">
        <f t="shared" si="9"/>
        <v>Ürün İş Listesi</v>
      </c>
    </row>
    <row r="248" spans="1:10" x14ac:dyDescent="0.25">
      <c r="A248" t="s">
        <v>14</v>
      </c>
      <c r="B248" t="s">
        <v>545</v>
      </c>
      <c r="C248" t="s">
        <v>16</v>
      </c>
      <c r="D248" t="s">
        <v>546</v>
      </c>
      <c r="E248" s="5" t="s">
        <v>124</v>
      </c>
      <c r="F248" s="5" t="e">
        <f>VLOOKUP(B248,'Türkkep Jira'!B:F,5,0)</f>
        <v>#N/A</v>
      </c>
      <c r="G248" t="str">
        <f>IF(IFERROR(VLOOKUP(B248,'Devam Eden Sprint'!B:B,1,0),"-")=B248,"Devam Eden Sprint","-")</f>
        <v>-</v>
      </c>
      <c r="H248" t="str">
        <f>IF(IFERROR(VLOOKUP(B248,'Gelecek Sprint'!B:B,1,0),"-")=B248,"Gelecek Sprint","-")</f>
        <v>-</v>
      </c>
      <c r="I248" t="str">
        <f t="shared" si="9"/>
        <v>Ürün İş Listesi</v>
      </c>
      <c r="J248" s="5">
        <v>13</v>
      </c>
    </row>
    <row r="249" spans="1:10" x14ac:dyDescent="0.25">
      <c r="A249" t="s">
        <v>14</v>
      </c>
      <c r="B249" t="s">
        <v>547</v>
      </c>
      <c r="C249" t="s">
        <v>16</v>
      </c>
      <c r="D249" t="s">
        <v>548</v>
      </c>
      <c r="E249" s="5" t="s">
        <v>127</v>
      </c>
      <c r="F249" s="5" t="e">
        <f>VLOOKUP(B249,'Türkkep Jira'!B:F,5,0)</f>
        <v>#N/A</v>
      </c>
      <c r="G249" t="str">
        <f>IF(IFERROR(VLOOKUP(B249,'Devam Eden Sprint'!B:B,1,0),"-")=B249,"Devam Eden Sprint","-")</f>
        <v>-</v>
      </c>
      <c r="H249" t="str">
        <f>IF(IFERROR(VLOOKUP(B249,'Gelecek Sprint'!B:B,1,0),"-")=B249,"Gelecek Sprint","-")</f>
        <v>-</v>
      </c>
      <c r="I249" t="str">
        <f t="shared" si="9"/>
        <v>Ürün İş Listesi</v>
      </c>
      <c r="J249" s="5">
        <v>8</v>
      </c>
    </row>
    <row r="250" spans="1:10" x14ac:dyDescent="0.25">
      <c r="A250" t="s">
        <v>14</v>
      </c>
      <c r="B250" t="s">
        <v>549</v>
      </c>
      <c r="C250" t="s">
        <v>16</v>
      </c>
      <c r="D250" t="s">
        <v>550</v>
      </c>
      <c r="E250" s="5" t="s">
        <v>127</v>
      </c>
      <c r="F250" s="5" t="e">
        <f>VLOOKUP(B250,'Türkkep Jira'!B:F,5,0)</f>
        <v>#N/A</v>
      </c>
      <c r="G250" t="str">
        <f>IF(IFERROR(VLOOKUP(B250,'Devam Eden Sprint'!B:B,1,0),"-")=B250,"Devam Eden Sprint","-")</f>
        <v>-</v>
      </c>
      <c r="H250" t="str">
        <f>IF(IFERROR(VLOOKUP(B250,'Gelecek Sprint'!B:B,1,0),"-")=B250,"Gelecek Sprint","-")</f>
        <v>-</v>
      </c>
      <c r="I250" t="str">
        <f t="shared" si="9"/>
        <v>Ürün İş Listesi</v>
      </c>
    </row>
    <row r="251" spans="1:10" x14ac:dyDescent="0.25">
      <c r="A251" t="s">
        <v>14</v>
      </c>
      <c r="B251" t="s">
        <v>551</v>
      </c>
      <c r="C251" t="s">
        <v>16</v>
      </c>
      <c r="D251" t="s">
        <v>552</v>
      </c>
      <c r="E251" s="5" t="s">
        <v>127</v>
      </c>
      <c r="F251" s="5" t="e">
        <f>VLOOKUP(B251,'Türkkep Jira'!B:F,5,0)</f>
        <v>#N/A</v>
      </c>
      <c r="G251" t="str">
        <f>IF(IFERROR(VLOOKUP(B251,'Devam Eden Sprint'!B:B,1,0),"-")=B251,"Devam Eden Sprint","-")</f>
        <v>-</v>
      </c>
      <c r="H251" t="str">
        <f>IF(IFERROR(VLOOKUP(B251,'Gelecek Sprint'!B:B,1,0),"-")=B251,"Gelecek Sprint","-")</f>
        <v>-</v>
      </c>
      <c r="I251" t="str">
        <f t="shared" si="9"/>
        <v>Ürün İş Listesi</v>
      </c>
    </row>
    <row r="252" spans="1:10" x14ac:dyDescent="0.25">
      <c r="A252" t="s">
        <v>14</v>
      </c>
      <c r="B252" t="s">
        <v>553</v>
      </c>
      <c r="C252" t="s">
        <v>16</v>
      </c>
      <c r="D252" t="s">
        <v>554</v>
      </c>
      <c r="E252" s="5" t="s">
        <v>127</v>
      </c>
      <c r="F252" s="5" t="e">
        <f>VLOOKUP(B252,'Türkkep Jira'!B:F,5,0)</f>
        <v>#N/A</v>
      </c>
      <c r="G252" t="str">
        <f>IF(IFERROR(VLOOKUP(B252,'Devam Eden Sprint'!B:B,1,0),"-")=B252,"Devam Eden Sprint","-")</f>
        <v>-</v>
      </c>
      <c r="H252" t="str">
        <f>IF(IFERROR(VLOOKUP(B252,'Gelecek Sprint'!B:B,1,0),"-")=B252,"Gelecek Sprint","-")</f>
        <v>-</v>
      </c>
      <c r="I252" t="str">
        <f t="shared" si="9"/>
        <v>Ürün İş Listesi</v>
      </c>
      <c r="J252" s="5">
        <v>5</v>
      </c>
    </row>
    <row r="253" spans="1:10" x14ac:dyDescent="0.25">
      <c r="A253" t="s">
        <v>14</v>
      </c>
      <c r="B253" t="s">
        <v>555</v>
      </c>
      <c r="C253" t="s">
        <v>16</v>
      </c>
      <c r="D253" t="s">
        <v>556</v>
      </c>
      <c r="E253" s="5" t="s">
        <v>127</v>
      </c>
      <c r="F253" s="5" t="e">
        <f>VLOOKUP(B253,'Türkkep Jira'!B:F,5,0)</f>
        <v>#N/A</v>
      </c>
      <c r="G253" t="str">
        <f>IF(IFERROR(VLOOKUP(B253,'Devam Eden Sprint'!B:B,1,0),"-")=B253,"Devam Eden Sprint","-")</f>
        <v>-</v>
      </c>
      <c r="H253" t="str">
        <f>IF(IFERROR(VLOOKUP(B253,'Gelecek Sprint'!B:B,1,0),"-")=B253,"Gelecek Sprint","-")</f>
        <v>-</v>
      </c>
      <c r="I253" t="str">
        <f t="shared" si="9"/>
        <v>Ürün İş Listesi</v>
      </c>
    </row>
    <row r="254" spans="1:10" x14ac:dyDescent="0.25">
      <c r="A254" t="s">
        <v>14</v>
      </c>
      <c r="B254" t="s">
        <v>557</v>
      </c>
      <c r="C254" t="s">
        <v>10</v>
      </c>
      <c r="D254" t="s">
        <v>558</v>
      </c>
      <c r="E254" s="5" t="s">
        <v>127</v>
      </c>
      <c r="F254" s="5" t="e">
        <f>VLOOKUP(B254,'Türkkep Jira'!B:F,5,0)</f>
        <v>#N/A</v>
      </c>
      <c r="G254" t="str">
        <f>IF(IFERROR(VLOOKUP(B254,'Devam Eden Sprint'!B:B,1,0),"-")=B254,"Devam Eden Sprint","-")</f>
        <v>-</v>
      </c>
      <c r="H254" t="str">
        <f>IF(IFERROR(VLOOKUP(B254,'Gelecek Sprint'!B:B,1,0),"-")=B254,"Gelecek Sprint","-")</f>
        <v>-</v>
      </c>
      <c r="I254" t="str">
        <f t="shared" si="9"/>
        <v>Ürün İş Listesi</v>
      </c>
    </row>
    <row r="255" spans="1:10" x14ac:dyDescent="0.25">
      <c r="A255" t="s">
        <v>14</v>
      </c>
      <c r="B255" t="s">
        <v>559</v>
      </c>
      <c r="C255" t="s">
        <v>16</v>
      </c>
      <c r="D255" t="s">
        <v>560</v>
      </c>
      <c r="E255" s="5" t="s">
        <v>127</v>
      </c>
      <c r="F255" s="5" t="e">
        <f>VLOOKUP(B255,'Türkkep Jira'!B:F,5,0)</f>
        <v>#N/A</v>
      </c>
      <c r="G255" t="str">
        <f>IF(IFERROR(VLOOKUP(B255,'Devam Eden Sprint'!B:B,1,0),"-")=B255,"Devam Eden Sprint","-")</f>
        <v>-</v>
      </c>
      <c r="H255" t="str">
        <f>IF(IFERROR(VLOOKUP(B255,'Gelecek Sprint'!B:B,1,0),"-")=B255,"Gelecek Sprint","-")</f>
        <v>-</v>
      </c>
      <c r="I255" t="str">
        <f t="shared" si="9"/>
        <v>Ürün İş Listesi</v>
      </c>
    </row>
    <row r="256" spans="1:10" x14ac:dyDescent="0.25">
      <c r="A256" t="s">
        <v>14</v>
      </c>
      <c r="B256" t="s">
        <v>561</v>
      </c>
      <c r="C256" t="s">
        <v>16</v>
      </c>
      <c r="D256" t="s">
        <v>562</v>
      </c>
      <c r="E256" s="5" t="s">
        <v>127</v>
      </c>
      <c r="F256" s="5" t="e">
        <f>VLOOKUP(B256,'Türkkep Jira'!B:F,5,0)</f>
        <v>#N/A</v>
      </c>
      <c r="G256" t="str">
        <f>IF(IFERROR(VLOOKUP(B256,'Devam Eden Sprint'!B:B,1,0),"-")=B256,"Devam Eden Sprint","-")</f>
        <v>-</v>
      </c>
      <c r="H256" t="str">
        <f>IF(IFERROR(VLOOKUP(B256,'Gelecek Sprint'!B:B,1,0),"-")=B256,"Gelecek Sprint","-")</f>
        <v>-</v>
      </c>
      <c r="I256" t="str">
        <f t="shared" si="9"/>
        <v>Ürün İş Listesi</v>
      </c>
    </row>
    <row r="257" spans="1:10" x14ac:dyDescent="0.25">
      <c r="A257" t="s">
        <v>14</v>
      </c>
      <c r="B257" t="s">
        <v>563</v>
      </c>
      <c r="C257" t="s">
        <v>16</v>
      </c>
      <c r="D257" t="s">
        <v>564</v>
      </c>
      <c r="E257" s="5" t="s">
        <v>127</v>
      </c>
      <c r="F257" s="5" t="e">
        <f>VLOOKUP(B257,'Türkkep Jira'!B:F,5,0)</f>
        <v>#N/A</v>
      </c>
      <c r="G257" t="str">
        <f>IF(IFERROR(VLOOKUP(B257,'Devam Eden Sprint'!B:B,1,0),"-")=B257,"Devam Eden Sprint","-")</f>
        <v>-</v>
      </c>
      <c r="H257" t="str">
        <f>IF(IFERROR(VLOOKUP(B257,'Gelecek Sprint'!B:B,1,0),"-")=B257,"Gelecek Sprint","-")</f>
        <v>-</v>
      </c>
      <c r="I257" t="str">
        <f t="shared" si="9"/>
        <v>Ürün İş Listesi</v>
      </c>
    </row>
    <row r="258" spans="1:10" x14ac:dyDescent="0.25">
      <c r="A258" t="s">
        <v>14</v>
      </c>
      <c r="B258" t="s">
        <v>565</v>
      </c>
      <c r="C258" t="s">
        <v>10</v>
      </c>
      <c r="D258" t="s">
        <v>566</v>
      </c>
      <c r="E258" s="5" t="s">
        <v>53</v>
      </c>
      <c r="F258" s="5" t="e">
        <f>VLOOKUP(B258,'Türkkep Jira'!B:F,5,0)</f>
        <v>#N/A</v>
      </c>
      <c r="G258" t="str">
        <f>IF(IFERROR(VLOOKUP(B258,'Devam Eden Sprint'!B:B,1,0),"-")=B258,"Devam Eden Sprint","-")</f>
        <v>-</v>
      </c>
      <c r="H258" t="str">
        <f>IF(IFERROR(VLOOKUP(B258,'Gelecek Sprint'!B:B,1,0),"-")=B258,"Gelecek Sprint","-")</f>
        <v>-</v>
      </c>
      <c r="I258" t="str">
        <f t="shared" ref="I258:I321" si="10">IFERROR(IF(AND(G258="Devam Eden Sprint",H258="Gelecek Sprint"),"Devam Eden ve Gelecek Sprint",IF(G258="Devam Eden Sprint","Devam Eden Sprint",IF(H258="Gelecek Sprint","Gelecek Sprint","Ürün İş Listesi"))),"Ürün İş Listesi")</f>
        <v>Ürün İş Listesi</v>
      </c>
    </row>
    <row r="259" spans="1:10" x14ac:dyDescent="0.25">
      <c r="A259" t="s">
        <v>14</v>
      </c>
      <c r="B259" t="s">
        <v>567</v>
      </c>
      <c r="C259" t="s">
        <v>16</v>
      </c>
      <c r="D259" t="s">
        <v>568</v>
      </c>
      <c r="E259" s="5" t="s">
        <v>53</v>
      </c>
      <c r="F259" s="5" t="e">
        <f>VLOOKUP(B259,'Türkkep Jira'!B:F,5,0)</f>
        <v>#N/A</v>
      </c>
      <c r="G259" t="str">
        <f>IF(IFERROR(VLOOKUP(B259,'Devam Eden Sprint'!B:B,1,0),"-")=B259,"Devam Eden Sprint","-")</f>
        <v>-</v>
      </c>
      <c r="H259" t="str">
        <f>IF(IFERROR(VLOOKUP(B259,'Gelecek Sprint'!B:B,1,0),"-")=B259,"Gelecek Sprint","-")</f>
        <v>-</v>
      </c>
      <c r="I259" t="str">
        <f t="shared" si="10"/>
        <v>Ürün İş Listesi</v>
      </c>
      <c r="J259" s="5">
        <v>5</v>
      </c>
    </row>
    <row r="260" spans="1:10" x14ac:dyDescent="0.25">
      <c r="A260" t="s">
        <v>14</v>
      </c>
      <c r="B260" t="s">
        <v>569</v>
      </c>
      <c r="C260" t="s">
        <v>10</v>
      </c>
      <c r="D260" t="s">
        <v>570</v>
      </c>
      <c r="E260" s="5" t="s">
        <v>53</v>
      </c>
      <c r="F260" s="5" t="e">
        <f>VLOOKUP(B260,'Türkkep Jira'!B:F,5,0)</f>
        <v>#N/A</v>
      </c>
      <c r="G260" t="str">
        <f>IF(IFERROR(VLOOKUP(B260,'Devam Eden Sprint'!B:B,1,0),"-")=B260,"Devam Eden Sprint","-")</f>
        <v>-</v>
      </c>
      <c r="H260" t="str">
        <f>IF(IFERROR(VLOOKUP(B260,'Gelecek Sprint'!B:B,1,0),"-")=B260,"Gelecek Sprint","-")</f>
        <v>-</v>
      </c>
      <c r="I260" t="str">
        <f t="shared" si="10"/>
        <v>Ürün İş Listesi</v>
      </c>
    </row>
    <row r="261" spans="1:10" x14ac:dyDescent="0.25">
      <c r="A261" t="s">
        <v>14</v>
      </c>
      <c r="B261" t="s">
        <v>571</v>
      </c>
      <c r="C261" t="s">
        <v>10</v>
      </c>
      <c r="D261" t="s">
        <v>572</v>
      </c>
      <c r="E261" s="5" t="s">
        <v>53</v>
      </c>
      <c r="F261" s="5" t="e">
        <f>VLOOKUP(B261,'Türkkep Jira'!B:F,5,0)</f>
        <v>#N/A</v>
      </c>
      <c r="G261" t="str">
        <f>IF(IFERROR(VLOOKUP(B261,'Devam Eden Sprint'!B:B,1,0),"-")=B261,"Devam Eden Sprint","-")</f>
        <v>-</v>
      </c>
      <c r="H261" t="str">
        <f>IF(IFERROR(VLOOKUP(B261,'Gelecek Sprint'!B:B,1,0),"-")=B261,"Gelecek Sprint","-")</f>
        <v>-</v>
      </c>
      <c r="I261" t="str">
        <f t="shared" si="10"/>
        <v>Ürün İş Listesi</v>
      </c>
    </row>
    <row r="262" spans="1:10" x14ac:dyDescent="0.25">
      <c r="A262" t="s">
        <v>14</v>
      </c>
      <c r="B262" t="s">
        <v>573</v>
      </c>
      <c r="C262" t="s">
        <v>10</v>
      </c>
      <c r="D262" t="s">
        <v>574</v>
      </c>
      <c r="E262" s="5" t="s">
        <v>53</v>
      </c>
      <c r="F262" s="5" t="e">
        <f>VLOOKUP(B262,'Türkkep Jira'!B:F,5,0)</f>
        <v>#N/A</v>
      </c>
      <c r="G262" t="str">
        <f>IF(IFERROR(VLOOKUP(B262,'Devam Eden Sprint'!B:B,1,0),"-")=B262,"Devam Eden Sprint","-")</f>
        <v>-</v>
      </c>
      <c r="H262" t="str">
        <f>IF(IFERROR(VLOOKUP(B262,'Gelecek Sprint'!B:B,1,0),"-")=B262,"Gelecek Sprint","-")</f>
        <v>-</v>
      </c>
      <c r="I262" t="str">
        <f t="shared" si="10"/>
        <v>Ürün İş Listesi</v>
      </c>
    </row>
    <row r="263" spans="1:10" x14ac:dyDescent="0.25">
      <c r="A263" t="s">
        <v>14</v>
      </c>
      <c r="B263" t="s">
        <v>575</v>
      </c>
      <c r="C263" t="s">
        <v>16</v>
      </c>
      <c r="D263" t="s">
        <v>576</v>
      </c>
      <c r="E263" s="5" t="s">
        <v>53</v>
      </c>
      <c r="F263" s="5" t="e">
        <f>VLOOKUP(B263,'Türkkep Jira'!B:F,5,0)</f>
        <v>#N/A</v>
      </c>
      <c r="G263" t="str">
        <f>IF(IFERROR(VLOOKUP(B263,'Devam Eden Sprint'!B:B,1,0),"-")=B263,"Devam Eden Sprint","-")</f>
        <v>-</v>
      </c>
      <c r="H263" t="str">
        <f>IF(IFERROR(VLOOKUP(B263,'Gelecek Sprint'!B:B,1,0),"-")=B263,"Gelecek Sprint","-")</f>
        <v>-</v>
      </c>
      <c r="I263" t="str">
        <f t="shared" si="10"/>
        <v>Ürün İş Listesi</v>
      </c>
      <c r="J263" s="5">
        <v>5</v>
      </c>
    </row>
    <row r="264" spans="1:10" x14ac:dyDescent="0.25">
      <c r="A264" t="s">
        <v>14</v>
      </c>
      <c r="B264" t="s">
        <v>577</v>
      </c>
      <c r="C264" t="s">
        <v>16</v>
      </c>
      <c r="D264" t="s">
        <v>578</v>
      </c>
      <c r="E264" s="5" t="s">
        <v>53</v>
      </c>
      <c r="F264" s="5" t="e">
        <f>VLOOKUP(B264,'Türkkep Jira'!B:F,5,0)</f>
        <v>#N/A</v>
      </c>
      <c r="G264" t="str">
        <f>IF(IFERROR(VLOOKUP(B264,'Devam Eden Sprint'!B:B,1,0),"-")=B264,"Devam Eden Sprint","-")</f>
        <v>-</v>
      </c>
      <c r="H264" t="str">
        <f>IF(IFERROR(VLOOKUP(B264,'Gelecek Sprint'!B:B,1,0),"-")=B264,"Gelecek Sprint","-")</f>
        <v>-</v>
      </c>
      <c r="I264" t="str">
        <f t="shared" si="10"/>
        <v>Ürün İş Listesi</v>
      </c>
      <c r="J264" s="5">
        <v>5</v>
      </c>
    </row>
    <row r="265" spans="1:10" x14ac:dyDescent="0.25">
      <c r="A265" t="s">
        <v>14</v>
      </c>
      <c r="B265" t="s">
        <v>579</v>
      </c>
      <c r="C265" t="s">
        <v>16</v>
      </c>
      <c r="D265" t="s">
        <v>580</v>
      </c>
      <c r="E265" s="5" t="s">
        <v>53</v>
      </c>
      <c r="F265" s="5" t="e">
        <f>VLOOKUP(B265,'Türkkep Jira'!B:F,5,0)</f>
        <v>#N/A</v>
      </c>
      <c r="G265" t="str">
        <f>IF(IFERROR(VLOOKUP(B265,'Devam Eden Sprint'!B:B,1,0),"-")=B265,"Devam Eden Sprint","-")</f>
        <v>-</v>
      </c>
      <c r="H265" t="str">
        <f>IF(IFERROR(VLOOKUP(B265,'Gelecek Sprint'!B:B,1,0),"-")=B265,"Gelecek Sprint","-")</f>
        <v>-</v>
      </c>
      <c r="I265" t="str">
        <f t="shared" si="10"/>
        <v>Ürün İş Listesi</v>
      </c>
      <c r="J265" s="5">
        <v>5</v>
      </c>
    </row>
    <row r="266" spans="1:10" x14ac:dyDescent="0.25">
      <c r="A266" t="s">
        <v>14</v>
      </c>
      <c r="B266" t="s">
        <v>581</v>
      </c>
      <c r="C266" t="s">
        <v>16</v>
      </c>
      <c r="D266" t="s">
        <v>582</v>
      </c>
      <c r="E266" s="5" t="s">
        <v>53</v>
      </c>
      <c r="F266" s="5" t="e">
        <f>VLOOKUP(B266,'Türkkep Jira'!B:F,5,0)</f>
        <v>#N/A</v>
      </c>
      <c r="G266" t="str">
        <f>IF(IFERROR(VLOOKUP(B266,'Devam Eden Sprint'!B:B,1,0),"-")=B266,"Devam Eden Sprint","-")</f>
        <v>-</v>
      </c>
      <c r="H266" t="str">
        <f>IF(IFERROR(VLOOKUP(B266,'Gelecek Sprint'!B:B,1,0),"-")=B266,"Gelecek Sprint","-")</f>
        <v>-</v>
      </c>
      <c r="I266" t="str">
        <f t="shared" si="10"/>
        <v>Ürün İş Listesi</v>
      </c>
      <c r="J266" s="5">
        <v>5</v>
      </c>
    </row>
    <row r="267" spans="1:10" x14ac:dyDescent="0.25">
      <c r="A267" t="s">
        <v>14</v>
      </c>
      <c r="B267" t="s">
        <v>583</v>
      </c>
      <c r="C267" t="s">
        <v>16</v>
      </c>
      <c r="D267" t="s">
        <v>584</v>
      </c>
      <c r="E267" s="5" t="s">
        <v>53</v>
      </c>
      <c r="F267" s="5" t="e">
        <f>VLOOKUP(B267,'Türkkep Jira'!B:F,5,0)</f>
        <v>#N/A</v>
      </c>
      <c r="G267" t="str">
        <f>IF(IFERROR(VLOOKUP(B267,'Devam Eden Sprint'!B:B,1,0),"-")=B267,"Devam Eden Sprint","-")</f>
        <v>-</v>
      </c>
      <c r="H267" t="str">
        <f>IF(IFERROR(VLOOKUP(B267,'Gelecek Sprint'!B:B,1,0),"-")=B267,"Gelecek Sprint","-")</f>
        <v>-</v>
      </c>
      <c r="I267" t="str">
        <f t="shared" si="10"/>
        <v>Ürün İş Listesi</v>
      </c>
      <c r="J267" s="5">
        <v>5</v>
      </c>
    </row>
    <row r="268" spans="1:10" x14ac:dyDescent="0.25">
      <c r="A268" t="s">
        <v>14</v>
      </c>
      <c r="B268" t="s">
        <v>585</v>
      </c>
      <c r="C268" t="s">
        <v>10</v>
      </c>
      <c r="D268" t="s">
        <v>586</v>
      </c>
      <c r="E268" s="5" t="s">
        <v>53</v>
      </c>
      <c r="F268" s="5" t="e">
        <f>VLOOKUP(B268,'Türkkep Jira'!B:F,5,0)</f>
        <v>#N/A</v>
      </c>
      <c r="G268" t="str">
        <f>IF(IFERROR(VLOOKUP(B268,'Devam Eden Sprint'!B:B,1,0),"-")=B268,"Devam Eden Sprint","-")</f>
        <v>-</v>
      </c>
      <c r="H268" t="str">
        <f>IF(IFERROR(VLOOKUP(B268,'Gelecek Sprint'!B:B,1,0),"-")=B268,"Gelecek Sprint","-")</f>
        <v>-</v>
      </c>
      <c r="I268" t="str">
        <f t="shared" si="10"/>
        <v>Ürün İş Listesi</v>
      </c>
    </row>
    <row r="269" spans="1:10" x14ac:dyDescent="0.25">
      <c r="A269" t="s">
        <v>14</v>
      </c>
      <c r="B269" t="s">
        <v>587</v>
      </c>
      <c r="C269" t="s">
        <v>16</v>
      </c>
      <c r="D269" t="s">
        <v>588</v>
      </c>
      <c r="E269" s="5" t="s">
        <v>53</v>
      </c>
      <c r="F269" s="5" t="e">
        <f>VLOOKUP(B269,'Türkkep Jira'!B:F,5,0)</f>
        <v>#N/A</v>
      </c>
      <c r="G269" t="str">
        <f>IF(IFERROR(VLOOKUP(B269,'Devam Eden Sprint'!B:B,1,0),"-")=B269,"Devam Eden Sprint","-")</f>
        <v>-</v>
      </c>
      <c r="H269" t="str">
        <f>IF(IFERROR(VLOOKUP(B269,'Gelecek Sprint'!B:B,1,0),"-")=B269,"Gelecek Sprint","-")</f>
        <v>-</v>
      </c>
      <c r="I269" t="str">
        <f t="shared" si="10"/>
        <v>Ürün İş Listesi</v>
      </c>
      <c r="J269" s="5">
        <v>8</v>
      </c>
    </row>
    <row r="270" spans="1:10" x14ac:dyDescent="0.25">
      <c r="A270" t="s">
        <v>14</v>
      </c>
      <c r="B270" t="s">
        <v>589</v>
      </c>
      <c r="C270" t="s">
        <v>16</v>
      </c>
      <c r="D270" t="s">
        <v>590</v>
      </c>
      <c r="E270" s="5" t="s">
        <v>53</v>
      </c>
      <c r="F270" s="5" t="e">
        <f>VLOOKUP(B270,'Türkkep Jira'!B:F,5,0)</f>
        <v>#N/A</v>
      </c>
      <c r="G270" t="str">
        <f>IF(IFERROR(VLOOKUP(B270,'Devam Eden Sprint'!B:B,1,0),"-")=B270,"Devam Eden Sprint","-")</f>
        <v>-</v>
      </c>
      <c r="H270" t="str">
        <f>IF(IFERROR(VLOOKUP(B270,'Gelecek Sprint'!B:B,1,0),"-")=B270,"Gelecek Sprint","-")</f>
        <v>-</v>
      </c>
      <c r="I270" t="str">
        <f t="shared" si="10"/>
        <v>Ürün İş Listesi</v>
      </c>
      <c r="J270" s="5">
        <v>8</v>
      </c>
    </row>
    <row r="271" spans="1:10" x14ac:dyDescent="0.25">
      <c r="A271" t="s">
        <v>14</v>
      </c>
      <c r="B271" t="s">
        <v>591</v>
      </c>
      <c r="C271" t="s">
        <v>16</v>
      </c>
      <c r="D271" t="s">
        <v>592</v>
      </c>
      <c r="E271" s="5" t="s">
        <v>53</v>
      </c>
      <c r="F271" s="5" t="e">
        <f>VLOOKUP(B271,'Türkkep Jira'!B:F,5,0)</f>
        <v>#N/A</v>
      </c>
      <c r="G271" t="str">
        <f>IF(IFERROR(VLOOKUP(B271,'Devam Eden Sprint'!B:B,1,0),"-")=B271,"Devam Eden Sprint","-")</f>
        <v>-</v>
      </c>
      <c r="H271" t="str">
        <f>IF(IFERROR(VLOOKUP(B271,'Gelecek Sprint'!B:B,1,0),"-")=B271,"Gelecek Sprint","-")</f>
        <v>-</v>
      </c>
      <c r="I271" t="str">
        <f t="shared" si="10"/>
        <v>Ürün İş Listesi</v>
      </c>
      <c r="J271" s="5">
        <v>5</v>
      </c>
    </row>
    <row r="272" spans="1:10" x14ac:dyDescent="0.25">
      <c r="A272" t="s">
        <v>14</v>
      </c>
      <c r="B272" t="s">
        <v>593</v>
      </c>
      <c r="C272" t="s">
        <v>16</v>
      </c>
      <c r="D272" t="s">
        <v>594</v>
      </c>
      <c r="E272" s="5" t="s">
        <v>53</v>
      </c>
      <c r="F272" s="5" t="e">
        <f>VLOOKUP(B272,'Türkkep Jira'!B:F,5,0)</f>
        <v>#N/A</v>
      </c>
      <c r="G272" t="str">
        <f>IF(IFERROR(VLOOKUP(B272,'Devam Eden Sprint'!B:B,1,0),"-")=B272,"Devam Eden Sprint","-")</f>
        <v>-</v>
      </c>
      <c r="H272" t="str">
        <f>IF(IFERROR(VLOOKUP(B272,'Gelecek Sprint'!B:B,1,0),"-")=B272,"Gelecek Sprint","-")</f>
        <v>-</v>
      </c>
      <c r="I272" t="str">
        <f t="shared" si="10"/>
        <v>Ürün İş Listesi</v>
      </c>
      <c r="J272" s="5">
        <v>5</v>
      </c>
    </row>
    <row r="273" spans="1:10" x14ac:dyDescent="0.25">
      <c r="A273" t="s">
        <v>14</v>
      </c>
      <c r="B273" t="s">
        <v>595</v>
      </c>
      <c r="C273" t="s">
        <v>16</v>
      </c>
      <c r="D273" t="s">
        <v>596</v>
      </c>
      <c r="E273" s="5" t="s">
        <v>53</v>
      </c>
      <c r="F273" s="5" t="e">
        <f>VLOOKUP(B273,'Türkkep Jira'!B:F,5,0)</f>
        <v>#N/A</v>
      </c>
      <c r="G273" t="str">
        <f>IF(IFERROR(VLOOKUP(B273,'Devam Eden Sprint'!B:B,1,0),"-")=B273,"Devam Eden Sprint","-")</f>
        <v>-</v>
      </c>
      <c r="H273" t="str">
        <f>IF(IFERROR(VLOOKUP(B273,'Gelecek Sprint'!B:B,1,0),"-")=B273,"Gelecek Sprint","-")</f>
        <v>-</v>
      </c>
      <c r="I273" t="str">
        <f t="shared" si="10"/>
        <v>Ürün İş Listesi</v>
      </c>
      <c r="J273" s="5">
        <v>3</v>
      </c>
    </row>
    <row r="274" spans="1:10" x14ac:dyDescent="0.25">
      <c r="A274" t="s">
        <v>14</v>
      </c>
      <c r="B274" t="s">
        <v>597</v>
      </c>
      <c r="C274" t="s">
        <v>16</v>
      </c>
      <c r="D274" t="s">
        <v>598</v>
      </c>
      <c r="E274" s="5" t="s">
        <v>53</v>
      </c>
      <c r="F274" s="5" t="e">
        <f>VLOOKUP(B274,'Türkkep Jira'!B:F,5,0)</f>
        <v>#N/A</v>
      </c>
      <c r="G274" t="str">
        <f>IF(IFERROR(VLOOKUP(B274,'Devam Eden Sprint'!B:B,1,0),"-")=B274,"Devam Eden Sprint","-")</f>
        <v>-</v>
      </c>
      <c r="H274" t="str">
        <f>IF(IFERROR(VLOOKUP(B274,'Gelecek Sprint'!B:B,1,0),"-")=B274,"Gelecek Sprint","-")</f>
        <v>-</v>
      </c>
      <c r="I274" t="str">
        <f t="shared" si="10"/>
        <v>Ürün İş Listesi</v>
      </c>
      <c r="J274" s="5">
        <v>5</v>
      </c>
    </row>
    <row r="275" spans="1:10" x14ac:dyDescent="0.25">
      <c r="A275" t="s">
        <v>14</v>
      </c>
      <c r="B275" t="s">
        <v>600</v>
      </c>
      <c r="C275" t="s">
        <v>16</v>
      </c>
      <c r="D275" t="s">
        <v>601</v>
      </c>
      <c r="E275" s="5" t="s">
        <v>53</v>
      </c>
      <c r="F275" s="5" t="e">
        <f>VLOOKUP(B275,'Türkkep Jira'!B:F,5,0)</f>
        <v>#N/A</v>
      </c>
      <c r="G275" t="str">
        <f>IF(IFERROR(VLOOKUP(B275,'Devam Eden Sprint'!B:B,1,0),"-")=B275,"Devam Eden Sprint","-")</f>
        <v>-</v>
      </c>
      <c r="H275" t="str">
        <f>IF(IFERROR(VLOOKUP(B275,'Gelecek Sprint'!B:B,1,0),"-")=B275,"Gelecek Sprint","-")</f>
        <v>-</v>
      </c>
      <c r="I275" t="str">
        <f t="shared" si="10"/>
        <v>Ürün İş Listesi</v>
      </c>
      <c r="J275" s="5">
        <v>5</v>
      </c>
    </row>
    <row r="276" spans="1:10" x14ac:dyDescent="0.25">
      <c r="A276" t="s">
        <v>14</v>
      </c>
      <c r="B276" t="s">
        <v>602</v>
      </c>
      <c r="C276" t="s">
        <v>16</v>
      </c>
      <c r="D276" t="s">
        <v>603</v>
      </c>
      <c r="E276" s="5" t="s">
        <v>53</v>
      </c>
      <c r="F276" s="5" t="e">
        <f>VLOOKUP(B276,'Türkkep Jira'!B:F,5,0)</f>
        <v>#N/A</v>
      </c>
      <c r="G276" t="str">
        <f>IF(IFERROR(VLOOKUP(B276,'Devam Eden Sprint'!B:B,1,0),"-")=B276,"Devam Eden Sprint","-")</f>
        <v>-</v>
      </c>
      <c r="H276" t="str">
        <f>IF(IFERROR(VLOOKUP(B276,'Gelecek Sprint'!B:B,1,0),"-")=B276,"Gelecek Sprint","-")</f>
        <v>-</v>
      </c>
      <c r="I276" t="str">
        <f t="shared" si="10"/>
        <v>Ürün İş Listesi</v>
      </c>
      <c r="J276" s="5">
        <v>13</v>
      </c>
    </row>
    <row r="277" spans="1:10" x14ac:dyDescent="0.25">
      <c r="A277" t="s">
        <v>14</v>
      </c>
      <c r="B277" t="s">
        <v>604</v>
      </c>
      <c r="C277" t="s">
        <v>16</v>
      </c>
      <c r="D277" t="s">
        <v>605</v>
      </c>
      <c r="E277" s="5" t="s">
        <v>53</v>
      </c>
      <c r="F277" s="5" t="e">
        <f>VLOOKUP(B277,'Türkkep Jira'!B:F,5,0)</f>
        <v>#N/A</v>
      </c>
      <c r="G277" t="str">
        <f>IF(IFERROR(VLOOKUP(B277,'Devam Eden Sprint'!B:B,1,0),"-")=B277,"Devam Eden Sprint","-")</f>
        <v>-</v>
      </c>
      <c r="H277" t="str">
        <f>IF(IFERROR(VLOOKUP(B277,'Gelecek Sprint'!B:B,1,0),"-")=B277,"Gelecek Sprint","-")</f>
        <v>-</v>
      </c>
      <c r="I277" t="str">
        <f t="shared" si="10"/>
        <v>Ürün İş Listesi</v>
      </c>
      <c r="J277" s="5">
        <v>8</v>
      </c>
    </row>
    <row r="278" spans="1:10" x14ac:dyDescent="0.25">
      <c r="A278" t="s">
        <v>14</v>
      </c>
      <c r="B278" t="s">
        <v>606</v>
      </c>
      <c r="C278" t="s">
        <v>16</v>
      </c>
      <c r="D278" t="s">
        <v>607</v>
      </c>
      <c r="E278" s="5" t="s">
        <v>53</v>
      </c>
      <c r="F278" s="5" t="e">
        <f>VLOOKUP(B278,'Türkkep Jira'!B:F,5,0)</f>
        <v>#N/A</v>
      </c>
      <c r="G278" t="str">
        <f>IF(IFERROR(VLOOKUP(B278,'Devam Eden Sprint'!B:B,1,0),"-")=B278,"Devam Eden Sprint","-")</f>
        <v>-</v>
      </c>
      <c r="H278" t="str">
        <f>IF(IFERROR(VLOOKUP(B278,'Gelecek Sprint'!B:B,1,0),"-")=B278,"Gelecek Sprint","-")</f>
        <v>-</v>
      </c>
      <c r="I278" t="str">
        <f t="shared" si="10"/>
        <v>Ürün İş Listesi</v>
      </c>
      <c r="J278" s="5">
        <v>8</v>
      </c>
    </row>
    <row r="279" spans="1:10" x14ac:dyDescent="0.25">
      <c r="A279" t="s">
        <v>14</v>
      </c>
      <c r="B279" t="s">
        <v>608</v>
      </c>
      <c r="C279" t="s">
        <v>16</v>
      </c>
      <c r="D279" t="s">
        <v>609</v>
      </c>
      <c r="E279" s="5" t="s">
        <v>53</v>
      </c>
      <c r="F279" s="5" t="e">
        <f>VLOOKUP(B279,'Türkkep Jira'!B:F,5,0)</f>
        <v>#N/A</v>
      </c>
      <c r="G279" t="str">
        <f>IF(IFERROR(VLOOKUP(B279,'Devam Eden Sprint'!B:B,1,0),"-")=B279,"Devam Eden Sprint","-")</f>
        <v>-</v>
      </c>
      <c r="H279" t="str">
        <f>IF(IFERROR(VLOOKUP(B279,'Gelecek Sprint'!B:B,1,0),"-")=B279,"Gelecek Sprint","-")</f>
        <v>-</v>
      </c>
      <c r="I279" t="str">
        <f t="shared" si="10"/>
        <v>Ürün İş Listesi</v>
      </c>
      <c r="J279" s="5">
        <v>1</v>
      </c>
    </row>
    <row r="280" spans="1:10" x14ac:dyDescent="0.25">
      <c r="A280" t="s">
        <v>77</v>
      </c>
      <c r="B280" t="s">
        <v>610</v>
      </c>
      <c r="C280" t="s">
        <v>16</v>
      </c>
      <c r="D280" t="s">
        <v>611</v>
      </c>
      <c r="E280" s="5" t="s">
        <v>53</v>
      </c>
      <c r="F280" s="5" t="e">
        <f>VLOOKUP(B280,'Türkkep Jira'!B:F,5,0)</f>
        <v>#N/A</v>
      </c>
      <c r="G280" t="str">
        <f>IF(IFERROR(VLOOKUP(B280,'Devam Eden Sprint'!B:B,1,0),"-")=B280,"Devam Eden Sprint","-")</f>
        <v>-</v>
      </c>
      <c r="H280" t="str">
        <f>IF(IFERROR(VLOOKUP(B280,'Gelecek Sprint'!B:B,1,0),"-")=B280,"Gelecek Sprint","-")</f>
        <v>-</v>
      </c>
      <c r="I280" t="str">
        <f t="shared" si="10"/>
        <v>Ürün İş Listesi</v>
      </c>
    </row>
    <row r="281" spans="1:10" x14ac:dyDescent="0.25">
      <c r="A281" t="s">
        <v>14</v>
      </c>
      <c r="B281" t="s">
        <v>612</v>
      </c>
      <c r="C281" t="s">
        <v>16</v>
      </c>
      <c r="D281" t="s">
        <v>613</v>
      </c>
      <c r="E281" s="5" t="s">
        <v>53</v>
      </c>
      <c r="F281" s="5" t="e">
        <f>VLOOKUP(B281,'Türkkep Jira'!B:F,5,0)</f>
        <v>#N/A</v>
      </c>
      <c r="G281" t="str">
        <f>IF(IFERROR(VLOOKUP(B281,'Devam Eden Sprint'!B:B,1,0),"-")=B281,"Devam Eden Sprint","-")</f>
        <v>-</v>
      </c>
      <c r="H281" t="str">
        <f>IF(IFERROR(VLOOKUP(B281,'Gelecek Sprint'!B:B,1,0),"-")=B281,"Gelecek Sprint","-")</f>
        <v>-</v>
      </c>
      <c r="I281" t="str">
        <f t="shared" si="10"/>
        <v>Ürün İş Listesi</v>
      </c>
      <c r="J281" s="5">
        <v>3</v>
      </c>
    </row>
    <row r="282" spans="1:10" x14ac:dyDescent="0.25">
      <c r="A282" t="s">
        <v>14</v>
      </c>
      <c r="B282" t="s">
        <v>614</v>
      </c>
      <c r="C282" t="s">
        <v>16</v>
      </c>
      <c r="D282" t="s">
        <v>615</v>
      </c>
      <c r="E282" s="5" t="s">
        <v>53</v>
      </c>
      <c r="F282" s="5" t="e">
        <f>VLOOKUP(B282,'Türkkep Jira'!B:F,5,0)</f>
        <v>#N/A</v>
      </c>
      <c r="G282" t="str">
        <f>IF(IFERROR(VLOOKUP(B282,'Devam Eden Sprint'!B:B,1,0),"-")=B282,"Devam Eden Sprint","-")</f>
        <v>-</v>
      </c>
      <c r="H282" t="str">
        <f>IF(IFERROR(VLOOKUP(B282,'Gelecek Sprint'!B:B,1,0),"-")=B282,"Gelecek Sprint","-")</f>
        <v>-</v>
      </c>
      <c r="I282" t="str">
        <f t="shared" si="10"/>
        <v>Ürün İş Listesi</v>
      </c>
      <c r="J282" s="5">
        <v>3</v>
      </c>
    </row>
    <row r="283" spans="1:10" x14ac:dyDescent="0.25">
      <c r="A283" t="s">
        <v>14</v>
      </c>
      <c r="B283" t="s">
        <v>616</v>
      </c>
      <c r="C283" t="s">
        <v>16</v>
      </c>
      <c r="D283" t="s">
        <v>617</v>
      </c>
      <c r="E283" s="5" t="s">
        <v>53</v>
      </c>
      <c r="F283" s="5" t="e">
        <f>VLOOKUP(B283,'Türkkep Jira'!B:F,5,0)</f>
        <v>#N/A</v>
      </c>
      <c r="G283" t="str">
        <f>IF(IFERROR(VLOOKUP(B283,'Devam Eden Sprint'!B:B,1,0),"-")=B283,"Devam Eden Sprint","-")</f>
        <v>-</v>
      </c>
      <c r="H283" t="str">
        <f>IF(IFERROR(VLOOKUP(B283,'Gelecek Sprint'!B:B,1,0),"-")=B283,"Gelecek Sprint","-")</f>
        <v>-</v>
      </c>
      <c r="I283" t="str">
        <f t="shared" si="10"/>
        <v>Ürün İş Listesi</v>
      </c>
      <c r="J283" s="5">
        <v>2</v>
      </c>
    </row>
    <row r="284" spans="1:10" x14ac:dyDescent="0.25">
      <c r="A284" t="s">
        <v>14</v>
      </c>
      <c r="B284" t="s">
        <v>618</v>
      </c>
      <c r="C284" t="s">
        <v>16</v>
      </c>
      <c r="D284" t="s">
        <v>619</v>
      </c>
      <c r="E284" s="5" t="s">
        <v>41</v>
      </c>
      <c r="F284" s="5" t="e">
        <f>VLOOKUP(B284,'Türkkep Jira'!B:F,5,0)</f>
        <v>#N/A</v>
      </c>
      <c r="G284" t="str">
        <f>IF(IFERROR(VLOOKUP(B284,'Devam Eden Sprint'!B:B,1,0),"-")=B284,"Devam Eden Sprint","-")</f>
        <v>-</v>
      </c>
      <c r="H284" t="str">
        <f>IF(IFERROR(VLOOKUP(B284,'Gelecek Sprint'!B:B,1,0),"-")=B284,"Gelecek Sprint","-")</f>
        <v>-</v>
      </c>
      <c r="I284" t="str">
        <f t="shared" si="10"/>
        <v>Ürün İş Listesi</v>
      </c>
      <c r="J284" s="5">
        <v>1</v>
      </c>
    </row>
    <row r="285" spans="1:10" x14ac:dyDescent="0.25">
      <c r="A285" t="s">
        <v>14</v>
      </c>
      <c r="B285" t="s">
        <v>620</v>
      </c>
      <c r="C285" t="s">
        <v>16</v>
      </c>
      <c r="D285" t="s">
        <v>621</v>
      </c>
      <c r="E285" s="5" t="s">
        <v>53</v>
      </c>
      <c r="F285" s="5" t="e">
        <f>VLOOKUP(B285,'Türkkep Jira'!B:F,5,0)</f>
        <v>#N/A</v>
      </c>
      <c r="G285" t="str">
        <f>IF(IFERROR(VLOOKUP(B285,'Devam Eden Sprint'!B:B,1,0),"-")=B285,"Devam Eden Sprint","-")</f>
        <v>-</v>
      </c>
      <c r="H285" t="str">
        <f>IF(IFERROR(VLOOKUP(B285,'Gelecek Sprint'!B:B,1,0),"-")=B285,"Gelecek Sprint","-")</f>
        <v>-</v>
      </c>
      <c r="I285" t="str">
        <f t="shared" si="10"/>
        <v>Ürün İş Listesi</v>
      </c>
      <c r="J285" s="5">
        <v>5</v>
      </c>
    </row>
    <row r="286" spans="1:10" x14ac:dyDescent="0.25">
      <c r="A286" t="s">
        <v>14</v>
      </c>
      <c r="B286" t="s">
        <v>622</v>
      </c>
      <c r="C286" t="s">
        <v>16</v>
      </c>
      <c r="D286" t="s">
        <v>623</v>
      </c>
      <c r="E286" s="5" t="s">
        <v>47</v>
      </c>
      <c r="F286" s="5" t="e">
        <f>VLOOKUP(B286,'Türkkep Jira'!B:F,5,0)</f>
        <v>#N/A</v>
      </c>
      <c r="G286" t="str">
        <f>IF(IFERROR(VLOOKUP(B286,'Devam Eden Sprint'!B:B,1,0),"-")=B286,"Devam Eden Sprint","-")</f>
        <v>-</v>
      </c>
      <c r="H286" t="str">
        <f>IF(IFERROR(VLOOKUP(B286,'Gelecek Sprint'!B:B,1,0),"-")=B286,"Gelecek Sprint","-")</f>
        <v>-</v>
      </c>
      <c r="I286" t="str">
        <f t="shared" si="10"/>
        <v>Ürün İş Listesi</v>
      </c>
      <c r="J286" s="5">
        <v>3</v>
      </c>
    </row>
    <row r="287" spans="1:10" x14ac:dyDescent="0.25">
      <c r="A287" t="s">
        <v>14</v>
      </c>
      <c r="B287" t="s">
        <v>624</v>
      </c>
      <c r="C287" t="s">
        <v>16</v>
      </c>
      <c r="D287" t="s">
        <v>625</v>
      </c>
      <c r="E287" s="5" t="s">
        <v>53</v>
      </c>
      <c r="F287" s="5" t="e">
        <f>VLOOKUP(B287,'Türkkep Jira'!B:F,5,0)</f>
        <v>#N/A</v>
      </c>
      <c r="G287" t="str">
        <f>IF(IFERROR(VLOOKUP(B287,'Devam Eden Sprint'!B:B,1,0),"-")=B287,"Devam Eden Sprint","-")</f>
        <v>-</v>
      </c>
      <c r="H287" t="str">
        <f>IF(IFERROR(VLOOKUP(B287,'Gelecek Sprint'!B:B,1,0),"-")=B287,"Gelecek Sprint","-")</f>
        <v>-</v>
      </c>
      <c r="I287" t="str">
        <f t="shared" si="10"/>
        <v>Ürün İş Listesi</v>
      </c>
      <c r="J287" s="5">
        <v>3</v>
      </c>
    </row>
    <row r="288" spans="1:10" x14ac:dyDescent="0.25">
      <c r="A288" t="s">
        <v>14</v>
      </c>
      <c r="B288" t="s">
        <v>626</v>
      </c>
      <c r="C288" t="s">
        <v>16</v>
      </c>
      <c r="D288" t="s">
        <v>627</v>
      </c>
      <c r="E288" s="5" t="s">
        <v>44</v>
      </c>
      <c r="F288" s="5" t="e">
        <f>VLOOKUP(B288,'Türkkep Jira'!B:F,5,0)</f>
        <v>#N/A</v>
      </c>
      <c r="G288" t="str">
        <f>IF(IFERROR(VLOOKUP(B288,'Devam Eden Sprint'!B:B,1,0),"-")=B288,"Devam Eden Sprint","-")</f>
        <v>-</v>
      </c>
      <c r="H288" t="str">
        <f>IF(IFERROR(VLOOKUP(B288,'Gelecek Sprint'!B:B,1,0),"-")=B288,"Gelecek Sprint","-")</f>
        <v>-</v>
      </c>
      <c r="I288" t="str">
        <f t="shared" si="10"/>
        <v>Ürün İş Listesi</v>
      </c>
      <c r="J288" s="5">
        <v>2</v>
      </c>
    </row>
    <row r="289" spans="1:10" x14ac:dyDescent="0.25">
      <c r="A289" t="s">
        <v>14</v>
      </c>
      <c r="B289" t="s">
        <v>628</v>
      </c>
      <c r="C289" t="s">
        <v>16</v>
      </c>
      <c r="D289" t="s">
        <v>629</v>
      </c>
      <c r="E289" s="5" t="s">
        <v>44</v>
      </c>
      <c r="F289" s="5" t="e">
        <f>VLOOKUP(B289,'Türkkep Jira'!B:F,5,0)</f>
        <v>#N/A</v>
      </c>
      <c r="G289" t="str">
        <f>IF(IFERROR(VLOOKUP(B289,'Devam Eden Sprint'!B:B,1,0),"-")=B289,"Devam Eden Sprint","-")</f>
        <v>-</v>
      </c>
      <c r="H289" t="str">
        <f>IF(IFERROR(VLOOKUP(B289,'Gelecek Sprint'!B:B,1,0),"-")=B289,"Gelecek Sprint","-")</f>
        <v>-</v>
      </c>
      <c r="I289" t="str">
        <f t="shared" si="10"/>
        <v>Ürün İş Listesi</v>
      </c>
      <c r="J289" s="5">
        <v>5</v>
      </c>
    </row>
    <row r="290" spans="1:10" x14ac:dyDescent="0.25">
      <c r="A290" t="s">
        <v>14</v>
      </c>
      <c r="B290" t="s">
        <v>630</v>
      </c>
      <c r="C290" t="s">
        <v>10</v>
      </c>
      <c r="D290" t="s">
        <v>631</v>
      </c>
      <c r="E290" s="5" t="s">
        <v>53</v>
      </c>
      <c r="F290" s="5" t="e">
        <f>VLOOKUP(B290,'Türkkep Jira'!B:F,5,0)</f>
        <v>#N/A</v>
      </c>
      <c r="G290" t="str">
        <f>IF(IFERROR(VLOOKUP(B290,'Devam Eden Sprint'!B:B,1,0),"-")=B290,"Devam Eden Sprint","-")</f>
        <v>-</v>
      </c>
      <c r="H290" t="str">
        <f>IF(IFERROR(VLOOKUP(B290,'Gelecek Sprint'!B:B,1,0),"-")=B290,"Gelecek Sprint","-")</f>
        <v>-</v>
      </c>
      <c r="I290" t="str">
        <f t="shared" si="10"/>
        <v>Ürün İş Listesi</v>
      </c>
    </row>
    <row r="291" spans="1:10" x14ac:dyDescent="0.25">
      <c r="A291" t="s">
        <v>14</v>
      </c>
      <c r="B291" t="s">
        <v>632</v>
      </c>
      <c r="C291" t="s">
        <v>16</v>
      </c>
      <c r="D291" t="s">
        <v>633</v>
      </c>
      <c r="E291" s="5" t="s">
        <v>53</v>
      </c>
      <c r="F291" s="5" t="e">
        <f>VLOOKUP(B291,'Türkkep Jira'!B:F,5,0)</f>
        <v>#N/A</v>
      </c>
      <c r="G291" t="str">
        <f>IF(IFERROR(VLOOKUP(B291,'Devam Eden Sprint'!B:B,1,0),"-")=B291,"Devam Eden Sprint","-")</f>
        <v>-</v>
      </c>
      <c r="H291" t="str">
        <f>IF(IFERROR(VLOOKUP(B291,'Gelecek Sprint'!B:B,1,0),"-")=B291,"Gelecek Sprint","-")</f>
        <v>-</v>
      </c>
      <c r="I291" t="str">
        <f t="shared" si="10"/>
        <v>Ürün İş Listesi</v>
      </c>
    </row>
    <row r="292" spans="1:10" x14ac:dyDescent="0.25">
      <c r="A292" t="s">
        <v>14</v>
      </c>
      <c r="B292" t="s">
        <v>634</v>
      </c>
      <c r="C292" t="s">
        <v>192</v>
      </c>
      <c r="D292" t="s">
        <v>635</v>
      </c>
      <c r="E292" s="5" t="s">
        <v>542</v>
      </c>
      <c r="F292" s="5" t="e">
        <f>VLOOKUP(B292,'Türkkep Jira'!B:F,5,0)</f>
        <v>#N/A</v>
      </c>
      <c r="G292" t="str">
        <f>IF(IFERROR(VLOOKUP(B292,'Devam Eden Sprint'!B:B,1,0),"-")=B292,"Devam Eden Sprint","-")</f>
        <v>-</v>
      </c>
      <c r="H292" t="str">
        <f>IF(IFERROR(VLOOKUP(B292,'Gelecek Sprint'!B:B,1,0),"-")=B292,"Gelecek Sprint","-")</f>
        <v>-</v>
      </c>
      <c r="I292" t="str">
        <f t="shared" si="10"/>
        <v>Ürün İş Listesi</v>
      </c>
    </row>
    <row r="293" spans="1:10" x14ac:dyDescent="0.25">
      <c r="A293" t="s">
        <v>14</v>
      </c>
      <c r="B293" t="s">
        <v>636</v>
      </c>
      <c r="C293" t="s">
        <v>16</v>
      </c>
      <c r="D293" t="s">
        <v>637</v>
      </c>
      <c r="E293" s="5" t="s">
        <v>47</v>
      </c>
      <c r="F293" s="5" t="e">
        <f>VLOOKUP(B293,'Türkkep Jira'!B:F,5,0)</f>
        <v>#N/A</v>
      </c>
      <c r="G293" t="str">
        <f>IF(IFERROR(VLOOKUP(B293,'Devam Eden Sprint'!B:B,1,0),"-")=B293,"Devam Eden Sprint","-")</f>
        <v>-</v>
      </c>
      <c r="H293" t="str">
        <f>IF(IFERROR(VLOOKUP(B293,'Gelecek Sprint'!B:B,1,0),"-")=B293,"Gelecek Sprint","-")</f>
        <v>-</v>
      </c>
      <c r="I293" t="str">
        <f t="shared" si="10"/>
        <v>Ürün İş Listesi</v>
      </c>
      <c r="J293" s="5">
        <v>2</v>
      </c>
    </row>
    <row r="294" spans="1:10" x14ac:dyDescent="0.25">
      <c r="A294" t="s">
        <v>14</v>
      </c>
      <c r="B294" t="s">
        <v>638</v>
      </c>
      <c r="C294" t="s">
        <v>10</v>
      </c>
      <c r="D294" t="s">
        <v>639</v>
      </c>
      <c r="E294" s="5" t="s">
        <v>44</v>
      </c>
      <c r="F294" s="5" t="e">
        <f>VLOOKUP(B294,'Türkkep Jira'!B:F,5,0)</f>
        <v>#N/A</v>
      </c>
      <c r="G294" t="str">
        <f>IF(IFERROR(VLOOKUP(B294,'Devam Eden Sprint'!B:B,1,0),"-")=B294,"Devam Eden Sprint","-")</f>
        <v>-</v>
      </c>
      <c r="H294" t="str">
        <f>IF(IFERROR(VLOOKUP(B294,'Gelecek Sprint'!B:B,1,0),"-")=B294,"Gelecek Sprint","-")</f>
        <v>-</v>
      </c>
      <c r="I294" t="str">
        <f t="shared" si="10"/>
        <v>Ürün İş Listesi</v>
      </c>
    </row>
    <row r="295" spans="1:10" x14ac:dyDescent="0.25">
      <c r="A295" t="s">
        <v>14</v>
      </c>
      <c r="B295" t="s">
        <v>640</v>
      </c>
      <c r="C295" t="s">
        <v>16</v>
      </c>
      <c r="D295" t="s">
        <v>641</v>
      </c>
      <c r="E295" s="5" t="s">
        <v>47</v>
      </c>
      <c r="F295" s="5" t="e">
        <f>VLOOKUP(B295,'Türkkep Jira'!B:F,5,0)</f>
        <v>#N/A</v>
      </c>
      <c r="G295" t="str">
        <f>IF(IFERROR(VLOOKUP(B295,'Devam Eden Sprint'!B:B,1,0),"-")=B295,"Devam Eden Sprint","-")</f>
        <v>-</v>
      </c>
      <c r="H295" t="str">
        <f>IF(IFERROR(VLOOKUP(B295,'Gelecek Sprint'!B:B,1,0),"-")=B295,"Gelecek Sprint","-")</f>
        <v>-</v>
      </c>
      <c r="I295" t="str">
        <f t="shared" si="10"/>
        <v>Ürün İş Listesi</v>
      </c>
      <c r="J295" s="5">
        <v>3</v>
      </c>
    </row>
    <row r="296" spans="1:10" x14ac:dyDescent="0.25">
      <c r="A296" t="s">
        <v>14</v>
      </c>
      <c r="B296" t="s">
        <v>642</v>
      </c>
      <c r="C296" t="s">
        <v>16</v>
      </c>
      <c r="D296" t="s">
        <v>643</v>
      </c>
      <c r="E296" s="5" t="s">
        <v>53</v>
      </c>
      <c r="F296" s="5" t="e">
        <f>VLOOKUP(B296,'Türkkep Jira'!B:F,5,0)</f>
        <v>#N/A</v>
      </c>
      <c r="G296" t="str">
        <f>IF(IFERROR(VLOOKUP(B296,'Devam Eden Sprint'!B:B,1,0),"-")=B296,"Devam Eden Sprint","-")</f>
        <v>-</v>
      </c>
      <c r="H296" t="str">
        <f>IF(IFERROR(VLOOKUP(B296,'Gelecek Sprint'!B:B,1,0),"-")=B296,"Gelecek Sprint","-")</f>
        <v>-</v>
      </c>
      <c r="I296" t="str">
        <f t="shared" si="10"/>
        <v>Ürün İş Listesi</v>
      </c>
      <c r="J296" s="5">
        <v>3</v>
      </c>
    </row>
    <row r="297" spans="1:10" x14ac:dyDescent="0.25">
      <c r="A297" t="s">
        <v>14</v>
      </c>
      <c r="B297" t="s">
        <v>644</v>
      </c>
      <c r="C297" t="s">
        <v>16</v>
      </c>
      <c r="D297" t="s">
        <v>645</v>
      </c>
      <c r="E297" s="5" t="s">
        <v>53</v>
      </c>
      <c r="F297" s="5" t="e">
        <f>VLOOKUP(B297,'Türkkep Jira'!B:F,5,0)</f>
        <v>#N/A</v>
      </c>
      <c r="G297" t="str">
        <f>IF(IFERROR(VLOOKUP(B297,'Devam Eden Sprint'!B:B,1,0),"-")=B297,"Devam Eden Sprint","-")</f>
        <v>-</v>
      </c>
      <c r="H297" t="str">
        <f>IF(IFERROR(VLOOKUP(B297,'Gelecek Sprint'!B:B,1,0),"-")=B297,"Gelecek Sprint","-")</f>
        <v>-</v>
      </c>
      <c r="I297" t="str">
        <f t="shared" si="10"/>
        <v>Ürün İş Listesi</v>
      </c>
      <c r="J297" s="5">
        <v>2</v>
      </c>
    </row>
    <row r="298" spans="1:10" x14ac:dyDescent="0.25">
      <c r="A298" t="s">
        <v>14</v>
      </c>
      <c r="B298" t="s">
        <v>646</v>
      </c>
      <c r="C298" t="s">
        <v>16</v>
      </c>
      <c r="D298" t="s">
        <v>647</v>
      </c>
      <c r="E298" s="5" t="s">
        <v>53</v>
      </c>
      <c r="F298" s="5" t="e">
        <f>VLOOKUP(B298,'Türkkep Jira'!B:F,5,0)</f>
        <v>#N/A</v>
      </c>
      <c r="G298" t="str">
        <f>IF(IFERROR(VLOOKUP(B298,'Devam Eden Sprint'!B:B,1,0),"-")=B298,"Devam Eden Sprint","-")</f>
        <v>-</v>
      </c>
      <c r="H298" t="str">
        <f>IF(IFERROR(VLOOKUP(B298,'Gelecek Sprint'!B:B,1,0),"-")=B298,"Gelecek Sprint","-")</f>
        <v>-</v>
      </c>
      <c r="I298" t="str">
        <f t="shared" si="10"/>
        <v>Ürün İş Listesi</v>
      </c>
      <c r="J298" s="5">
        <v>2</v>
      </c>
    </row>
    <row r="299" spans="1:10" x14ac:dyDescent="0.25">
      <c r="A299" t="s">
        <v>14</v>
      </c>
      <c r="B299" t="s">
        <v>648</v>
      </c>
      <c r="C299" t="s">
        <v>16</v>
      </c>
      <c r="D299" t="s">
        <v>649</v>
      </c>
      <c r="E299" s="5" t="s">
        <v>53</v>
      </c>
      <c r="F299" s="5" t="e">
        <f>VLOOKUP(B299,'Türkkep Jira'!B:F,5,0)</f>
        <v>#N/A</v>
      </c>
      <c r="G299" t="str">
        <f>IF(IFERROR(VLOOKUP(B299,'Devam Eden Sprint'!B:B,1,0),"-")=B299,"Devam Eden Sprint","-")</f>
        <v>-</v>
      </c>
      <c r="H299" t="str">
        <f>IF(IFERROR(VLOOKUP(B299,'Gelecek Sprint'!B:B,1,0),"-")=B299,"Gelecek Sprint","-")</f>
        <v>-</v>
      </c>
      <c r="I299" t="str">
        <f t="shared" si="10"/>
        <v>Ürün İş Listesi</v>
      </c>
      <c r="J299" s="5">
        <v>3</v>
      </c>
    </row>
    <row r="300" spans="1:10" x14ac:dyDescent="0.25">
      <c r="A300" t="s">
        <v>14</v>
      </c>
      <c r="B300" t="s">
        <v>650</v>
      </c>
      <c r="C300" t="s">
        <v>16</v>
      </c>
      <c r="D300" t="s">
        <v>651</v>
      </c>
      <c r="E300" s="5" t="s">
        <v>53</v>
      </c>
      <c r="F300" s="5" t="e">
        <f>VLOOKUP(B300,'Türkkep Jira'!B:F,5,0)</f>
        <v>#N/A</v>
      </c>
      <c r="G300" t="str">
        <f>IF(IFERROR(VLOOKUP(B300,'Devam Eden Sprint'!B:B,1,0),"-")=B300,"Devam Eden Sprint","-")</f>
        <v>-</v>
      </c>
      <c r="H300" t="str">
        <f>IF(IFERROR(VLOOKUP(B300,'Gelecek Sprint'!B:B,1,0),"-")=B300,"Gelecek Sprint","-")</f>
        <v>-</v>
      </c>
      <c r="I300" t="str">
        <f t="shared" si="10"/>
        <v>Ürün İş Listesi</v>
      </c>
      <c r="J300" s="5">
        <v>2</v>
      </c>
    </row>
    <row r="301" spans="1:10" x14ac:dyDescent="0.25">
      <c r="A301" t="s">
        <v>14</v>
      </c>
      <c r="B301" t="s">
        <v>652</v>
      </c>
      <c r="C301" t="s">
        <v>16</v>
      </c>
      <c r="D301" t="s">
        <v>611</v>
      </c>
      <c r="E301" s="5" t="s">
        <v>53</v>
      </c>
      <c r="F301" s="5" t="e">
        <f>VLOOKUP(B301,'Türkkep Jira'!B:F,5,0)</f>
        <v>#N/A</v>
      </c>
      <c r="G301" t="str">
        <f>IF(IFERROR(VLOOKUP(B301,'Devam Eden Sprint'!B:B,1,0),"-")=B301,"Devam Eden Sprint","-")</f>
        <v>-</v>
      </c>
      <c r="H301" t="str">
        <f>IF(IFERROR(VLOOKUP(B301,'Gelecek Sprint'!B:B,1,0),"-")=B301,"Gelecek Sprint","-")</f>
        <v>-</v>
      </c>
      <c r="I301" t="str">
        <f t="shared" si="10"/>
        <v>Ürün İş Listesi</v>
      </c>
    </row>
    <row r="302" spans="1:10" x14ac:dyDescent="0.25">
      <c r="A302" t="s">
        <v>14</v>
      </c>
      <c r="B302" t="s">
        <v>653</v>
      </c>
      <c r="C302" t="s">
        <v>16</v>
      </c>
      <c r="D302" t="s">
        <v>654</v>
      </c>
      <c r="E302" s="5" t="s">
        <v>53</v>
      </c>
      <c r="F302" s="5" t="e">
        <f>VLOOKUP(B302,'Türkkep Jira'!B:F,5,0)</f>
        <v>#N/A</v>
      </c>
      <c r="G302" t="str">
        <f>IF(IFERROR(VLOOKUP(B302,'Devam Eden Sprint'!B:B,1,0),"-")=B302,"Devam Eden Sprint","-")</f>
        <v>-</v>
      </c>
      <c r="H302" t="str">
        <f>IF(IFERROR(VLOOKUP(B302,'Gelecek Sprint'!B:B,1,0),"-")=B302,"Gelecek Sprint","-")</f>
        <v>-</v>
      </c>
      <c r="I302" t="str">
        <f t="shared" si="10"/>
        <v>Ürün İş Listesi</v>
      </c>
    </row>
    <row r="303" spans="1:10" x14ac:dyDescent="0.25">
      <c r="A303" t="s">
        <v>14</v>
      </c>
      <c r="B303" t="s">
        <v>655</v>
      </c>
      <c r="C303" t="s">
        <v>16</v>
      </c>
      <c r="D303" t="s">
        <v>656</v>
      </c>
      <c r="E303" s="5" t="s">
        <v>53</v>
      </c>
      <c r="F303" s="5" t="e">
        <f>VLOOKUP(B303,'Türkkep Jira'!B:F,5,0)</f>
        <v>#N/A</v>
      </c>
      <c r="G303" t="str">
        <f>IF(IFERROR(VLOOKUP(B303,'Devam Eden Sprint'!B:B,1,0),"-")=B303,"Devam Eden Sprint","-")</f>
        <v>-</v>
      </c>
      <c r="H303" t="str">
        <f>IF(IFERROR(VLOOKUP(B303,'Gelecek Sprint'!B:B,1,0),"-")=B303,"Gelecek Sprint","-")</f>
        <v>-</v>
      </c>
      <c r="I303" t="str">
        <f t="shared" si="10"/>
        <v>Ürün İş Listesi</v>
      </c>
    </row>
    <row r="304" spans="1:10" x14ac:dyDescent="0.25">
      <c r="A304" t="s">
        <v>14</v>
      </c>
      <c r="B304" t="s">
        <v>657</v>
      </c>
      <c r="C304" t="s">
        <v>16</v>
      </c>
      <c r="D304" t="s">
        <v>658</v>
      </c>
      <c r="E304" s="5" t="s">
        <v>59</v>
      </c>
      <c r="F304" s="5" t="e">
        <f>VLOOKUP(B304,'Türkkep Jira'!B:F,5,0)</f>
        <v>#N/A</v>
      </c>
      <c r="G304" t="str">
        <f>IF(IFERROR(VLOOKUP(B304,'Devam Eden Sprint'!B:B,1,0),"-")=B304,"Devam Eden Sprint","-")</f>
        <v>-</v>
      </c>
      <c r="H304" t="str">
        <f>IF(IFERROR(VLOOKUP(B304,'Gelecek Sprint'!B:B,1,0),"-")=B304,"Gelecek Sprint","-")</f>
        <v>-</v>
      </c>
      <c r="I304" t="str">
        <f t="shared" si="10"/>
        <v>Ürün İş Listesi</v>
      </c>
      <c r="J304" s="5">
        <v>2</v>
      </c>
    </row>
    <row r="305" spans="1:10" x14ac:dyDescent="0.25">
      <c r="A305" t="s">
        <v>14</v>
      </c>
      <c r="B305" t="s">
        <v>659</v>
      </c>
      <c r="C305" t="s">
        <v>16</v>
      </c>
      <c r="D305" t="s">
        <v>660</v>
      </c>
      <c r="E305" s="5" t="s">
        <v>47</v>
      </c>
      <c r="F305" s="5" t="e">
        <f>VLOOKUP(B305,'Türkkep Jira'!B:F,5,0)</f>
        <v>#N/A</v>
      </c>
      <c r="G305" t="str">
        <f>IF(IFERROR(VLOOKUP(B305,'Devam Eden Sprint'!B:B,1,0),"-")=B305,"Devam Eden Sprint","-")</f>
        <v>-</v>
      </c>
      <c r="H305" t="str">
        <f>IF(IFERROR(VLOOKUP(B305,'Gelecek Sprint'!B:B,1,0),"-")=B305,"Gelecek Sprint","-")</f>
        <v>-</v>
      </c>
      <c r="I305" t="str">
        <f t="shared" si="10"/>
        <v>Ürün İş Listesi</v>
      </c>
      <c r="J305" s="5">
        <v>3</v>
      </c>
    </row>
    <row r="306" spans="1:10" x14ac:dyDescent="0.25">
      <c r="A306" t="s">
        <v>14</v>
      </c>
      <c r="B306" t="s">
        <v>661</v>
      </c>
      <c r="C306" t="s">
        <v>16</v>
      </c>
      <c r="D306" t="s">
        <v>662</v>
      </c>
      <c r="E306" s="5" t="s">
        <v>50</v>
      </c>
      <c r="F306" s="5" t="e">
        <f>VLOOKUP(B306,'Türkkep Jira'!B:F,5,0)</f>
        <v>#N/A</v>
      </c>
      <c r="G306" t="str">
        <f>IF(IFERROR(VLOOKUP(B306,'Devam Eden Sprint'!B:B,1,0),"-")=B306,"Devam Eden Sprint","-")</f>
        <v>-</v>
      </c>
      <c r="H306" t="str">
        <f>IF(IFERROR(VLOOKUP(B306,'Gelecek Sprint'!B:B,1,0),"-")=B306,"Gelecek Sprint","-")</f>
        <v>-</v>
      </c>
      <c r="I306" t="str">
        <f t="shared" si="10"/>
        <v>Ürün İş Listesi</v>
      </c>
      <c r="J306" s="5">
        <v>2</v>
      </c>
    </row>
    <row r="307" spans="1:10" x14ac:dyDescent="0.25">
      <c r="A307" t="s">
        <v>14</v>
      </c>
      <c r="B307" t="s">
        <v>663</v>
      </c>
      <c r="C307" t="s">
        <v>16</v>
      </c>
      <c r="D307" t="s">
        <v>658</v>
      </c>
      <c r="E307" s="5" t="s">
        <v>50</v>
      </c>
      <c r="F307" s="5" t="e">
        <f>VLOOKUP(B307,'Türkkep Jira'!B:F,5,0)</f>
        <v>#N/A</v>
      </c>
      <c r="G307" t="str">
        <f>IF(IFERROR(VLOOKUP(B307,'Devam Eden Sprint'!B:B,1,0),"-")=B307,"Devam Eden Sprint","-")</f>
        <v>-</v>
      </c>
      <c r="H307" t="str">
        <f>IF(IFERROR(VLOOKUP(B307,'Gelecek Sprint'!B:B,1,0),"-")=B307,"Gelecek Sprint","-")</f>
        <v>-</v>
      </c>
      <c r="I307" t="str">
        <f t="shared" si="10"/>
        <v>Ürün İş Listesi</v>
      </c>
      <c r="J307" s="5">
        <v>2</v>
      </c>
    </row>
    <row r="308" spans="1:10" x14ac:dyDescent="0.25">
      <c r="A308" t="s">
        <v>77</v>
      </c>
      <c r="B308" t="s">
        <v>664</v>
      </c>
      <c r="C308" t="s">
        <v>16</v>
      </c>
      <c r="D308" t="s">
        <v>665</v>
      </c>
      <c r="E308" s="5" t="s">
        <v>50</v>
      </c>
      <c r="F308" s="5" t="e">
        <f>VLOOKUP(B308,'Türkkep Jira'!B:F,5,0)</f>
        <v>#N/A</v>
      </c>
      <c r="G308" t="str">
        <f>IF(IFERROR(VLOOKUP(B308,'Devam Eden Sprint'!B:B,1,0),"-")=B308,"Devam Eden Sprint","-")</f>
        <v>-</v>
      </c>
      <c r="H308" t="str">
        <f>IF(IFERROR(VLOOKUP(B308,'Gelecek Sprint'!B:B,1,0),"-")=B308,"Gelecek Sprint","-")</f>
        <v>-</v>
      </c>
      <c r="I308" t="str">
        <f t="shared" si="10"/>
        <v>Ürün İş Listesi</v>
      </c>
    </row>
    <row r="309" spans="1:10" x14ac:dyDescent="0.25">
      <c r="A309" t="s">
        <v>14</v>
      </c>
      <c r="B309" t="s">
        <v>666</v>
      </c>
      <c r="C309" t="s">
        <v>16</v>
      </c>
      <c r="D309" t="s">
        <v>324</v>
      </c>
      <c r="E309" s="5" t="s">
        <v>50</v>
      </c>
      <c r="F309" s="5" t="e">
        <f>VLOOKUP(B309,'Türkkep Jira'!B:F,5,0)</f>
        <v>#N/A</v>
      </c>
      <c r="G309" t="str">
        <f>IF(IFERROR(VLOOKUP(B309,'Devam Eden Sprint'!B:B,1,0),"-")=B309,"Devam Eden Sprint","-")</f>
        <v>-</v>
      </c>
      <c r="H309" t="str">
        <f>IF(IFERROR(VLOOKUP(B309,'Gelecek Sprint'!B:B,1,0),"-")=B309,"Gelecek Sprint","-")</f>
        <v>-</v>
      </c>
      <c r="I309" t="str">
        <f t="shared" si="10"/>
        <v>Ürün İş Listesi</v>
      </c>
    </row>
    <row r="310" spans="1:10" x14ac:dyDescent="0.25">
      <c r="A310" t="s">
        <v>14</v>
      </c>
      <c r="B310" t="s">
        <v>667</v>
      </c>
      <c r="C310" t="s">
        <v>16</v>
      </c>
      <c r="D310" t="s">
        <v>668</v>
      </c>
      <c r="E310" s="5" t="s">
        <v>50</v>
      </c>
      <c r="F310" s="5" t="e">
        <f>VLOOKUP(B310,'Türkkep Jira'!B:F,5,0)</f>
        <v>#N/A</v>
      </c>
      <c r="G310" t="str">
        <f>IF(IFERROR(VLOOKUP(B310,'Devam Eden Sprint'!B:B,1,0),"-")=B310,"Devam Eden Sprint","-")</f>
        <v>-</v>
      </c>
      <c r="H310" t="str">
        <f>IF(IFERROR(VLOOKUP(B310,'Gelecek Sprint'!B:B,1,0),"-")=B310,"Gelecek Sprint","-")</f>
        <v>-</v>
      </c>
      <c r="I310" t="str">
        <f t="shared" si="10"/>
        <v>Ürün İş Listesi</v>
      </c>
    </row>
    <row r="311" spans="1:10" x14ac:dyDescent="0.25">
      <c r="A311" t="s">
        <v>14</v>
      </c>
      <c r="B311" t="s">
        <v>669</v>
      </c>
      <c r="C311" t="s">
        <v>16</v>
      </c>
      <c r="D311" t="s">
        <v>332</v>
      </c>
      <c r="E311" s="5" t="s">
        <v>50</v>
      </c>
      <c r="F311" s="5" t="e">
        <f>VLOOKUP(B311,'Türkkep Jira'!B:F,5,0)</f>
        <v>#N/A</v>
      </c>
      <c r="G311" t="str">
        <f>IF(IFERROR(VLOOKUP(B311,'Devam Eden Sprint'!B:B,1,0),"-")=B311,"Devam Eden Sprint","-")</f>
        <v>-</v>
      </c>
      <c r="H311" t="str">
        <f>IF(IFERROR(VLOOKUP(B311,'Gelecek Sprint'!B:B,1,0),"-")=B311,"Gelecek Sprint","-")</f>
        <v>-</v>
      </c>
      <c r="I311" t="str">
        <f t="shared" si="10"/>
        <v>Ürün İş Listesi</v>
      </c>
    </row>
    <row r="312" spans="1:10" x14ac:dyDescent="0.25">
      <c r="A312" t="s">
        <v>14</v>
      </c>
      <c r="B312" t="s">
        <v>670</v>
      </c>
      <c r="C312" t="s">
        <v>16</v>
      </c>
      <c r="D312" t="s">
        <v>671</v>
      </c>
      <c r="E312" s="5" t="s">
        <v>44</v>
      </c>
      <c r="F312" s="5" t="e">
        <f>VLOOKUP(B312,'Türkkep Jira'!B:F,5,0)</f>
        <v>#N/A</v>
      </c>
      <c r="G312" t="str">
        <f>IF(IFERROR(VLOOKUP(B312,'Devam Eden Sprint'!B:B,1,0),"-")=B312,"Devam Eden Sprint","-")</f>
        <v>-</v>
      </c>
      <c r="H312" t="str">
        <f>IF(IFERROR(VLOOKUP(B312,'Gelecek Sprint'!B:B,1,0),"-")=B312,"Gelecek Sprint","-")</f>
        <v>-</v>
      </c>
      <c r="I312" t="str">
        <f t="shared" si="10"/>
        <v>Ürün İş Listesi</v>
      </c>
      <c r="J312" s="5">
        <v>2</v>
      </c>
    </row>
    <row r="313" spans="1:10" x14ac:dyDescent="0.25">
      <c r="A313" t="s">
        <v>14</v>
      </c>
      <c r="B313" t="s">
        <v>672</v>
      </c>
      <c r="C313" t="s">
        <v>16</v>
      </c>
      <c r="D313" t="s">
        <v>673</v>
      </c>
      <c r="E313" s="5" t="s">
        <v>44</v>
      </c>
      <c r="F313" s="5" t="e">
        <f>VLOOKUP(B313,'Türkkep Jira'!B:F,5,0)</f>
        <v>#N/A</v>
      </c>
      <c r="G313" t="str">
        <f>IF(IFERROR(VLOOKUP(B313,'Devam Eden Sprint'!B:B,1,0),"-")=B313,"Devam Eden Sprint","-")</f>
        <v>-</v>
      </c>
      <c r="H313" t="str">
        <f>IF(IFERROR(VLOOKUP(B313,'Gelecek Sprint'!B:B,1,0),"-")=B313,"Gelecek Sprint","-")</f>
        <v>-</v>
      </c>
      <c r="I313" t="str">
        <f t="shared" si="10"/>
        <v>Ürün İş Listesi</v>
      </c>
      <c r="J313" s="5">
        <v>5</v>
      </c>
    </row>
    <row r="314" spans="1:10" x14ac:dyDescent="0.25">
      <c r="A314" t="s">
        <v>14</v>
      </c>
      <c r="B314" t="s">
        <v>674</v>
      </c>
      <c r="C314" t="s">
        <v>16</v>
      </c>
      <c r="D314" t="s">
        <v>675</v>
      </c>
      <c r="E314" s="5" t="s">
        <v>44</v>
      </c>
      <c r="F314" s="5" t="e">
        <f>VLOOKUP(B314,'Türkkep Jira'!B:F,5,0)</f>
        <v>#N/A</v>
      </c>
      <c r="G314" t="str">
        <f>IF(IFERROR(VLOOKUP(B314,'Devam Eden Sprint'!B:B,1,0),"-")=B314,"Devam Eden Sprint","-")</f>
        <v>-</v>
      </c>
      <c r="H314" t="str">
        <f>IF(IFERROR(VLOOKUP(B314,'Gelecek Sprint'!B:B,1,0),"-")=B314,"Gelecek Sprint","-")</f>
        <v>-</v>
      </c>
      <c r="I314" t="str">
        <f t="shared" si="10"/>
        <v>Ürün İş Listesi</v>
      </c>
      <c r="J314" s="5">
        <v>3</v>
      </c>
    </row>
    <row r="315" spans="1:10" x14ac:dyDescent="0.25">
      <c r="A315" t="s">
        <v>14</v>
      </c>
      <c r="B315" t="s">
        <v>676</v>
      </c>
      <c r="C315" t="s">
        <v>16</v>
      </c>
      <c r="D315" t="s">
        <v>677</v>
      </c>
      <c r="E315" s="5" t="s">
        <v>44</v>
      </c>
      <c r="F315" s="5" t="e">
        <f>VLOOKUP(B315,'Türkkep Jira'!B:F,5,0)</f>
        <v>#N/A</v>
      </c>
      <c r="G315" t="str">
        <f>IF(IFERROR(VLOOKUP(B315,'Devam Eden Sprint'!B:B,1,0),"-")=B315,"Devam Eden Sprint","-")</f>
        <v>-</v>
      </c>
      <c r="H315" t="str">
        <f>IF(IFERROR(VLOOKUP(B315,'Gelecek Sprint'!B:B,1,0),"-")=B315,"Gelecek Sprint","-")</f>
        <v>-</v>
      </c>
      <c r="I315" t="str">
        <f t="shared" si="10"/>
        <v>Ürün İş Listesi</v>
      </c>
      <c r="J315" s="5">
        <v>3</v>
      </c>
    </row>
    <row r="316" spans="1:10" x14ac:dyDescent="0.25">
      <c r="A316" t="s">
        <v>14</v>
      </c>
      <c r="B316" t="s">
        <v>678</v>
      </c>
      <c r="C316" t="s">
        <v>16</v>
      </c>
      <c r="D316" t="s">
        <v>679</v>
      </c>
      <c r="E316" s="5" t="s">
        <v>44</v>
      </c>
      <c r="F316" s="5" t="e">
        <f>VLOOKUP(B316,'Türkkep Jira'!B:F,5,0)</f>
        <v>#N/A</v>
      </c>
      <c r="G316" t="str">
        <f>IF(IFERROR(VLOOKUP(B316,'Devam Eden Sprint'!B:B,1,0),"-")=B316,"Devam Eden Sprint","-")</f>
        <v>-</v>
      </c>
      <c r="H316" t="str">
        <f>IF(IFERROR(VLOOKUP(B316,'Gelecek Sprint'!B:B,1,0),"-")=B316,"Gelecek Sprint","-")</f>
        <v>-</v>
      </c>
      <c r="I316" t="str">
        <f t="shared" si="10"/>
        <v>Ürün İş Listesi</v>
      </c>
      <c r="J316" s="5">
        <v>3</v>
      </c>
    </row>
    <row r="317" spans="1:10" x14ac:dyDescent="0.25">
      <c r="A317" t="s">
        <v>14</v>
      </c>
      <c r="B317" t="s">
        <v>680</v>
      </c>
      <c r="C317" t="s">
        <v>16</v>
      </c>
      <c r="D317" t="s">
        <v>681</v>
      </c>
      <c r="E317" s="5" t="s">
        <v>44</v>
      </c>
      <c r="F317" s="5" t="e">
        <f>VLOOKUP(B317,'Türkkep Jira'!B:F,5,0)</f>
        <v>#N/A</v>
      </c>
      <c r="G317" t="str">
        <f>IF(IFERROR(VLOOKUP(B317,'Devam Eden Sprint'!B:B,1,0),"-")=B317,"Devam Eden Sprint","-")</f>
        <v>-</v>
      </c>
      <c r="H317" t="str">
        <f>IF(IFERROR(VLOOKUP(B317,'Gelecek Sprint'!B:B,1,0),"-")=B317,"Gelecek Sprint","-")</f>
        <v>-</v>
      </c>
      <c r="I317" t="str">
        <f t="shared" si="10"/>
        <v>Ürün İş Listesi</v>
      </c>
      <c r="J317" s="5">
        <v>3</v>
      </c>
    </row>
    <row r="318" spans="1:10" x14ac:dyDescent="0.25">
      <c r="A318" t="s">
        <v>14</v>
      </c>
      <c r="B318" t="s">
        <v>682</v>
      </c>
      <c r="C318" t="s">
        <v>10</v>
      </c>
      <c r="D318" t="s">
        <v>683</v>
      </c>
      <c r="E318" s="5" t="s">
        <v>44</v>
      </c>
      <c r="F318" s="5" t="e">
        <f>VLOOKUP(B318,'Türkkep Jira'!B:F,5,0)</f>
        <v>#N/A</v>
      </c>
      <c r="G318" t="str">
        <f>IF(IFERROR(VLOOKUP(B318,'Devam Eden Sprint'!B:B,1,0),"-")=B318,"Devam Eden Sprint","-")</f>
        <v>-</v>
      </c>
      <c r="H318" t="str">
        <f>IF(IFERROR(VLOOKUP(B318,'Gelecek Sprint'!B:B,1,0),"-")=B318,"Gelecek Sprint","-")</f>
        <v>-</v>
      </c>
      <c r="I318" t="str">
        <f t="shared" si="10"/>
        <v>Ürün İş Listesi</v>
      </c>
    </row>
    <row r="319" spans="1:10" x14ac:dyDescent="0.25">
      <c r="A319" t="s">
        <v>14</v>
      </c>
      <c r="B319" t="s">
        <v>684</v>
      </c>
      <c r="C319" t="s">
        <v>16</v>
      </c>
      <c r="D319" t="s">
        <v>685</v>
      </c>
      <c r="E319" s="5" t="s">
        <v>44</v>
      </c>
      <c r="F319" s="5" t="e">
        <f>VLOOKUP(B319,'Türkkep Jira'!B:F,5,0)</f>
        <v>#N/A</v>
      </c>
      <c r="G319" t="str">
        <f>IF(IFERROR(VLOOKUP(B319,'Devam Eden Sprint'!B:B,1,0),"-")=B319,"Devam Eden Sprint","-")</f>
        <v>-</v>
      </c>
      <c r="H319" t="str">
        <f>IF(IFERROR(VLOOKUP(B319,'Gelecek Sprint'!B:B,1,0),"-")=B319,"Gelecek Sprint","-")</f>
        <v>-</v>
      </c>
      <c r="I319" t="str">
        <f t="shared" si="10"/>
        <v>Ürün İş Listesi</v>
      </c>
      <c r="J319" s="5">
        <v>3</v>
      </c>
    </row>
    <row r="320" spans="1:10" x14ac:dyDescent="0.25">
      <c r="A320" t="s">
        <v>14</v>
      </c>
      <c r="B320" t="s">
        <v>686</v>
      </c>
      <c r="C320" t="s">
        <v>16</v>
      </c>
      <c r="D320" t="s">
        <v>623</v>
      </c>
      <c r="E320" s="5" t="s">
        <v>44</v>
      </c>
      <c r="F320" s="5" t="e">
        <f>VLOOKUP(B320,'Türkkep Jira'!B:F,5,0)</f>
        <v>#N/A</v>
      </c>
      <c r="G320" t="str">
        <f>IF(IFERROR(VLOOKUP(B320,'Devam Eden Sprint'!B:B,1,0),"-")=B320,"Devam Eden Sprint","-")</f>
        <v>-</v>
      </c>
      <c r="H320" t="str">
        <f>IF(IFERROR(VLOOKUP(B320,'Gelecek Sprint'!B:B,1,0),"-")=B320,"Gelecek Sprint","-")</f>
        <v>-</v>
      </c>
      <c r="I320" t="str">
        <f t="shared" si="10"/>
        <v>Ürün İş Listesi</v>
      </c>
    </row>
    <row r="321" spans="1:10" x14ac:dyDescent="0.25">
      <c r="A321" t="s">
        <v>14</v>
      </c>
      <c r="B321" t="s">
        <v>687</v>
      </c>
      <c r="C321" t="s">
        <v>16</v>
      </c>
      <c r="D321" t="s">
        <v>688</v>
      </c>
      <c r="E321" s="5" t="s">
        <v>44</v>
      </c>
      <c r="F321" s="5" t="e">
        <f>VLOOKUP(B321,'Türkkep Jira'!B:F,5,0)</f>
        <v>#N/A</v>
      </c>
      <c r="G321" t="str">
        <f>IF(IFERROR(VLOOKUP(B321,'Devam Eden Sprint'!B:B,1,0),"-")=B321,"Devam Eden Sprint","-")</f>
        <v>-</v>
      </c>
      <c r="H321" t="str">
        <f>IF(IFERROR(VLOOKUP(B321,'Gelecek Sprint'!B:B,1,0),"-")=B321,"Gelecek Sprint","-")</f>
        <v>-</v>
      </c>
      <c r="I321" t="str">
        <f t="shared" si="10"/>
        <v>Ürün İş Listesi</v>
      </c>
    </row>
    <row r="322" spans="1:10" x14ac:dyDescent="0.25">
      <c r="A322" t="s">
        <v>14</v>
      </c>
      <c r="B322" t="s">
        <v>689</v>
      </c>
      <c r="C322" t="s">
        <v>16</v>
      </c>
      <c r="D322" t="s">
        <v>690</v>
      </c>
      <c r="E322" s="5" t="s">
        <v>44</v>
      </c>
      <c r="F322" s="5" t="e">
        <f>VLOOKUP(B322,'Türkkep Jira'!B:F,5,0)</f>
        <v>#N/A</v>
      </c>
      <c r="G322" t="str">
        <f>IF(IFERROR(VLOOKUP(B322,'Devam Eden Sprint'!B:B,1,0),"-")=B322,"Devam Eden Sprint","-")</f>
        <v>-</v>
      </c>
      <c r="H322" t="str">
        <f>IF(IFERROR(VLOOKUP(B322,'Gelecek Sprint'!B:B,1,0),"-")=B322,"Gelecek Sprint","-")</f>
        <v>-</v>
      </c>
      <c r="I322" t="str">
        <f t="shared" ref="I322:I376" si="11">IFERROR(IF(AND(G322="Devam Eden Sprint",H322="Gelecek Sprint"),"Devam Eden ve Gelecek Sprint",IF(G322="Devam Eden Sprint","Devam Eden Sprint",IF(H322="Gelecek Sprint","Gelecek Sprint","Ürün İş Listesi"))),"Ürün İş Listesi")</f>
        <v>Ürün İş Listesi</v>
      </c>
    </row>
    <row r="323" spans="1:10" x14ac:dyDescent="0.25">
      <c r="A323" t="s">
        <v>14</v>
      </c>
      <c r="B323" t="s">
        <v>691</v>
      </c>
      <c r="C323" t="s">
        <v>16</v>
      </c>
      <c r="D323" t="s">
        <v>692</v>
      </c>
      <c r="E323" s="5" t="s">
        <v>44</v>
      </c>
      <c r="F323" s="5" t="e">
        <f>VLOOKUP(B323,'Türkkep Jira'!B:F,5,0)</f>
        <v>#N/A</v>
      </c>
      <c r="G323" t="str">
        <f>IF(IFERROR(VLOOKUP(B323,'Devam Eden Sprint'!B:B,1,0),"-")=B323,"Devam Eden Sprint","-")</f>
        <v>-</v>
      </c>
      <c r="H323" t="str">
        <f>IF(IFERROR(VLOOKUP(B323,'Gelecek Sprint'!B:B,1,0),"-")=B323,"Gelecek Sprint","-")</f>
        <v>-</v>
      </c>
      <c r="I323" t="str">
        <f t="shared" si="11"/>
        <v>Ürün İş Listesi</v>
      </c>
    </row>
    <row r="324" spans="1:10" x14ac:dyDescent="0.25">
      <c r="A324" t="s">
        <v>14</v>
      </c>
      <c r="B324" t="s">
        <v>693</v>
      </c>
      <c r="C324" t="s">
        <v>16</v>
      </c>
      <c r="D324" t="s">
        <v>694</v>
      </c>
      <c r="E324" s="5" t="s">
        <v>44</v>
      </c>
      <c r="F324" s="5" t="e">
        <f>VLOOKUP(B324,'Türkkep Jira'!B:F,5,0)</f>
        <v>#N/A</v>
      </c>
      <c r="G324" t="str">
        <f>IF(IFERROR(VLOOKUP(B324,'Devam Eden Sprint'!B:B,1,0),"-")=B324,"Devam Eden Sprint","-")</f>
        <v>-</v>
      </c>
      <c r="H324" t="str">
        <f>IF(IFERROR(VLOOKUP(B324,'Gelecek Sprint'!B:B,1,0),"-")=B324,"Gelecek Sprint","-")</f>
        <v>-</v>
      </c>
      <c r="I324" t="str">
        <f t="shared" si="11"/>
        <v>Ürün İş Listesi</v>
      </c>
    </row>
    <row r="325" spans="1:10" x14ac:dyDescent="0.25">
      <c r="A325" t="s">
        <v>14</v>
      </c>
      <c r="B325" t="s">
        <v>695</v>
      </c>
      <c r="C325" t="s">
        <v>16</v>
      </c>
      <c r="D325" t="s">
        <v>696</v>
      </c>
      <c r="E325" s="5" t="s">
        <v>41</v>
      </c>
      <c r="F325" s="5" t="e">
        <f>VLOOKUP(B325,'Türkkep Jira'!B:F,5,0)</f>
        <v>#N/A</v>
      </c>
      <c r="G325" t="str">
        <f>IF(IFERROR(VLOOKUP(B325,'Devam Eden Sprint'!B:B,1,0),"-")=B325,"Devam Eden Sprint","-")</f>
        <v>-</v>
      </c>
      <c r="H325" t="str">
        <f>IF(IFERROR(VLOOKUP(B325,'Gelecek Sprint'!B:B,1,0),"-")=B325,"Gelecek Sprint","-")</f>
        <v>-</v>
      </c>
      <c r="I325" t="str">
        <f t="shared" si="11"/>
        <v>Ürün İş Listesi</v>
      </c>
    </row>
    <row r="326" spans="1:10" x14ac:dyDescent="0.25">
      <c r="A326" t="s">
        <v>14</v>
      </c>
      <c r="B326" t="s">
        <v>697</v>
      </c>
      <c r="C326" t="s">
        <v>16</v>
      </c>
      <c r="D326" t="s">
        <v>698</v>
      </c>
      <c r="E326" s="5" t="s">
        <v>41</v>
      </c>
      <c r="F326" s="5" t="e">
        <f>VLOOKUP(B326,'Türkkep Jira'!B:F,5,0)</f>
        <v>#N/A</v>
      </c>
      <c r="G326" t="str">
        <f>IF(IFERROR(VLOOKUP(B326,'Devam Eden Sprint'!B:B,1,0),"-")=B326,"Devam Eden Sprint","-")</f>
        <v>-</v>
      </c>
      <c r="H326" t="str">
        <f>IF(IFERROR(VLOOKUP(B326,'Gelecek Sprint'!B:B,1,0),"-")=B326,"Gelecek Sprint","-")</f>
        <v>-</v>
      </c>
      <c r="I326" t="str">
        <f t="shared" si="11"/>
        <v>Ürün İş Listesi</v>
      </c>
      <c r="J326" s="5">
        <v>1</v>
      </c>
    </row>
    <row r="327" spans="1:10" x14ac:dyDescent="0.25">
      <c r="A327" t="s">
        <v>77</v>
      </c>
      <c r="B327" t="s">
        <v>699</v>
      </c>
      <c r="C327" t="s">
        <v>16</v>
      </c>
      <c r="D327" t="s">
        <v>700</v>
      </c>
      <c r="E327" s="5" t="s">
        <v>41</v>
      </c>
      <c r="F327" s="5" t="e">
        <f>VLOOKUP(B327,'Türkkep Jira'!B:F,5,0)</f>
        <v>#N/A</v>
      </c>
      <c r="G327" t="str">
        <f>IF(IFERROR(VLOOKUP(B327,'Devam Eden Sprint'!B:B,1,0),"-")=B327,"Devam Eden Sprint","-")</f>
        <v>-</v>
      </c>
      <c r="H327" t="str">
        <f>IF(IFERROR(VLOOKUP(B327,'Gelecek Sprint'!B:B,1,0),"-")=B327,"Gelecek Sprint","-")</f>
        <v>-</v>
      </c>
      <c r="I327" t="str">
        <f t="shared" si="11"/>
        <v>Ürün İş Listesi</v>
      </c>
      <c r="J327" s="5">
        <v>1</v>
      </c>
    </row>
    <row r="328" spans="1:10" x14ac:dyDescent="0.25">
      <c r="A328" t="s">
        <v>14</v>
      </c>
      <c r="B328" t="s">
        <v>701</v>
      </c>
      <c r="C328" t="s">
        <v>16</v>
      </c>
      <c r="D328" t="s">
        <v>702</v>
      </c>
      <c r="E328" s="5" t="s">
        <v>41</v>
      </c>
      <c r="F328" s="5" t="e">
        <f>VLOOKUP(B328,'Türkkep Jira'!B:F,5,0)</f>
        <v>#N/A</v>
      </c>
      <c r="G328" t="str">
        <f>IF(IFERROR(VLOOKUP(B328,'Devam Eden Sprint'!B:B,1,0),"-")=B328,"Devam Eden Sprint","-")</f>
        <v>-</v>
      </c>
      <c r="H328" t="str">
        <f>IF(IFERROR(VLOOKUP(B328,'Gelecek Sprint'!B:B,1,0),"-")=B328,"Gelecek Sprint","-")</f>
        <v>-</v>
      </c>
      <c r="I328" t="str">
        <f t="shared" si="11"/>
        <v>Ürün İş Listesi</v>
      </c>
      <c r="J328" s="5">
        <v>2</v>
      </c>
    </row>
    <row r="329" spans="1:10" x14ac:dyDescent="0.25">
      <c r="A329" t="s">
        <v>14</v>
      </c>
      <c r="B329" t="s">
        <v>703</v>
      </c>
      <c r="C329" t="s">
        <v>16</v>
      </c>
      <c r="D329" t="s">
        <v>704</v>
      </c>
      <c r="E329" s="5" t="s">
        <v>41</v>
      </c>
      <c r="F329" s="5" t="e">
        <f>VLOOKUP(B329,'Türkkep Jira'!B:F,5,0)</f>
        <v>#N/A</v>
      </c>
      <c r="G329" t="str">
        <f>IF(IFERROR(VLOOKUP(B329,'Devam Eden Sprint'!B:B,1,0),"-")=B329,"Devam Eden Sprint","-")</f>
        <v>-</v>
      </c>
      <c r="H329" t="str">
        <f>IF(IFERROR(VLOOKUP(B329,'Gelecek Sprint'!B:B,1,0),"-")=B329,"Gelecek Sprint","-")</f>
        <v>-</v>
      </c>
      <c r="I329" t="str">
        <f t="shared" si="11"/>
        <v>Ürün İş Listesi</v>
      </c>
      <c r="J329" s="5">
        <v>1</v>
      </c>
    </row>
    <row r="330" spans="1:10" x14ac:dyDescent="0.25">
      <c r="A330" t="s">
        <v>14</v>
      </c>
      <c r="B330" t="s">
        <v>705</v>
      </c>
      <c r="C330" t="s">
        <v>16</v>
      </c>
      <c r="D330" t="s">
        <v>706</v>
      </c>
      <c r="E330" s="5" t="s">
        <v>41</v>
      </c>
      <c r="F330" s="5" t="e">
        <f>VLOOKUP(B330,'Türkkep Jira'!B:F,5,0)</f>
        <v>#N/A</v>
      </c>
      <c r="G330" t="str">
        <f>IF(IFERROR(VLOOKUP(B330,'Devam Eden Sprint'!B:B,1,0),"-")=B330,"Devam Eden Sprint","-")</f>
        <v>-</v>
      </c>
      <c r="H330" t="str">
        <f>IF(IFERROR(VLOOKUP(B330,'Gelecek Sprint'!B:B,1,0),"-")=B330,"Gelecek Sprint","-")</f>
        <v>-</v>
      </c>
      <c r="I330" t="str">
        <f t="shared" si="11"/>
        <v>Ürün İş Listesi</v>
      </c>
      <c r="J330" s="5">
        <v>1</v>
      </c>
    </row>
    <row r="331" spans="1:10" x14ac:dyDescent="0.25">
      <c r="A331" t="s">
        <v>14</v>
      </c>
      <c r="B331" t="s">
        <v>707</v>
      </c>
      <c r="C331" t="s">
        <v>16</v>
      </c>
      <c r="D331" t="s">
        <v>708</v>
      </c>
      <c r="E331" s="5" t="s">
        <v>41</v>
      </c>
      <c r="F331" s="5" t="e">
        <f>VLOOKUP(B331,'Türkkep Jira'!B:F,5,0)</f>
        <v>#N/A</v>
      </c>
      <c r="G331" t="str">
        <f>IF(IFERROR(VLOOKUP(B331,'Devam Eden Sprint'!B:B,1,0),"-")=B331,"Devam Eden Sprint","-")</f>
        <v>-</v>
      </c>
      <c r="H331" t="str">
        <f>IF(IFERROR(VLOOKUP(B331,'Gelecek Sprint'!B:B,1,0),"-")=B331,"Gelecek Sprint","-")</f>
        <v>-</v>
      </c>
      <c r="I331" t="str">
        <f t="shared" si="11"/>
        <v>Ürün İş Listesi</v>
      </c>
      <c r="J331" s="5">
        <v>2</v>
      </c>
    </row>
    <row r="332" spans="1:10" x14ac:dyDescent="0.25">
      <c r="A332" t="s">
        <v>14</v>
      </c>
      <c r="B332" t="s">
        <v>709</v>
      </c>
      <c r="C332" t="s">
        <v>16</v>
      </c>
      <c r="D332" t="s">
        <v>710</v>
      </c>
      <c r="E332" s="5" t="s">
        <v>41</v>
      </c>
      <c r="F332" s="5" t="e">
        <f>VLOOKUP(B332,'Türkkep Jira'!B:F,5,0)</f>
        <v>#N/A</v>
      </c>
      <c r="G332" t="str">
        <f>IF(IFERROR(VLOOKUP(B332,'Devam Eden Sprint'!B:B,1,0),"-")=B332,"Devam Eden Sprint","-")</f>
        <v>-</v>
      </c>
      <c r="H332" t="str">
        <f>IF(IFERROR(VLOOKUP(B332,'Gelecek Sprint'!B:B,1,0),"-")=B332,"Gelecek Sprint","-")</f>
        <v>-</v>
      </c>
      <c r="I332" t="str">
        <f t="shared" si="11"/>
        <v>Ürün İş Listesi</v>
      </c>
    </row>
    <row r="333" spans="1:10" x14ac:dyDescent="0.25">
      <c r="A333" t="s">
        <v>14</v>
      </c>
      <c r="B333" t="s">
        <v>711</v>
      </c>
      <c r="C333" t="s">
        <v>16</v>
      </c>
      <c r="D333" t="s">
        <v>712</v>
      </c>
      <c r="E333" s="5" t="s">
        <v>41</v>
      </c>
      <c r="F333" s="5" t="e">
        <f>VLOOKUP(B333,'Türkkep Jira'!B:F,5,0)</f>
        <v>#N/A</v>
      </c>
      <c r="G333" t="str">
        <f>IF(IFERROR(VLOOKUP(B333,'Devam Eden Sprint'!B:B,1,0),"-")=B333,"Devam Eden Sprint","-")</f>
        <v>-</v>
      </c>
      <c r="H333" t="str">
        <f>IF(IFERROR(VLOOKUP(B333,'Gelecek Sprint'!B:B,1,0),"-")=B333,"Gelecek Sprint","-")</f>
        <v>-</v>
      </c>
      <c r="I333" t="str">
        <f t="shared" si="11"/>
        <v>Ürün İş Listesi</v>
      </c>
    </row>
    <row r="334" spans="1:10" x14ac:dyDescent="0.25">
      <c r="A334" t="s">
        <v>14</v>
      </c>
      <c r="B334" t="s">
        <v>713</v>
      </c>
      <c r="C334" t="s">
        <v>16</v>
      </c>
      <c r="D334" t="s">
        <v>714</v>
      </c>
      <c r="E334" s="5" t="s">
        <v>38</v>
      </c>
      <c r="F334" s="5" t="e">
        <f>VLOOKUP(B334,'Türkkep Jira'!B:F,5,0)</f>
        <v>#N/A</v>
      </c>
      <c r="G334" t="str">
        <f>IF(IFERROR(VLOOKUP(B334,'Devam Eden Sprint'!B:B,1,0),"-")=B334,"Devam Eden Sprint","-")</f>
        <v>-</v>
      </c>
      <c r="H334" t="str">
        <f>IF(IFERROR(VLOOKUP(B334,'Gelecek Sprint'!B:B,1,0),"-")=B334,"Gelecek Sprint","-")</f>
        <v>-</v>
      </c>
      <c r="I334" t="str">
        <f t="shared" si="11"/>
        <v>Ürün İş Listesi</v>
      </c>
      <c r="J334" s="5">
        <v>3</v>
      </c>
    </row>
    <row r="335" spans="1:10" x14ac:dyDescent="0.25">
      <c r="A335" t="s">
        <v>77</v>
      </c>
      <c r="B335" t="s">
        <v>715</v>
      </c>
      <c r="C335" t="s">
        <v>16</v>
      </c>
      <c r="D335" t="s">
        <v>716</v>
      </c>
      <c r="E335" s="5" t="s">
        <v>38</v>
      </c>
      <c r="F335" s="5" t="e">
        <f>VLOOKUP(B335,'Türkkep Jira'!B:F,5,0)</f>
        <v>#N/A</v>
      </c>
      <c r="G335" t="str">
        <f>IF(IFERROR(VLOOKUP(B335,'Devam Eden Sprint'!B:B,1,0),"-")=B335,"Devam Eden Sprint","-")</f>
        <v>-</v>
      </c>
      <c r="H335" t="str">
        <f>IF(IFERROR(VLOOKUP(B335,'Gelecek Sprint'!B:B,1,0),"-")=B335,"Gelecek Sprint","-")</f>
        <v>-</v>
      </c>
      <c r="I335" t="str">
        <f t="shared" si="11"/>
        <v>Ürün İş Listesi</v>
      </c>
    </row>
    <row r="336" spans="1:10" x14ac:dyDescent="0.25">
      <c r="A336" t="s">
        <v>14</v>
      </c>
      <c r="B336" t="s">
        <v>717</v>
      </c>
      <c r="C336" t="s">
        <v>16</v>
      </c>
      <c r="D336" t="s">
        <v>718</v>
      </c>
      <c r="E336" s="5" t="s">
        <v>38</v>
      </c>
      <c r="F336" s="5" t="e">
        <f>VLOOKUP(B336,'Türkkep Jira'!B:F,5,0)</f>
        <v>#N/A</v>
      </c>
      <c r="G336" t="str">
        <f>IF(IFERROR(VLOOKUP(B336,'Devam Eden Sprint'!B:B,1,0),"-")=B336,"Devam Eden Sprint","-")</f>
        <v>-</v>
      </c>
      <c r="H336" t="str">
        <f>IF(IFERROR(VLOOKUP(B336,'Gelecek Sprint'!B:B,1,0),"-")=B336,"Gelecek Sprint","-")</f>
        <v>-</v>
      </c>
      <c r="I336" t="str">
        <f t="shared" si="11"/>
        <v>Ürün İş Listesi</v>
      </c>
    </row>
    <row r="337" spans="1:10" x14ac:dyDescent="0.25">
      <c r="A337" t="s">
        <v>14</v>
      </c>
      <c r="B337" t="s">
        <v>719</v>
      </c>
      <c r="C337" t="s">
        <v>16</v>
      </c>
      <c r="D337" t="s">
        <v>720</v>
      </c>
      <c r="E337" s="5" t="s">
        <v>38</v>
      </c>
      <c r="F337" s="5" t="e">
        <f>VLOOKUP(B337,'Türkkep Jira'!B:F,5,0)</f>
        <v>#N/A</v>
      </c>
      <c r="G337" t="str">
        <f>IF(IFERROR(VLOOKUP(B337,'Devam Eden Sprint'!B:B,1,0),"-")=B337,"Devam Eden Sprint","-")</f>
        <v>-</v>
      </c>
      <c r="H337" t="str">
        <f>IF(IFERROR(VLOOKUP(B337,'Gelecek Sprint'!B:B,1,0),"-")=B337,"Gelecek Sprint","-")</f>
        <v>-</v>
      </c>
      <c r="I337" t="str">
        <f t="shared" si="11"/>
        <v>Ürün İş Listesi</v>
      </c>
    </row>
    <row r="338" spans="1:10" x14ac:dyDescent="0.25">
      <c r="A338" t="s">
        <v>14</v>
      </c>
      <c r="B338" t="s">
        <v>721</v>
      </c>
      <c r="C338" t="s">
        <v>16</v>
      </c>
      <c r="D338" t="s">
        <v>722</v>
      </c>
      <c r="E338" s="5" t="s">
        <v>38</v>
      </c>
      <c r="F338" s="5" t="e">
        <f>VLOOKUP(B338,'Türkkep Jira'!B:F,5,0)</f>
        <v>#N/A</v>
      </c>
      <c r="G338" t="str">
        <f>IF(IFERROR(VLOOKUP(B338,'Devam Eden Sprint'!B:B,1,0),"-")=B338,"Devam Eden Sprint","-")</f>
        <v>-</v>
      </c>
      <c r="H338" t="str">
        <f>IF(IFERROR(VLOOKUP(B338,'Gelecek Sprint'!B:B,1,0),"-")=B338,"Gelecek Sprint","-")</f>
        <v>-</v>
      </c>
      <c r="I338" t="str">
        <f t="shared" si="11"/>
        <v>Ürün İş Listesi</v>
      </c>
    </row>
    <row r="339" spans="1:10" x14ac:dyDescent="0.25">
      <c r="A339" t="s">
        <v>14</v>
      </c>
      <c r="B339" t="s">
        <v>723</v>
      </c>
      <c r="C339" t="s">
        <v>16</v>
      </c>
      <c r="D339" t="s">
        <v>724</v>
      </c>
      <c r="E339" s="5" t="s">
        <v>12</v>
      </c>
      <c r="F339" s="5" t="e">
        <f>VLOOKUP(B339,'Türkkep Jira'!B:F,5,0)</f>
        <v>#N/A</v>
      </c>
      <c r="G339" t="str">
        <f>IF(IFERROR(VLOOKUP(B339,'Devam Eden Sprint'!B:B,1,0),"-")=B339,"Devam Eden Sprint","-")</f>
        <v>-</v>
      </c>
      <c r="H339" t="str">
        <f>IF(IFERROR(VLOOKUP(B339,'Gelecek Sprint'!B:B,1,0),"-")=B339,"Gelecek Sprint","-")</f>
        <v>-</v>
      </c>
      <c r="I339" t="str">
        <f t="shared" si="11"/>
        <v>Ürün İş Listesi</v>
      </c>
      <c r="J339" s="5">
        <v>8</v>
      </c>
    </row>
    <row r="340" spans="1:10" x14ac:dyDescent="0.25">
      <c r="A340" t="s">
        <v>77</v>
      </c>
      <c r="B340" t="s">
        <v>725</v>
      </c>
      <c r="C340" t="s">
        <v>16</v>
      </c>
      <c r="D340" t="s">
        <v>726</v>
      </c>
      <c r="E340" s="5" t="s">
        <v>12</v>
      </c>
      <c r="F340" s="5" t="e">
        <f>VLOOKUP(B340,'Türkkep Jira'!B:F,5,0)</f>
        <v>#N/A</v>
      </c>
      <c r="G340" t="str">
        <f>IF(IFERROR(VLOOKUP(B340,'Devam Eden Sprint'!B:B,1,0),"-")=B340,"Devam Eden Sprint","-")</f>
        <v>-</v>
      </c>
      <c r="H340" t="str">
        <f>IF(IFERROR(VLOOKUP(B340,'Gelecek Sprint'!B:B,1,0),"-")=B340,"Gelecek Sprint","-")</f>
        <v>-</v>
      </c>
      <c r="I340" t="str">
        <f t="shared" si="11"/>
        <v>Ürün İş Listesi</v>
      </c>
      <c r="J340" s="5">
        <v>1</v>
      </c>
    </row>
    <row r="341" spans="1:10" x14ac:dyDescent="0.25">
      <c r="A341" t="s">
        <v>14</v>
      </c>
      <c r="B341" t="s">
        <v>727</v>
      </c>
      <c r="C341" t="s">
        <v>16</v>
      </c>
      <c r="D341" t="s">
        <v>728</v>
      </c>
      <c r="E341" s="5" t="s">
        <v>12</v>
      </c>
      <c r="F341" s="5" t="e">
        <f>VLOOKUP(B341,'Türkkep Jira'!B:F,5,0)</f>
        <v>#N/A</v>
      </c>
      <c r="G341" t="str">
        <f>IF(IFERROR(VLOOKUP(B341,'Devam Eden Sprint'!B:B,1,0),"-")=B341,"Devam Eden Sprint","-")</f>
        <v>-</v>
      </c>
      <c r="H341" t="str">
        <f>IF(IFERROR(VLOOKUP(B341,'Gelecek Sprint'!B:B,1,0),"-")=B341,"Gelecek Sprint","-")</f>
        <v>-</v>
      </c>
      <c r="I341" t="str">
        <f t="shared" si="11"/>
        <v>Ürün İş Listesi</v>
      </c>
    </row>
    <row r="342" spans="1:10" x14ac:dyDescent="0.25">
      <c r="A342" t="s">
        <v>14</v>
      </c>
      <c r="B342" t="s">
        <v>729</v>
      </c>
      <c r="C342" t="s">
        <v>16</v>
      </c>
      <c r="D342" t="s">
        <v>730</v>
      </c>
      <c r="E342" s="5" t="s">
        <v>12</v>
      </c>
      <c r="F342" s="5" t="e">
        <f>VLOOKUP(B342,'Türkkep Jira'!B:F,5,0)</f>
        <v>#N/A</v>
      </c>
      <c r="G342" t="str">
        <f>IF(IFERROR(VLOOKUP(B342,'Devam Eden Sprint'!B:B,1,0),"-")=B342,"Devam Eden Sprint","-")</f>
        <v>-</v>
      </c>
      <c r="H342" t="str">
        <f>IF(IFERROR(VLOOKUP(B342,'Gelecek Sprint'!B:B,1,0),"-")=B342,"Gelecek Sprint","-")</f>
        <v>-</v>
      </c>
      <c r="I342" t="str">
        <f t="shared" si="11"/>
        <v>Ürün İş Listesi</v>
      </c>
      <c r="J342" s="5">
        <v>3</v>
      </c>
    </row>
    <row r="343" spans="1:10" x14ac:dyDescent="0.25">
      <c r="A343" t="s">
        <v>14</v>
      </c>
      <c r="B343" t="s">
        <v>731</v>
      </c>
      <c r="C343" t="s">
        <v>16</v>
      </c>
      <c r="D343" t="s">
        <v>732</v>
      </c>
      <c r="E343" s="5" t="s">
        <v>12</v>
      </c>
      <c r="F343" s="5" t="e">
        <f>VLOOKUP(B343,'Türkkep Jira'!B:F,5,0)</f>
        <v>#N/A</v>
      </c>
      <c r="G343" t="str">
        <f>IF(IFERROR(VLOOKUP(B343,'Devam Eden Sprint'!B:B,1,0),"-")=B343,"Devam Eden Sprint","-")</f>
        <v>-</v>
      </c>
      <c r="H343" t="str">
        <f>IF(IFERROR(VLOOKUP(B343,'Gelecek Sprint'!B:B,1,0),"-")=B343,"Gelecek Sprint","-")</f>
        <v>-</v>
      </c>
      <c r="I343" t="str">
        <f t="shared" si="11"/>
        <v>Ürün İş Listesi</v>
      </c>
      <c r="J343" s="5">
        <v>1</v>
      </c>
    </row>
    <row r="344" spans="1:10" x14ac:dyDescent="0.25">
      <c r="A344" t="s">
        <v>14</v>
      </c>
      <c r="B344" t="s">
        <v>733</v>
      </c>
      <c r="C344" t="s">
        <v>10</v>
      </c>
      <c r="D344" t="s">
        <v>734</v>
      </c>
      <c r="E344" s="5" t="s">
        <v>12</v>
      </c>
      <c r="F344" s="5" t="e">
        <f>VLOOKUP(B344,'Türkkep Jira'!B:F,5,0)</f>
        <v>#N/A</v>
      </c>
      <c r="G344" t="str">
        <f>IF(IFERROR(VLOOKUP(B344,'Devam Eden Sprint'!B:B,1,0),"-")=B344,"Devam Eden Sprint","-")</f>
        <v>-</v>
      </c>
      <c r="H344" t="str">
        <f>IF(IFERROR(VLOOKUP(B344,'Gelecek Sprint'!B:B,1,0),"-")=B344,"Gelecek Sprint","-")</f>
        <v>-</v>
      </c>
      <c r="I344" t="str">
        <f t="shared" si="11"/>
        <v>Ürün İş Listesi</v>
      </c>
    </row>
    <row r="345" spans="1:10" x14ac:dyDescent="0.25">
      <c r="A345" t="s">
        <v>14</v>
      </c>
      <c r="B345" t="s">
        <v>735</v>
      </c>
      <c r="C345" t="s">
        <v>10</v>
      </c>
      <c r="D345" t="s">
        <v>736</v>
      </c>
      <c r="E345" s="5" t="s">
        <v>12</v>
      </c>
      <c r="F345" s="5" t="e">
        <f>VLOOKUP(B345,'Türkkep Jira'!B:F,5,0)</f>
        <v>#N/A</v>
      </c>
      <c r="G345" t="str">
        <f>IF(IFERROR(VLOOKUP(B345,'Devam Eden Sprint'!B:B,1,0),"-")=B345,"Devam Eden Sprint","-")</f>
        <v>-</v>
      </c>
      <c r="H345" t="str">
        <f>IF(IFERROR(VLOOKUP(B345,'Gelecek Sprint'!B:B,1,0),"-")=B345,"Gelecek Sprint","-")</f>
        <v>-</v>
      </c>
      <c r="I345" t="str">
        <f t="shared" si="11"/>
        <v>Ürün İş Listesi</v>
      </c>
    </row>
    <row r="346" spans="1:10" x14ac:dyDescent="0.25">
      <c r="A346" t="s">
        <v>14</v>
      </c>
      <c r="B346" t="s">
        <v>737</v>
      </c>
      <c r="C346" t="s">
        <v>16</v>
      </c>
      <c r="D346" t="s">
        <v>738</v>
      </c>
      <c r="E346" s="5" t="s">
        <v>12</v>
      </c>
      <c r="F346" s="5" t="e">
        <f>VLOOKUP(B346,'Türkkep Jira'!B:F,5,0)</f>
        <v>#N/A</v>
      </c>
      <c r="G346" t="str">
        <f>IF(IFERROR(VLOOKUP(B346,'Devam Eden Sprint'!B:B,1,0),"-")=B346,"Devam Eden Sprint","-")</f>
        <v>-</v>
      </c>
      <c r="H346" t="str">
        <f>IF(IFERROR(VLOOKUP(B346,'Gelecek Sprint'!B:B,1,0),"-")=B346,"Gelecek Sprint","-")</f>
        <v>-</v>
      </c>
      <c r="I346" t="str">
        <f t="shared" si="11"/>
        <v>Ürün İş Listesi</v>
      </c>
    </row>
    <row r="347" spans="1:10" x14ac:dyDescent="0.25">
      <c r="A347" t="s">
        <v>14</v>
      </c>
      <c r="B347" t="s">
        <v>739</v>
      </c>
      <c r="C347" t="s">
        <v>16</v>
      </c>
      <c r="D347" t="s">
        <v>740</v>
      </c>
      <c r="E347" s="5" t="s">
        <v>12</v>
      </c>
      <c r="F347" s="5" t="e">
        <f>VLOOKUP(B347,'Türkkep Jira'!B:F,5,0)</f>
        <v>#N/A</v>
      </c>
      <c r="G347" t="str">
        <f>IF(IFERROR(VLOOKUP(B347,'Devam Eden Sprint'!B:B,1,0),"-")=B347,"Devam Eden Sprint","-")</f>
        <v>-</v>
      </c>
      <c r="H347" t="str">
        <f>IF(IFERROR(VLOOKUP(B347,'Gelecek Sprint'!B:B,1,0),"-")=B347,"Gelecek Sprint","-")</f>
        <v>-</v>
      </c>
      <c r="I347" t="str">
        <f t="shared" si="11"/>
        <v>Ürün İş Listesi</v>
      </c>
    </row>
    <row r="348" spans="1:10" x14ac:dyDescent="0.25">
      <c r="A348" t="s">
        <v>14</v>
      </c>
      <c r="B348" t="s">
        <v>741</v>
      </c>
      <c r="C348" t="s">
        <v>16</v>
      </c>
      <c r="D348" t="s">
        <v>742</v>
      </c>
      <c r="E348" s="5" t="s">
        <v>12</v>
      </c>
      <c r="F348" s="5" t="e">
        <f>VLOOKUP(B348,'Türkkep Jira'!B:F,5,0)</f>
        <v>#N/A</v>
      </c>
      <c r="G348" t="str">
        <f>IF(IFERROR(VLOOKUP(B348,'Devam Eden Sprint'!B:B,1,0),"-")=B348,"Devam Eden Sprint","-")</f>
        <v>-</v>
      </c>
      <c r="H348" t="str">
        <f>IF(IFERROR(VLOOKUP(B348,'Gelecek Sprint'!B:B,1,0),"-")=B348,"Gelecek Sprint","-")</f>
        <v>-</v>
      </c>
      <c r="I348" t="str">
        <f t="shared" si="11"/>
        <v>Ürün İş Listesi</v>
      </c>
    </row>
    <row r="349" spans="1:10" x14ac:dyDescent="0.25">
      <c r="A349" t="s">
        <v>77</v>
      </c>
      <c r="B349" t="s">
        <v>743</v>
      </c>
      <c r="C349" t="s">
        <v>16</v>
      </c>
      <c r="D349" t="s">
        <v>744</v>
      </c>
      <c r="E349" s="5" t="s">
        <v>38</v>
      </c>
      <c r="F349" s="5" t="e">
        <f>VLOOKUP(B349,'Türkkep Jira'!B:F,5,0)</f>
        <v>#N/A</v>
      </c>
      <c r="G349" t="str">
        <f>IF(IFERROR(VLOOKUP(B349,'Devam Eden Sprint'!B:B,1,0),"-")=B349,"Devam Eden Sprint","-")</f>
        <v>-</v>
      </c>
      <c r="H349" t="str">
        <f>IF(IFERROR(VLOOKUP(B349,'Gelecek Sprint'!B:B,1,0),"-")=B349,"Gelecek Sprint","-")</f>
        <v>-</v>
      </c>
      <c r="I349" t="str">
        <f t="shared" si="11"/>
        <v>Ürün İş Listesi</v>
      </c>
      <c r="J349" s="5">
        <v>1</v>
      </c>
    </row>
    <row r="350" spans="1:10" x14ac:dyDescent="0.25">
      <c r="A350" t="s">
        <v>14</v>
      </c>
      <c r="B350" t="s">
        <v>745</v>
      </c>
      <c r="C350" t="s">
        <v>16</v>
      </c>
      <c r="D350" t="s">
        <v>332</v>
      </c>
      <c r="E350" s="5" t="s">
        <v>59</v>
      </c>
      <c r="F350" s="5" t="e">
        <f>VLOOKUP(B350,'Türkkep Jira'!B:F,5,0)</f>
        <v>#N/A</v>
      </c>
      <c r="G350" t="str">
        <f>IF(IFERROR(VLOOKUP(B350,'Devam Eden Sprint'!B:B,1,0),"-")=B350,"Devam Eden Sprint","-")</f>
        <v>-</v>
      </c>
      <c r="H350" t="str">
        <f>IF(IFERROR(VLOOKUP(B350,'Gelecek Sprint'!B:B,1,0),"-")=B350,"Gelecek Sprint","-")</f>
        <v>-</v>
      </c>
      <c r="I350" t="str">
        <f t="shared" si="11"/>
        <v>Ürün İş Listesi</v>
      </c>
      <c r="J350" s="5">
        <v>2</v>
      </c>
    </row>
    <row r="351" spans="1:10" x14ac:dyDescent="0.25">
      <c r="A351" t="s">
        <v>14</v>
      </c>
      <c r="B351" t="s">
        <v>746</v>
      </c>
      <c r="C351" t="s">
        <v>16</v>
      </c>
      <c r="D351" t="s">
        <v>747</v>
      </c>
      <c r="E351" s="5" t="s">
        <v>130</v>
      </c>
      <c r="F351" s="5" t="e">
        <f>VLOOKUP(B351,'Türkkep Jira'!B:F,5,0)</f>
        <v>#N/A</v>
      </c>
      <c r="G351" t="str">
        <f>IF(IFERROR(VLOOKUP(B351,'Devam Eden Sprint'!B:B,1,0),"-")=B351,"Devam Eden Sprint","-")</f>
        <v>-</v>
      </c>
      <c r="H351" t="str">
        <f>IF(IFERROR(VLOOKUP(B351,'Gelecek Sprint'!B:B,1,0),"-")=B351,"Gelecek Sprint","-")</f>
        <v>-</v>
      </c>
      <c r="I351" t="str">
        <f t="shared" si="11"/>
        <v>Ürün İş Listesi</v>
      </c>
      <c r="J351" s="5">
        <v>5</v>
      </c>
    </row>
    <row r="352" spans="1:10" x14ac:dyDescent="0.25">
      <c r="A352" t="s">
        <v>77</v>
      </c>
      <c r="B352" t="s">
        <v>748</v>
      </c>
      <c r="C352" t="s">
        <v>16</v>
      </c>
      <c r="D352" t="s">
        <v>749</v>
      </c>
      <c r="E352" s="5" t="s">
        <v>50</v>
      </c>
      <c r="F352" s="5" t="e">
        <f>VLOOKUP(B352,'Türkkep Jira'!B:F,5,0)</f>
        <v>#N/A</v>
      </c>
      <c r="G352" t="str">
        <f>IF(IFERROR(VLOOKUP(B352,'Devam Eden Sprint'!B:B,1,0),"-")=B352,"Devam Eden Sprint","-")</f>
        <v>-</v>
      </c>
      <c r="H352" t="str">
        <f>IF(IFERROR(VLOOKUP(B352,'Gelecek Sprint'!B:B,1,0),"-")=B352,"Gelecek Sprint","-")</f>
        <v>-</v>
      </c>
      <c r="I352" t="str">
        <f t="shared" si="11"/>
        <v>Ürün İş Listesi</v>
      </c>
      <c r="J352" s="5">
        <v>2</v>
      </c>
    </row>
    <row r="353" spans="1:10" x14ac:dyDescent="0.25">
      <c r="A353" t="s">
        <v>77</v>
      </c>
      <c r="B353" t="s">
        <v>750</v>
      </c>
      <c r="C353" t="s">
        <v>16</v>
      </c>
      <c r="D353" t="s">
        <v>751</v>
      </c>
      <c r="E353" s="5" t="s">
        <v>50</v>
      </c>
      <c r="F353" s="5" t="e">
        <f>VLOOKUP(B353,'Türkkep Jira'!B:F,5,0)</f>
        <v>#N/A</v>
      </c>
      <c r="G353" t="str">
        <f>IF(IFERROR(VLOOKUP(B353,'Devam Eden Sprint'!B:B,1,0),"-")=B353,"Devam Eden Sprint","-")</f>
        <v>-</v>
      </c>
      <c r="H353" t="str">
        <f>IF(IFERROR(VLOOKUP(B353,'Gelecek Sprint'!B:B,1,0),"-")=B353,"Gelecek Sprint","-")</f>
        <v>-</v>
      </c>
      <c r="I353" t="str">
        <f t="shared" si="11"/>
        <v>Ürün İş Listesi</v>
      </c>
      <c r="J353" s="5">
        <v>3</v>
      </c>
    </row>
    <row r="354" spans="1:10" x14ac:dyDescent="0.25">
      <c r="A354" t="s">
        <v>14</v>
      </c>
      <c r="B354" t="s">
        <v>752</v>
      </c>
      <c r="C354" t="s">
        <v>16</v>
      </c>
      <c r="D354" t="s">
        <v>753</v>
      </c>
      <c r="E354" s="5" t="s">
        <v>44</v>
      </c>
      <c r="F354" s="5" t="e">
        <f>VLOOKUP(B354,'Türkkep Jira'!B:F,5,0)</f>
        <v>#N/A</v>
      </c>
      <c r="G354" t="str">
        <f>IF(IFERROR(VLOOKUP(B354,'Devam Eden Sprint'!B:B,1,0),"-")=B354,"Devam Eden Sprint","-")</f>
        <v>-</v>
      </c>
      <c r="H354" t="str">
        <f>IF(IFERROR(VLOOKUP(B354,'Gelecek Sprint'!B:B,1,0),"-")=B354,"Gelecek Sprint","-")</f>
        <v>-</v>
      </c>
      <c r="I354" t="str">
        <f t="shared" si="11"/>
        <v>Ürün İş Listesi</v>
      </c>
      <c r="J354" s="5">
        <v>2</v>
      </c>
    </row>
    <row r="355" spans="1:10" x14ac:dyDescent="0.25">
      <c r="A355" t="s">
        <v>14</v>
      </c>
      <c r="B355" t="s">
        <v>754</v>
      </c>
      <c r="C355" t="s">
        <v>16</v>
      </c>
      <c r="D355" t="s">
        <v>755</v>
      </c>
      <c r="E355" s="5" t="s">
        <v>44</v>
      </c>
      <c r="F355" s="5" t="e">
        <f>VLOOKUP(B355,'Türkkep Jira'!B:F,5,0)</f>
        <v>#N/A</v>
      </c>
      <c r="G355" t="str">
        <f>IF(IFERROR(VLOOKUP(B355,'Devam Eden Sprint'!B:B,1,0),"-")=B355,"Devam Eden Sprint","-")</f>
        <v>-</v>
      </c>
      <c r="H355" t="str">
        <f>IF(IFERROR(VLOOKUP(B355,'Gelecek Sprint'!B:B,1,0),"-")=B355,"Gelecek Sprint","-")</f>
        <v>-</v>
      </c>
      <c r="I355" t="str">
        <f t="shared" si="11"/>
        <v>Ürün İş Listesi</v>
      </c>
      <c r="J355" s="5">
        <v>5</v>
      </c>
    </row>
    <row r="356" spans="1:10" x14ac:dyDescent="0.25">
      <c r="A356" t="s">
        <v>77</v>
      </c>
      <c r="B356" t="s">
        <v>756</v>
      </c>
      <c r="C356" t="s">
        <v>16</v>
      </c>
      <c r="D356" t="s">
        <v>757</v>
      </c>
      <c r="E356" s="5" t="s">
        <v>41</v>
      </c>
      <c r="F356" s="5" t="e">
        <f>VLOOKUP(B356,'Türkkep Jira'!B:F,5,0)</f>
        <v>#N/A</v>
      </c>
      <c r="G356" t="str">
        <f>IF(IFERROR(VLOOKUP(B356,'Devam Eden Sprint'!B:B,1,0),"-")=B356,"Devam Eden Sprint","-")</f>
        <v>-</v>
      </c>
      <c r="H356" t="str">
        <f>IF(IFERROR(VLOOKUP(B356,'Gelecek Sprint'!B:B,1,0),"-")=B356,"Gelecek Sprint","-")</f>
        <v>-</v>
      </c>
      <c r="I356" t="str">
        <f t="shared" si="11"/>
        <v>Ürün İş Listesi</v>
      </c>
      <c r="J356" s="5">
        <v>1</v>
      </c>
    </row>
    <row r="357" spans="1:10" x14ac:dyDescent="0.25">
      <c r="A357" t="s">
        <v>14</v>
      </c>
      <c r="B357" t="s">
        <v>758</v>
      </c>
      <c r="C357" t="s">
        <v>16</v>
      </c>
      <c r="D357" t="s">
        <v>759</v>
      </c>
      <c r="E357" s="5" t="s">
        <v>41</v>
      </c>
      <c r="F357" s="5" t="e">
        <f>VLOOKUP(B357,'Türkkep Jira'!B:F,5,0)</f>
        <v>#N/A</v>
      </c>
      <c r="G357" t="str">
        <f>IF(IFERROR(VLOOKUP(B357,'Devam Eden Sprint'!B:B,1,0),"-")=B357,"Devam Eden Sprint","-")</f>
        <v>-</v>
      </c>
      <c r="H357" t="str">
        <f>IF(IFERROR(VLOOKUP(B357,'Gelecek Sprint'!B:B,1,0),"-")=B357,"Gelecek Sprint","-")</f>
        <v>-</v>
      </c>
      <c r="I357" t="str">
        <f t="shared" si="11"/>
        <v>Ürün İş Listesi</v>
      </c>
      <c r="J357" s="5">
        <v>13</v>
      </c>
    </row>
    <row r="358" spans="1:10" x14ac:dyDescent="0.25">
      <c r="A358" t="s">
        <v>14</v>
      </c>
      <c r="B358" t="s">
        <v>760</v>
      </c>
      <c r="C358" t="s">
        <v>16</v>
      </c>
      <c r="D358" t="s">
        <v>761</v>
      </c>
      <c r="E358" s="5" t="s">
        <v>35</v>
      </c>
      <c r="F358" s="5" t="e">
        <f>VLOOKUP(B358,'Türkkep Jira'!B:F,5,0)</f>
        <v>#N/A</v>
      </c>
      <c r="G358" t="str">
        <f>IF(IFERROR(VLOOKUP(B358,'Devam Eden Sprint'!B:B,1,0),"-")=B358,"Devam Eden Sprint","-")</f>
        <v>-</v>
      </c>
      <c r="H358" t="str">
        <f>IF(IFERROR(VLOOKUP(B358,'Gelecek Sprint'!B:B,1,0),"-")=B358,"Gelecek Sprint","-")</f>
        <v>-</v>
      </c>
      <c r="I358" t="str">
        <f t="shared" si="11"/>
        <v>Ürün İş Listesi</v>
      </c>
      <c r="J358" s="5">
        <v>3</v>
      </c>
    </row>
    <row r="359" spans="1:10" x14ac:dyDescent="0.25">
      <c r="A359" t="s">
        <v>14</v>
      </c>
      <c r="B359" t="s">
        <v>762</v>
      </c>
      <c r="C359" t="s">
        <v>10</v>
      </c>
      <c r="D359" t="s">
        <v>763</v>
      </c>
      <c r="E359" s="5" t="s">
        <v>35</v>
      </c>
      <c r="F359" s="5" t="e">
        <f>VLOOKUP(B359,'Türkkep Jira'!B:F,5,0)</f>
        <v>#N/A</v>
      </c>
      <c r="G359" t="str">
        <f>IF(IFERROR(VLOOKUP(B359,'Devam Eden Sprint'!B:B,1,0),"-")=B359,"Devam Eden Sprint","-")</f>
        <v>-</v>
      </c>
      <c r="H359" t="str">
        <f>IF(IFERROR(VLOOKUP(B359,'Gelecek Sprint'!B:B,1,0),"-")=B359,"Gelecek Sprint","-")</f>
        <v>-</v>
      </c>
      <c r="I359" t="str">
        <f t="shared" si="11"/>
        <v>Ürün İş Listesi</v>
      </c>
    </row>
    <row r="360" spans="1:10" x14ac:dyDescent="0.25">
      <c r="A360" t="s">
        <v>14</v>
      </c>
      <c r="B360" t="s">
        <v>764</v>
      </c>
      <c r="C360" t="s">
        <v>10</v>
      </c>
      <c r="D360" t="s">
        <v>765</v>
      </c>
      <c r="E360" s="5" t="s">
        <v>35</v>
      </c>
      <c r="F360" s="5" t="e">
        <f>VLOOKUP(B360,'Türkkep Jira'!B:F,5,0)</f>
        <v>#N/A</v>
      </c>
      <c r="G360" t="str">
        <f>IF(IFERROR(VLOOKUP(B360,'Devam Eden Sprint'!B:B,1,0),"-")=B360,"Devam Eden Sprint","-")</f>
        <v>-</v>
      </c>
      <c r="H360" t="str">
        <f>IF(IFERROR(VLOOKUP(B360,'Gelecek Sprint'!B:B,1,0),"-")=B360,"Gelecek Sprint","-")</f>
        <v>-</v>
      </c>
      <c r="I360" t="str">
        <f t="shared" si="11"/>
        <v>Ürün İş Listesi</v>
      </c>
    </row>
    <row r="361" spans="1:10" x14ac:dyDescent="0.25">
      <c r="A361" t="s">
        <v>14</v>
      </c>
      <c r="B361" t="s">
        <v>766</v>
      </c>
      <c r="C361" t="s">
        <v>10</v>
      </c>
      <c r="D361" t="s">
        <v>767</v>
      </c>
      <c r="E361" s="5" t="s">
        <v>35</v>
      </c>
      <c r="F361" s="5" t="e">
        <f>VLOOKUP(B361,'Türkkep Jira'!B:F,5,0)</f>
        <v>#N/A</v>
      </c>
      <c r="G361" t="str">
        <f>IF(IFERROR(VLOOKUP(B361,'Devam Eden Sprint'!B:B,1,0),"-")=B361,"Devam Eden Sprint","-")</f>
        <v>-</v>
      </c>
      <c r="H361" t="str">
        <f>IF(IFERROR(VLOOKUP(B361,'Gelecek Sprint'!B:B,1,0),"-")=B361,"Gelecek Sprint","-")</f>
        <v>-</v>
      </c>
      <c r="I361" t="str">
        <f t="shared" si="11"/>
        <v>Ürün İş Listesi</v>
      </c>
    </row>
    <row r="362" spans="1:10" x14ac:dyDescent="0.25">
      <c r="A362" t="s">
        <v>14</v>
      </c>
      <c r="B362" t="s">
        <v>768</v>
      </c>
      <c r="C362" t="s">
        <v>16</v>
      </c>
      <c r="D362" t="s">
        <v>769</v>
      </c>
      <c r="E362" s="5" t="s">
        <v>35</v>
      </c>
      <c r="F362" s="5" t="e">
        <f>VLOOKUP(B362,'Türkkep Jira'!B:F,5,0)</f>
        <v>#N/A</v>
      </c>
      <c r="G362" t="str">
        <f>IF(IFERROR(VLOOKUP(B362,'Devam Eden Sprint'!B:B,1,0),"-")=B362,"Devam Eden Sprint","-")</f>
        <v>-</v>
      </c>
      <c r="H362" t="str">
        <f>IF(IFERROR(VLOOKUP(B362,'Gelecek Sprint'!B:B,1,0),"-")=B362,"Gelecek Sprint","-")</f>
        <v>-</v>
      </c>
      <c r="I362" t="str">
        <f t="shared" si="11"/>
        <v>Ürün İş Listesi</v>
      </c>
      <c r="J362" s="5">
        <v>3</v>
      </c>
    </row>
    <row r="363" spans="1:10" x14ac:dyDescent="0.25">
      <c r="A363" t="s">
        <v>14</v>
      </c>
      <c r="B363" t="s">
        <v>770</v>
      </c>
      <c r="C363" t="s">
        <v>16</v>
      </c>
      <c r="D363" t="s">
        <v>771</v>
      </c>
      <c r="E363" s="5" t="s">
        <v>35</v>
      </c>
      <c r="F363" s="5" t="e">
        <f>VLOOKUP(B363,'Türkkep Jira'!B:F,5,0)</f>
        <v>#N/A</v>
      </c>
      <c r="G363" t="str">
        <f>IF(IFERROR(VLOOKUP(B363,'Devam Eden Sprint'!B:B,1,0),"-")=B363,"Devam Eden Sprint","-")</f>
        <v>-</v>
      </c>
      <c r="H363" t="str">
        <f>IF(IFERROR(VLOOKUP(B363,'Gelecek Sprint'!B:B,1,0),"-")=B363,"Gelecek Sprint","-")</f>
        <v>-</v>
      </c>
      <c r="I363" t="str">
        <f t="shared" si="11"/>
        <v>Ürün İş Listesi</v>
      </c>
      <c r="J363" s="5">
        <v>2</v>
      </c>
    </row>
    <row r="364" spans="1:10" x14ac:dyDescent="0.25">
      <c r="A364" t="s">
        <v>14</v>
      </c>
      <c r="B364" t="s">
        <v>772</v>
      </c>
      <c r="C364" t="s">
        <v>16</v>
      </c>
      <c r="D364" t="s">
        <v>773</v>
      </c>
      <c r="E364" s="5" t="s">
        <v>38</v>
      </c>
      <c r="F364" s="5" t="e">
        <f>VLOOKUP(B364,'Türkkep Jira'!B:F,5,0)</f>
        <v>#N/A</v>
      </c>
      <c r="G364" t="str">
        <f>IF(IFERROR(VLOOKUP(B364,'Devam Eden Sprint'!B:B,1,0),"-")=B364,"Devam Eden Sprint","-")</f>
        <v>-</v>
      </c>
      <c r="H364" t="str">
        <f>IF(IFERROR(VLOOKUP(B364,'Gelecek Sprint'!B:B,1,0),"-")=B364,"Gelecek Sprint","-")</f>
        <v>-</v>
      </c>
      <c r="I364" t="str">
        <f t="shared" si="11"/>
        <v>Ürün İş Listesi</v>
      </c>
      <c r="J364" s="5">
        <v>5</v>
      </c>
    </row>
    <row r="365" spans="1:10" x14ac:dyDescent="0.25">
      <c r="A365" t="s">
        <v>14</v>
      </c>
      <c r="B365" t="s">
        <v>774</v>
      </c>
      <c r="C365" t="s">
        <v>16</v>
      </c>
      <c r="D365" t="s">
        <v>775</v>
      </c>
      <c r="E365" s="5" t="s">
        <v>44</v>
      </c>
      <c r="F365" s="5" t="e">
        <f>VLOOKUP(B365,'Türkkep Jira'!B:F,5,0)</f>
        <v>#N/A</v>
      </c>
      <c r="G365" t="str">
        <f>IF(IFERROR(VLOOKUP(B365,'Devam Eden Sprint'!B:B,1,0),"-")=B365,"Devam Eden Sprint","-")</f>
        <v>-</v>
      </c>
      <c r="H365" t="str">
        <f>IF(IFERROR(VLOOKUP(B365,'Gelecek Sprint'!B:B,1,0),"-")=B365,"Gelecek Sprint","-")</f>
        <v>-</v>
      </c>
      <c r="I365" t="str">
        <f t="shared" si="11"/>
        <v>Ürün İş Listesi</v>
      </c>
      <c r="J365" s="5">
        <v>3</v>
      </c>
    </row>
    <row r="366" spans="1:10" x14ac:dyDescent="0.25">
      <c r="A366" t="s">
        <v>77</v>
      </c>
      <c r="B366" t="s">
        <v>776</v>
      </c>
      <c r="C366" t="s">
        <v>16</v>
      </c>
      <c r="D366" t="s">
        <v>777</v>
      </c>
      <c r="E366" s="5" t="s">
        <v>56</v>
      </c>
      <c r="F366" s="5" t="e">
        <f>VLOOKUP(B366,'Türkkep Jira'!B:F,5,0)</f>
        <v>#N/A</v>
      </c>
      <c r="G366" t="str">
        <f>IF(IFERROR(VLOOKUP(B366,'Devam Eden Sprint'!B:B,1,0),"-")=B366,"Devam Eden Sprint","-")</f>
        <v>-</v>
      </c>
      <c r="H366" t="str">
        <f>IF(IFERROR(VLOOKUP(B366,'Gelecek Sprint'!B:B,1,0),"-")=B366,"Gelecek Sprint","-")</f>
        <v>-</v>
      </c>
      <c r="I366" t="str">
        <f t="shared" si="11"/>
        <v>Ürün İş Listesi</v>
      </c>
      <c r="J366" s="5">
        <v>3</v>
      </c>
    </row>
    <row r="367" spans="1:10" x14ac:dyDescent="0.25">
      <c r="A367" t="s">
        <v>77</v>
      </c>
      <c r="B367" t="s">
        <v>778</v>
      </c>
      <c r="C367" t="s">
        <v>16</v>
      </c>
      <c r="D367" t="s">
        <v>779</v>
      </c>
      <c r="E367" s="5" t="s">
        <v>56</v>
      </c>
      <c r="F367" s="5" t="e">
        <f>VLOOKUP(B367,'Türkkep Jira'!B:F,5,0)</f>
        <v>#N/A</v>
      </c>
      <c r="G367" t="str">
        <f>IF(IFERROR(VLOOKUP(B367,'Devam Eden Sprint'!B:B,1,0),"-")=B367,"Devam Eden Sprint","-")</f>
        <v>-</v>
      </c>
      <c r="H367" t="str">
        <f>IF(IFERROR(VLOOKUP(B367,'Gelecek Sprint'!B:B,1,0),"-")=B367,"Gelecek Sprint","-")</f>
        <v>-</v>
      </c>
      <c r="I367" t="str">
        <f t="shared" si="11"/>
        <v>Ürün İş Listesi</v>
      </c>
      <c r="J367" s="5">
        <v>3</v>
      </c>
    </row>
    <row r="368" spans="1:10" x14ac:dyDescent="0.25">
      <c r="A368" t="s">
        <v>77</v>
      </c>
      <c r="B368" t="s">
        <v>780</v>
      </c>
      <c r="C368" t="s">
        <v>10</v>
      </c>
      <c r="D368" t="s">
        <v>781</v>
      </c>
      <c r="E368" s="5" t="s">
        <v>56</v>
      </c>
      <c r="F368" s="5" t="e">
        <f>VLOOKUP(B368,'Türkkep Jira'!B:F,5,0)</f>
        <v>#N/A</v>
      </c>
      <c r="G368" t="str">
        <f>IF(IFERROR(VLOOKUP(B368,'Devam Eden Sprint'!B:B,1,0),"-")=B368,"Devam Eden Sprint","-")</f>
        <v>-</v>
      </c>
      <c r="H368" t="str">
        <f>IF(IFERROR(VLOOKUP(B368,'Gelecek Sprint'!B:B,1,0),"-")=B368,"Gelecek Sprint","-")</f>
        <v>-</v>
      </c>
      <c r="I368" t="str">
        <f t="shared" si="11"/>
        <v>Ürün İş Listesi</v>
      </c>
      <c r="J368" s="5">
        <v>5</v>
      </c>
    </row>
    <row r="369" spans="1:10" x14ac:dyDescent="0.25">
      <c r="A369" t="s">
        <v>14</v>
      </c>
      <c r="B369" t="s">
        <v>782</v>
      </c>
      <c r="C369" t="s">
        <v>16</v>
      </c>
      <c r="D369" t="s">
        <v>783</v>
      </c>
      <c r="E369" s="5" t="s">
        <v>53</v>
      </c>
      <c r="F369" s="5" t="e">
        <f>VLOOKUP(B369,'Türkkep Jira'!B:F,5,0)</f>
        <v>#N/A</v>
      </c>
      <c r="G369" t="str">
        <f>IF(IFERROR(VLOOKUP(B369,'Devam Eden Sprint'!B:B,1,0),"-")=B369,"Devam Eden Sprint","-")</f>
        <v>-</v>
      </c>
      <c r="H369" t="str">
        <f>IF(IFERROR(VLOOKUP(B369,'Gelecek Sprint'!B:B,1,0),"-")=B369,"Gelecek Sprint","-")</f>
        <v>-</v>
      </c>
      <c r="I369" t="str">
        <f t="shared" si="11"/>
        <v>Ürün İş Listesi</v>
      </c>
      <c r="J369" s="5">
        <v>1</v>
      </c>
    </row>
    <row r="370" spans="1:10" x14ac:dyDescent="0.25">
      <c r="A370" t="s">
        <v>14</v>
      </c>
      <c r="B370" t="s">
        <v>784</v>
      </c>
      <c r="C370" t="s">
        <v>16</v>
      </c>
      <c r="D370" t="s">
        <v>785</v>
      </c>
      <c r="E370" s="5" t="s">
        <v>53</v>
      </c>
      <c r="F370" s="5" t="e">
        <f>VLOOKUP(B370,'Türkkep Jira'!B:F,5,0)</f>
        <v>#N/A</v>
      </c>
      <c r="G370" t="str">
        <f>IF(IFERROR(VLOOKUP(B370,'Devam Eden Sprint'!B:B,1,0),"-")=B370,"Devam Eden Sprint","-")</f>
        <v>-</v>
      </c>
      <c r="H370" t="str">
        <f>IF(IFERROR(VLOOKUP(B370,'Gelecek Sprint'!B:B,1,0),"-")=B370,"Gelecek Sprint","-")</f>
        <v>-</v>
      </c>
      <c r="I370" t="str">
        <f t="shared" si="11"/>
        <v>Ürün İş Listesi</v>
      </c>
      <c r="J370" s="5">
        <v>2</v>
      </c>
    </row>
    <row r="371" spans="1:10" x14ac:dyDescent="0.25">
      <c r="A371" t="s">
        <v>14</v>
      </c>
      <c r="B371" t="s">
        <v>786</v>
      </c>
      <c r="C371" t="s">
        <v>16</v>
      </c>
      <c r="D371" t="s">
        <v>787</v>
      </c>
      <c r="E371" s="5" t="s">
        <v>53</v>
      </c>
      <c r="F371" s="5" t="e">
        <f>VLOOKUP(B371,'Türkkep Jira'!B:F,5,0)</f>
        <v>#N/A</v>
      </c>
      <c r="G371" t="str">
        <f>IF(IFERROR(VLOOKUP(B371,'Devam Eden Sprint'!B:B,1,0),"-")=B371,"Devam Eden Sprint","-")</f>
        <v>-</v>
      </c>
      <c r="H371" t="str">
        <f>IF(IFERROR(VLOOKUP(B371,'Gelecek Sprint'!B:B,1,0),"-")=B371,"Gelecek Sprint","-")</f>
        <v>-</v>
      </c>
      <c r="I371" t="str">
        <f t="shared" si="11"/>
        <v>Ürün İş Listesi</v>
      </c>
      <c r="J371" s="5">
        <v>1</v>
      </c>
    </row>
    <row r="372" spans="1:10" x14ac:dyDescent="0.25">
      <c r="A372" t="s">
        <v>14</v>
      </c>
      <c r="B372" t="s">
        <v>788</v>
      </c>
      <c r="C372" t="s">
        <v>16</v>
      </c>
      <c r="D372" t="s">
        <v>789</v>
      </c>
      <c r="E372" s="5" t="s">
        <v>127</v>
      </c>
      <c r="F372" s="5" t="e">
        <f>VLOOKUP(B372,'Türkkep Jira'!B:F,5,0)</f>
        <v>#N/A</v>
      </c>
      <c r="G372" t="str">
        <f>IF(IFERROR(VLOOKUP(B372,'Devam Eden Sprint'!B:B,1,0),"-")=B372,"Devam Eden Sprint","-")</f>
        <v>-</v>
      </c>
      <c r="H372" t="str">
        <f>IF(IFERROR(VLOOKUP(B372,'Gelecek Sprint'!B:B,1,0),"-")=B372,"Gelecek Sprint","-")</f>
        <v>-</v>
      </c>
      <c r="I372" t="str">
        <f t="shared" si="11"/>
        <v>Ürün İş Listesi</v>
      </c>
      <c r="J372" s="5">
        <v>2</v>
      </c>
    </row>
    <row r="373" spans="1:10" x14ac:dyDescent="0.25">
      <c r="A373" t="s">
        <v>14</v>
      </c>
      <c r="B373" t="s">
        <v>790</v>
      </c>
      <c r="C373" t="s">
        <v>16</v>
      </c>
      <c r="D373" t="s">
        <v>791</v>
      </c>
      <c r="E373" s="5" t="s">
        <v>127</v>
      </c>
      <c r="F373" s="5" t="e">
        <f>VLOOKUP(B373,'Türkkep Jira'!B:F,5,0)</f>
        <v>#N/A</v>
      </c>
      <c r="G373" t="str">
        <f>IF(IFERROR(VLOOKUP(B373,'Devam Eden Sprint'!B:B,1,0),"-")=B373,"Devam Eden Sprint","-")</f>
        <v>-</v>
      </c>
      <c r="H373" t="str">
        <f>IF(IFERROR(VLOOKUP(B373,'Gelecek Sprint'!B:B,1,0),"-")=B373,"Gelecek Sprint","-")</f>
        <v>-</v>
      </c>
      <c r="I373" t="str">
        <f t="shared" si="11"/>
        <v>Ürün İş Listesi</v>
      </c>
      <c r="J373" s="5">
        <v>3</v>
      </c>
    </row>
    <row r="374" spans="1:10" x14ac:dyDescent="0.25">
      <c r="A374" t="s">
        <v>77</v>
      </c>
      <c r="B374" t="s">
        <v>792</v>
      </c>
      <c r="C374" t="s">
        <v>16</v>
      </c>
      <c r="D374" t="s">
        <v>793</v>
      </c>
      <c r="E374" s="5" t="s">
        <v>533</v>
      </c>
      <c r="F374" s="5" t="e">
        <f>VLOOKUP(B374,'Türkkep Jira'!B:F,5,0)</f>
        <v>#N/A</v>
      </c>
      <c r="G374" t="str">
        <f>IF(IFERROR(VLOOKUP(B374,'Devam Eden Sprint'!B:B,1,0),"-")=B374,"Devam Eden Sprint","-")</f>
        <v>-</v>
      </c>
      <c r="H374" t="str">
        <f>IF(IFERROR(VLOOKUP(B374,'Gelecek Sprint'!B:B,1,0),"-")=B374,"Gelecek Sprint","-")</f>
        <v>-</v>
      </c>
      <c r="I374" t="str">
        <f t="shared" si="11"/>
        <v>Ürün İş Listesi</v>
      </c>
      <c r="J374" s="5">
        <v>1</v>
      </c>
    </row>
    <row r="375" spans="1:10" x14ac:dyDescent="0.25">
      <c r="A375" t="s">
        <v>14</v>
      </c>
      <c r="B375" t="s">
        <v>794</v>
      </c>
      <c r="C375" t="s">
        <v>16</v>
      </c>
      <c r="D375" t="s">
        <v>795</v>
      </c>
      <c r="E375" s="5" t="s">
        <v>47</v>
      </c>
      <c r="F375" s="5" t="e">
        <f>VLOOKUP(B375,'Türkkep Jira'!B:F,5,0)</f>
        <v>#N/A</v>
      </c>
      <c r="G375" t="str">
        <f>IF(IFERROR(VLOOKUP(B375,'Devam Eden Sprint'!B:B,1,0),"-")=B375,"Devam Eden Sprint","-")</f>
        <v>-</v>
      </c>
      <c r="H375" t="str">
        <f>IF(IFERROR(VLOOKUP(B375,'Gelecek Sprint'!B:B,1,0),"-")=B375,"Gelecek Sprint","-")</f>
        <v>-</v>
      </c>
      <c r="I375" t="str">
        <f t="shared" si="11"/>
        <v>Ürün İş Listesi</v>
      </c>
      <c r="J375" s="5">
        <v>3</v>
      </c>
    </row>
    <row r="376" spans="1:10" x14ac:dyDescent="0.25">
      <c r="A376" t="s">
        <v>14</v>
      </c>
      <c r="B376" t="s">
        <v>796</v>
      </c>
      <c r="C376" t="s">
        <v>16</v>
      </c>
      <c r="D376" t="s">
        <v>797</v>
      </c>
      <c r="E376" s="5" t="s">
        <v>47</v>
      </c>
      <c r="F376" s="5" t="e">
        <f>VLOOKUP(B376,'Türkkep Jira'!B:F,5,0)</f>
        <v>#N/A</v>
      </c>
      <c r="G376" t="str">
        <f>IF(IFERROR(VLOOKUP(B376,'Devam Eden Sprint'!B:B,1,0),"-")=B376,"Devam Eden Sprint","-")</f>
        <v>-</v>
      </c>
      <c r="H376" t="str">
        <f>IF(IFERROR(VLOOKUP(B376,'Gelecek Sprint'!B:B,1,0),"-")=B376,"Gelecek Sprint","-")</f>
        <v>-</v>
      </c>
      <c r="I376" t="str">
        <f t="shared" si="11"/>
        <v>Ürün İş Listesi</v>
      </c>
      <c r="J376" s="5">
        <v>3</v>
      </c>
    </row>
    <row r="377" spans="1:10" x14ac:dyDescent="0.25">
      <c r="A377" t="s">
        <v>14</v>
      </c>
      <c r="B377" t="s">
        <v>798</v>
      </c>
      <c r="C377" t="s">
        <v>16</v>
      </c>
      <c r="D377" t="s">
        <v>799</v>
      </c>
      <c r="E377" s="5" t="s">
        <v>127</v>
      </c>
      <c r="F377" s="5" t="e">
        <f>VLOOKUP(B377,'Türkkep Jira'!B:F,5,0)</f>
        <v>#N/A</v>
      </c>
      <c r="G377" t="str">
        <f>IF(IFERROR(VLOOKUP(B377,'Devam Eden Sprint'!B:B,1,0),"-")=B377,"Devam Eden Sprint","-")</f>
        <v>-</v>
      </c>
      <c r="H377" t="str">
        <f>IF(IFERROR(VLOOKUP(B377,'Gelecek Sprint'!B:B,1,0),"-")=B377,"Gelecek Sprint","-")</f>
        <v>-</v>
      </c>
      <c r="I377" t="str">
        <f>IFERROR(IF(AND(G377="Devam Eden Sprint",H377="Gelecek Sprint"),"Devam Eden ve Gelecek Sprint",IF(G377="Devam Eden Sprint","Devam Eden Sprint",IF(H377="Gelecek Sprint","Gelecek Sprint","Ürün İş Listesi"))),"Ürün İş Listesi")</f>
        <v>Ürün İş Listesi</v>
      </c>
    </row>
    <row r="378" spans="1:10" x14ac:dyDescent="0.25">
      <c r="A378" t="s">
        <v>14</v>
      </c>
      <c r="B378" t="s">
        <v>800</v>
      </c>
      <c r="C378" t="s">
        <v>16</v>
      </c>
      <c r="D378" t="s">
        <v>801</v>
      </c>
      <c r="E378" s="5" t="s">
        <v>127</v>
      </c>
      <c r="F378" s="5" t="e">
        <f>VLOOKUP(B378,'Türkkep Jira'!B:F,5,0)</f>
        <v>#N/A</v>
      </c>
      <c r="G378" t="str">
        <f>IF(IFERROR(VLOOKUP(B378,'Devam Eden Sprint'!B:B,1,0),"-")=B378,"Devam Eden Sprint","-")</f>
        <v>-</v>
      </c>
      <c r="H378" t="str">
        <f>IF(IFERROR(VLOOKUP(B378,'Gelecek Sprint'!B:B,1,0),"-")=B378,"Gelecek Sprint","-")</f>
        <v>-</v>
      </c>
      <c r="I378" t="str">
        <f>IFERROR(IF(AND(G378="Devam Eden Sprint",H378="Gelecek Sprint"),"Devam Eden ve Gelecek Sprint",IF(G378="Devam Eden Sprint","Devam Eden Sprint",IF(H378="Gelecek Sprint","Gelecek Sprint","Ürün İş Listesi"))),"Ürün İş Listesi")</f>
        <v>Ürün İş Listesi</v>
      </c>
      <c r="J378" s="5">
        <v>5</v>
      </c>
    </row>
    <row r="379" spans="1:10" x14ac:dyDescent="0.25">
      <c r="A379" t="s">
        <v>14</v>
      </c>
      <c r="B379" t="s">
        <v>802</v>
      </c>
      <c r="C379" t="s">
        <v>16</v>
      </c>
      <c r="D379" t="s">
        <v>803</v>
      </c>
      <c r="E379" s="5" t="s">
        <v>35</v>
      </c>
      <c r="F379" s="5" t="e">
        <f>VLOOKUP(B379,'Türkkep Jira'!B:F,5,0)</f>
        <v>#N/A</v>
      </c>
      <c r="G379" t="str">
        <f>IF(IFERROR(VLOOKUP(B379,'Devam Eden Sprint'!B:B,1,0),"-")=B379,"Devam Eden Sprint","-")</f>
        <v>-</v>
      </c>
      <c r="H379" t="str">
        <f>IF(IFERROR(VLOOKUP(B379,'Gelecek Sprint'!B:B,1,0),"-")=B379,"Gelecek Sprint","-")</f>
        <v>-</v>
      </c>
      <c r="I379" t="str">
        <f>IFERROR(IF(AND(G379="Devam Eden Sprint",H379="Gelecek Sprint"),"Devam Eden ve Gelecek Sprint",IF(G379="Devam Eden Sprint","Devam Eden Sprint",IF(H379="Gelecek Sprint","Gelecek Sprint","Ürün İş Listesi"))),"Ürün İş Listesi")</f>
        <v>Ürün İş Listesi</v>
      </c>
      <c r="J379" s="5">
        <v>2</v>
      </c>
    </row>
    <row r="380" spans="1:10" x14ac:dyDescent="0.25">
      <c r="A380" t="s">
        <v>14</v>
      </c>
      <c r="B380" t="s">
        <v>804</v>
      </c>
      <c r="C380" t="s">
        <v>16</v>
      </c>
      <c r="D380" t="s">
        <v>805</v>
      </c>
      <c r="E380" s="5" t="s">
        <v>56</v>
      </c>
      <c r="F380" s="5" t="e">
        <f>VLOOKUP(B380,'Türkkep Jira'!B:F,5,0)</f>
        <v>#N/A</v>
      </c>
      <c r="G380" t="str">
        <f>IF(IFERROR(VLOOKUP(B380,'Devam Eden Sprint'!B:B,1,0),"-")=B380,"Devam Eden Sprint","-")</f>
        <v>-</v>
      </c>
      <c r="H380" t="str">
        <f>IF(IFERROR(VLOOKUP(B380,'Gelecek Sprint'!B:B,1,0),"-")=B380,"Gelecek Sprint","-")</f>
        <v>-</v>
      </c>
      <c r="I380" t="str">
        <f>IFERROR(IF(AND(G380="Devam Eden Sprint",H380="Gelecek Sprint"),"Devam Eden ve Gelecek Sprint",IF(G380="Devam Eden Sprint","Devam Eden Sprint",IF(H380="Gelecek Sprint","Gelecek Sprint","Ürün İş Listesi"))),"Ürün İş Listesi")</f>
        <v>Ürün İş Listesi</v>
      </c>
      <c r="J380" s="5">
        <v>5</v>
      </c>
    </row>
    <row r="381" spans="1:10" x14ac:dyDescent="0.25">
      <c r="A381" t="s">
        <v>77</v>
      </c>
      <c r="B381" t="s">
        <v>806</v>
      </c>
      <c r="C381" t="s">
        <v>16</v>
      </c>
      <c r="D381" t="s">
        <v>807</v>
      </c>
      <c r="E381" s="5" t="s">
        <v>44</v>
      </c>
      <c r="F381" s="5" t="e">
        <f>VLOOKUP(B381,'Türkkep Jira'!B:F,5,0)</f>
        <v>#N/A</v>
      </c>
      <c r="G381" t="str">
        <f>IF(IFERROR(VLOOKUP(B381,'Devam Eden Sprint'!B:B,1,0),"-")=B381,"Devam Eden Sprint","-")</f>
        <v>-</v>
      </c>
      <c r="H381" t="str">
        <f>IF(IFERROR(VLOOKUP(B381,'Gelecek Sprint'!B:B,1,0),"-")=B381,"Gelecek Sprint","-")</f>
        <v>-</v>
      </c>
      <c r="I381" t="str">
        <f>IFERROR(IF(AND(G381="Devam Eden Sprint",H381="Gelecek Sprint"),"Devam Eden ve Gelecek Sprint",IF(G381="Devam Eden Sprint","Devam Eden Sprint",IF(H381="Gelecek Sprint","Gelecek Sprint","Ürün İş Listesi"))),"Ürün İş Listesi")</f>
        <v>Ürün İş Listesi</v>
      </c>
      <c r="J381" s="5">
        <v>3</v>
      </c>
    </row>
    <row r="382" spans="1:10" x14ac:dyDescent="0.25">
      <c r="A382" t="s">
        <v>14</v>
      </c>
      <c r="B382" t="s">
        <v>808</v>
      </c>
      <c r="C382" t="s">
        <v>16</v>
      </c>
      <c r="D382" t="s">
        <v>809</v>
      </c>
      <c r="E382" s="5" t="s">
        <v>41</v>
      </c>
      <c r="F382" s="5" t="e">
        <f>VLOOKUP(B382,'Türkkep Jira'!B:F,5,0)</f>
        <v>#N/A</v>
      </c>
      <c r="G382" t="str">
        <f>IF(IFERROR(VLOOKUP(B382,'Devam Eden Sprint'!B:B,1,0),"-")=B382,"Devam Eden Sprint","-")</f>
        <v>-</v>
      </c>
      <c r="H382" t="str">
        <f>IF(IFERROR(VLOOKUP(B382,'Gelecek Sprint'!B:B,1,0),"-")=B382,"Gelecek Sprint","-")</f>
        <v>-</v>
      </c>
      <c r="I382" t="str">
        <f t="shared" ref="I382:I445" si="12">IFERROR(IF(AND(G382="Devam Eden Sprint",H382="Gelecek Sprint"),"Devam Eden ve Gelecek Sprint",IF(G382="Devam Eden Sprint","Devam Eden Sprint",IF(H382="Gelecek Sprint","Gelecek Sprint","Ürün İş Listesi"))),"Ürün İş Listesi")</f>
        <v>Ürün İş Listesi</v>
      </c>
      <c r="J382" s="5">
        <v>1</v>
      </c>
    </row>
    <row r="383" spans="1:10" x14ac:dyDescent="0.25">
      <c r="A383" t="s">
        <v>14</v>
      </c>
      <c r="B383" t="s">
        <v>810</v>
      </c>
      <c r="C383" t="s">
        <v>16</v>
      </c>
      <c r="D383" t="s">
        <v>811</v>
      </c>
      <c r="E383" s="5" t="s">
        <v>41</v>
      </c>
      <c r="F383" s="5" t="e">
        <f>VLOOKUP(B383,'Türkkep Jira'!B:F,5,0)</f>
        <v>#N/A</v>
      </c>
      <c r="G383" t="str">
        <f>IF(IFERROR(VLOOKUP(B383,'Devam Eden Sprint'!B:B,1,0),"-")=B383,"Devam Eden Sprint","-")</f>
        <v>-</v>
      </c>
      <c r="H383" t="str">
        <f>IF(IFERROR(VLOOKUP(B383,'Gelecek Sprint'!B:B,1,0),"-")=B383,"Gelecek Sprint","-")</f>
        <v>-</v>
      </c>
      <c r="I383" t="str">
        <f t="shared" si="12"/>
        <v>Ürün İş Listesi</v>
      </c>
      <c r="J383" s="5">
        <v>2</v>
      </c>
    </row>
    <row r="384" spans="1:10" x14ac:dyDescent="0.25">
      <c r="A384" t="s">
        <v>14</v>
      </c>
      <c r="B384" t="s">
        <v>812</v>
      </c>
      <c r="C384" t="s">
        <v>16</v>
      </c>
      <c r="D384" t="s">
        <v>813</v>
      </c>
      <c r="E384" s="5" t="s">
        <v>41</v>
      </c>
      <c r="F384" s="5" t="e">
        <f>VLOOKUP(B384,'Türkkep Jira'!B:F,5,0)</f>
        <v>#N/A</v>
      </c>
      <c r="G384" t="str">
        <f>IF(IFERROR(VLOOKUP(B384,'Devam Eden Sprint'!B:B,1,0),"-")=B384,"Devam Eden Sprint","-")</f>
        <v>-</v>
      </c>
      <c r="H384" t="str">
        <f>IF(IFERROR(VLOOKUP(B384,'Gelecek Sprint'!B:B,1,0),"-")=B384,"Gelecek Sprint","-")</f>
        <v>-</v>
      </c>
      <c r="I384" t="str">
        <f t="shared" si="12"/>
        <v>Ürün İş Listesi</v>
      </c>
      <c r="J384" s="5">
        <v>2</v>
      </c>
    </row>
    <row r="385" spans="1:10" x14ac:dyDescent="0.25">
      <c r="A385" t="s">
        <v>14</v>
      </c>
      <c r="B385" t="s">
        <v>814</v>
      </c>
      <c r="C385" t="s">
        <v>16</v>
      </c>
      <c r="D385" t="s">
        <v>815</v>
      </c>
      <c r="E385" s="5" t="s">
        <v>35</v>
      </c>
      <c r="F385" s="5" t="e">
        <f>VLOOKUP(B385,'Türkkep Jira'!B:F,5,0)</f>
        <v>#N/A</v>
      </c>
      <c r="G385" t="str">
        <f>IF(IFERROR(VLOOKUP(B385,'Devam Eden Sprint'!B:B,1,0),"-")=B385,"Devam Eden Sprint","-")</f>
        <v>-</v>
      </c>
      <c r="H385" t="str">
        <f>IF(IFERROR(VLOOKUP(B385,'Gelecek Sprint'!B:B,1,0),"-")=B385,"Gelecek Sprint","-")</f>
        <v>-</v>
      </c>
      <c r="I385" t="str">
        <f t="shared" si="12"/>
        <v>Ürün İş Listesi</v>
      </c>
      <c r="J385" s="5">
        <v>3</v>
      </c>
    </row>
    <row r="386" spans="1:10" x14ac:dyDescent="0.25">
      <c r="A386" t="s">
        <v>14</v>
      </c>
      <c r="B386" t="s">
        <v>816</v>
      </c>
      <c r="C386" t="s">
        <v>16</v>
      </c>
      <c r="D386" t="s">
        <v>765</v>
      </c>
      <c r="E386" s="5" t="s">
        <v>38</v>
      </c>
      <c r="F386" s="5" t="e">
        <f>VLOOKUP(B386,'Türkkep Jira'!B:F,5,0)</f>
        <v>#N/A</v>
      </c>
      <c r="G386" t="str">
        <f>IF(IFERROR(VLOOKUP(B386,'Devam Eden Sprint'!B:B,1,0),"-")=B386,"Devam Eden Sprint","-")</f>
        <v>-</v>
      </c>
      <c r="H386" t="str">
        <f>IF(IFERROR(VLOOKUP(B386,'Gelecek Sprint'!B:B,1,0),"-")=B386,"Gelecek Sprint","-")</f>
        <v>-</v>
      </c>
      <c r="I386" t="str">
        <f t="shared" si="12"/>
        <v>Ürün İş Listesi</v>
      </c>
      <c r="J386" s="5">
        <v>2</v>
      </c>
    </row>
    <row r="387" spans="1:10" x14ac:dyDescent="0.25">
      <c r="A387" t="s">
        <v>77</v>
      </c>
      <c r="B387" t="s">
        <v>817</v>
      </c>
      <c r="C387" t="s">
        <v>16</v>
      </c>
      <c r="D387" t="s">
        <v>818</v>
      </c>
      <c r="E387" s="5" t="s">
        <v>41</v>
      </c>
      <c r="F387" s="5" t="e">
        <f>VLOOKUP(B387,'Türkkep Jira'!B:F,5,0)</f>
        <v>#N/A</v>
      </c>
      <c r="G387" t="str">
        <f>IF(IFERROR(VLOOKUP(B387,'Devam Eden Sprint'!B:B,1,0),"-")=B387,"Devam Eden Sprint","-")</f>
        <v>-</v>
      </c>
      <c r="H387" t="str">
        <f>IF(IFERROR(VLOOKUP(B387,'Gelecek Sprint'!B:B,1,0),"-")=B387,"Gelecek Sprint","-")</f>
        <v>-</v>
      </c>
      <c r="I387" t="str">
        <f t="shared" si="12"/>
        <v>Ürün İş Listesi</v>
      </c>
      <c r="J387" s="5">
        <v>1</v>
      </c>
    </row>
    <row r="388" spans="1:10" x14ac:dyDescent="0.25">
      <c r="A388" t="s">
        <v>77</v>
      </c>
      <c r="B388" t="s">
        <v>819</v>
      </c>
      <c r="C388" t="s">
        <v>16</v>
      </c>
      <c r="D388" t="s">
        <v>820</v>
      </c>
      <c r="E388" s="5" t="s">
        <v>41</v>
      </c>
      <c r="F388" s="5" t="e">
        <f>VLOOKUP(B388,'Türkkep Jira'!B:F,5,0)</f>
        <v>#N/A</v>
      </c>
      <c r="G388" t="str">
        <f>IF(IFERROR(VLOOKUP(B388,'Devam Eden Sprint'!B:B,1,0),"-")=B388,"Devam Eden Sprint","-")</f>
        <v>-</v>
      </c>
      <c r="H388" t="str">
        <f>IF(IFERROR(VLOOKUP(B388,'Gelecek Sprint'!B:B,1,0),"-")=B388,"Gelecek Sprint","-")</f>
        <v>-</v>
      </c>
      <c r="I388" t="str">
        <f t="shared" si="12"/>
        <v>Ürün İş Listesi</v>
      </c>
      <c r="J388" s="5">
        <v>1</v>
      </c>
    </row>
    <row r="389" spans="1:10" x14ac:dyDescent="0.25">
      <c r="A389" t="s">
        <v>14</v>
      </c>
      <c r="B389" t="s">
        <v>821</v>
      </c>
      <c r="C389" t="s">
        <v>16</v>
      </c>
      <c r="D389" t="s">
        <v>822</v>
      </c>
      <c r="E389" s="5" t="s">
        <v>59</v>
      </c>
      <c r="F389" s="5" t="e">
        <f>VLOOKUP(B389,'Türkkep Jira'!B:F,5,0)</f>
        <v>#N/A</v>
      </c>
      <c r="G389" t="str">
        <f>IF(IFERROR(VLOOKUP(B389,'Devam Eden Sprint'!B:B,1,0),"-")=B389,"Devam Eden Sprint","-")</f>
        <v>-</v>
      </c>
      <c r="H389" t="str">
        <f>IF(IFERROR(VLOOKUP(B389,'Gelecek Sprint'!B:B,1,0),"-")=B389,"Gelecek Sprint","-")</f>
        <v>-</v>
      </c>
      <c r="I389" t="str">
        <f t="shared" si="12"/>
        <v>Ürün İş Listesi</v>
      </c>
      <c r="J389" s="5">
        <v>3</v>
      </c>
    </row>
    <row r="390" spans="1:10" x14ac:dyDescent="0.25">
      <c r="A390" t="s">
        <v>77</v>
      </c>
      <c r="B390" t="s">
        <v>823</v>
      </c>
      <c r="C390" t="s">
        <v>16</v>
      </c>
      <c r="D390" t="s">
        <v>824</v>
      </c>
      <c r="E390" s="5" t="s">
        <v>53</v>
      </c>
      <c r="F390" s="5" t="e">
        <f>VLOOKUP(B390,'Türkkep Jira'!B:F,5,0)</f>
        <v>#N/A</v>
      </c>
      <c r="G390" t="str">
        <f>IF(IFERROR(VLOOKUP(B390,'Devam Eden Sprint'!B:B,1,0),"-")=B390,"Devam Eden Sprint","-")</f>
        <v>-</v>
      </c>
      <c r="H390" t="str">
        <f>IF(IFERROR(VLOOKUP(B390,'Gelecek Sprint'!B:B,1,0),"-")=B390,"Gelecek Sprint","-")</f>
        <v>-</v>
      </c>
      <c r="I390" t="str">
        <f t="shared" si="12"/>
        <v>Ürün İş Listesi</v>
      </c>
      <c r="J390" s="5">
        <v>1</v>
      </c>
    </row>
    <row r="391" spans="1:10" x14ac:dyDescent="0.25">
      <c r="A391" t="s">
        <v>77</v>
      </c>
      <c r="B391" t="s">
        <v>825</v>
      </c>
      <c r="C391" t="s">
        <v>16</v>
      </c>
      <c r="D391" t="s">
        <v>826</v>
      </c>
      <c r="E391" s="5" t="s">
        <v>53</v>
      </c>
      <c r="F391" s="5" t="e">
        <f>VLOOKUP(B391,'Türkkep Jira'!B:F,5,0)</f>
        <v>#N/A</v>
      </c>
      <c r="G391" t="str">
        <f>IF(IFERROR(VLOOKUP(B391,'Devam Eden Sprint'!B:B,1,0),"-")=B391,"Devam Eden Sprint","-")</f>
        <v>-</v>
      </c>
      <c r="H391" t="str">
        <f>IF(IFERROR(VLOOKUP(B391,'Gelecek Sprint'!B:B,1,0),"-")=B391,"Gelecek Sprint","-")</f>
        <v>-</v>
      </c>
      <c r="I391" t="str">
        <f t="shared" si="12"/>
        <v>Ürün İş Listesi</v>
      </c>
      <c r="J391" s="5">
        <v>2</v>
      </c>
    </row>
    <row r="392" spans="1:10" x14ac:dyDescent="0.25">
      <c r="A392" t="s">
        <v>14</v>
      </c>
      <c r="B392" t="s">
        <v>827</v>
      </c>
      <c r="C392" t="s">
        <v>16</v>
      </c>
      <c r="D392" t="s">
        <v>828</v>
      </c>
      <c r="E392" s="5" t="s">
        <v>53</v>
      </c>
      <c r="F392" s="5" t="e">
        <f>VLOOKUP(B392,'Türkkep Jira'!B:F,5,0)</f>
        <v>#N/A</v>
      </c>
      <c r="G392" t="str">
        <f>IF(IFERROR(VLOOKUP(B392,'Devam Eden Sprint'!B:B,1,0),"-")=B392,"Devam Eden Sprint","-")</f>
        <v>-</v>
      </c>
      <c r="H392" t="str">
        <f>IF(IFERROR(VLOOKUP(B392,'Gelecek Sprint'!B:B,1,0),"-")=B392,"Gelecek Sprint","-")</f>
        <v>-</v>
      </c>
      <c r="I392" t="str">
        <f t="shared" si="12"/>
        <v>Ürün İş Listesi</v>
      </c>
      <c r="J392" s="5">
        <v>3</v>
      </c>
    </row>
    <row r="393" spans="1:10" x14ac:dyDescent="0.25">
      <c r="A393" t="s">
        <v>14</v>
      </c>
      <c r="B393" t="s">
        <v>829</v>
      </c>
      <c r="C393" t="s">
        <v>16</v>
      </c>
      <c r="D393" t="s">
        <v>830</v>
      </c>
      <c r="E393" s="5" t="s">
        <v>53</v>
      </c>
      <c r="F393" s="5" t="e">
        <f>VLOOKUP(B393,'Türkkep Jira'!B:F,5,0)</f>
        <v>#N/A</v>
      </c>
      <c r="G393" t="str">
        <f>IF(IFERROR(VLOOKUP(B393,'Devam Eden Sprint'!B:B,1,0),"-")=B393,"Devam Eden Sprint","-")</f>
        <v>-</v>
      </c>
      <c r="H393" t="str">
        <f>IF(IFERROR(VLOOKUP(B393,'Gelecek Sprint'!B:B,1,0),"-")=B393,"Gelecek Sprint","-")</f>
        <v>-</v>
      </c>
      <c r="I393" t="str">
        <f t="shared" si="12"/>
        <v>Ürün İş Listesi</v>
      </c>
      <c r="J393" s="5">
        <v>2</v>
      </c>
    </row>
    <row r="394" spans="1:10" x14ac:dyDescent="0.25">
      <c r="A394" t="s">
        <v>14</v>
      </c>
      <c r="B394" t="s">
        <v>831</v>
      </c>
      <c r="C394" t="s">
        <v>16</v>
      </c>
      <c r="D394" t="s">
        <v>832</v>
      </c>
      <c r="E394" s="5" t="s">
        <v>53</v>
      </c>
      <c r="F394" s="5" t="e">
        <f>VLOOKUP(B394,'Türkkep Jira'!B:F,5,0)</f>
        <v>#N/A</v>
      </c>
      <c r="G394" t="str">
        <f>IF(IFERROR(VLOOKUP(B394,'Devam Eden Sprint'!B:B,1,0),"-")=B394,"Devam Eden Sprint","-")</f>
        <v>-</v>
      </c>
      <c r="H394" t="str">
        <f>IF(IFERROR(VLOOKUP(B394,'Gelecek Sprint'!B:B,1,0),"-")=B394,"Gelecek Sprint","-")</f>
        <v>-</v>
      </c>
      <c r="I394" t="str">
        <f t="shared" si="12"/>
        <v>Ürün İş Listesi</v>
      </c>
      <c r="J394" s="5">
        <v>2</v>
      </c>
    </row>
    <row r="395" spans="1:10" x14ac:dyDescent="0.25">
      <c r="A395" t="s">
        <v>14</v>
      </c>
      <c r="B395" t="s">
        <v>833</v>
      </c>
      <c r="C395" t="s">
        <v>16</v>
      </c>
      <c r="D395" t="s">
        <v>834</v>
      </c>
      <c r="E395" s="5" t="s">
        <v>53</v>
      </c>
      <c r="F395" s="5" t="e">
        <f>VLOOKUP(B395,'Türkkep Jira'!B:F,5,0)</f>
        <v>#N/A</v>
      </c>
      <c r="G395" t="str">
        <f>IF(IFERROR(VLOOKUP(B395,'Devam Eden Sprint'!B:B,1,0),"-")=B395,"Devam Eden Sprint","-")</f>
        <v>-</v>
      </c>
      <c r="H395" t="str">
        <f>IF(IFERROR(VLOOKUP(B395,'Gelecek Sprint'!B:B,1,0),"-")=B395,"Gelecek Sprint","-")</f>
        <v>-</v>
      </c>
      <c r="I395" t="str">
        <f t="shared" si="12"/>
        <v>Ürün İş Listesi</v>
      </c>
      <c r="J395" s="5">
        <v>3</v>
      </c>
    </row>
    <row r="396" spans="1:10" x14ac:dyDescent="0.25">
      <c r="A396" t="s">
        <v>77</v>
      </c>
      <c r="B396" t="s">
        <v>835</v>
      </c>
      <c r="C396" t="s">
        <v>16</v>
      </c>
      <c r="D396" t="s">
        <v>836</v>
      </c>
      <c r="E396" s="5" t="s">
        <v>127</v>
      </c>
      <c r="F396" s="5" t="e">
        <f>VLOOKUP(B396,'Türkkep Jira'!B:F,5,0)</f>
        <v>#N/A</v>
      </c>
      <c r="G396" t="str">
        <f>IF(IFERROR(VLOOKUP(B396,'Devam Eden Sprint'!B:B,1,0),"-")=B396,"Devam Eden Sprint","-")</f>
        <v>-</v>
      </c>
      <c r="H396" t="str">
        <f>IF(IFERROR(VLOOKUP(B396,'Gelecek Sprint'!B:B,1,0),"-")=B396,"Gelecek Sprint","-")</f>
        <v>-</v>
      </c>
      <c r="I396" t="str">
        <f t="shared" si="12"/>
        <v>Ürün İş Listesi</v>
      </c>
      <c r="J396" s="5">
        <v>2</v>
      </c>
    </row>
    <row r="397" spans="1:10" x14ac:dyDescent="0.25">
      <c r="A397" t="s">
        <v>14</v>
      </c>
      <c r="B397" t="s">
        <v>837</v>
      </c>
      <c r="C397" t="s">
        <v>16</v>
      </c>
      <c r="D397" t="s">
        <v>838</v>
      </c>
      <c r="E397" s="5" t="s">
        <v>127</v>
      </c>
      <c r="F397" s="5" t="e">
        <f>VLOOKUP(B397,'Türkkep Jira'!B:F,5,0)</f>
        <v>#N/A</v>
      </c>
      <c r="G397" t="str">
        <f>IF(IFERROR(VLOOKUP(B397,'Devam Eden Sprint'!B:B,1,0),"-")=B397,"Devam Eden Sprint","-")</f>
        <v>-</v>
      </c>
      <c r="H397" t="str">
        <f>IF(IFERROR(VLOOKUP(B397,'Gelecek Sprint'!B:B,1,0),"-")=B397,"Gelecek Sprint","-")</f>
        <v>-</v>
      </c>
      <c r="I397" t="str">
        <f t="shared" si="12"/>
        <v>Ürün İş Listesi</v>
      </c>
    </row>
    <row r="398" spans="1:10" x14ac:dyDescent="0.25">
      <c r="A398" t="s">
        <v>14</v>
      </c>
      <c r="B398" t="s">
        <v>839</v>
      </c>
      <c r="C398" t="s">
        <v>16</v>
      </c>
      <c r="D398" t="s">
        <v>840</v>
      </c>
      <c r="E398" s="5" t="s">
        <v>127</v>
      </c>
      <c r="F398" s="5" t="e">
        <f>VLOOKUP(B398,'Türkkep Jira'!B:F,5,0)</f>
        <v>#N/A</v>
      </c>
      <c r="G398" t="str">
        <f>IF(IFERROR(VLOOKUP(B398,'Devam Eden Sprint'!B:B,1,0),"-")=B398,"Devam Eden Sprint","-")</f>
        <v>-</v>
      </c>
      <c r="H398" t="str">
        <f>IF(IFERROR(VLOOKUP(B398,'Gelecek Sprint'!B:B,1,0),"-")=B398,"Gelecek Sprint","-")</f>
        <v>-</v>
      </c>
      <c r="I398" t="str">
        <f t="shared" si="12"/>
        <v>Ürün İş Listesi</v>
      </c>
      <c r="J398" s="5">
        <v>3</v>
      </c>
    </row>
    <row r="399" spans="1:10" x14ac:dyDescent="0.25">
      <c r="A399" t="s">
        <v>14</v>
      </c>
      <c r="B399" t="s">
        <v>841</v>
      </c>
      <c r="C399" t="s">
        <v>16</v>
      </c>
      <c r="D399" t="s">
        <v>842</v>
      </c>
      <c r="E399" s="5" t="s">
        <v>127</v>
      </c>
      <c r="F399" s="5" t="e">
        <f>VLOOKUP(B399,'Türkkep Jira'!B:F,5,0)</f>
        <v>#N/A</v>
      </c>
      <c r="G399" t="str">
        <f>IF(IFERROR(VLOOKUP(B399,'Devam Eden Sprint'!B:B,1,0),"-")=B399,"Devam Eden Sprint","-")</f>
        <v>-</v>
      </c>
      <c r="H399" t="str">
        <f>IF(IFERROR(VLOOKUP(B399,'Gelecek Sprint'!B:B,1,0),"-")=B399,"Gelecek Sprint","-")</f>
        <v>-</v>
      </c>
      <c r="I399" t="str">
        <f t="shared" si="12"/>
        <v>Ürün İş Listesi</v>
      </c>
      <c r="J399" s="5">
        <v>13</v>
      </c>
    </row>
    <row r="400" spans="1:10" x14ac:dyDescent="0.25">
      <c r="A400" t="s">
        <v>14</v>
      </c>
      <c r="B400" t="s">
        <v>843</v>
      </c>
      <c r="C400" t="s">
        <v>16</v>
      </c>
      <c r="D400" t="s">
        <v>844</v>
      </c>
      <c r="E400" s="5" t="s">
        <v>127</v>
      </c>
      <c r="F400" s="5" t="e">
        <f>VLOOKUP(B400,'Türkkep Jira'!B:F,5,0)</f>
        <v>#N/A</v>
      </c>
      <c r="G400" t="str">
        <f>IF(IFERROR(VLOOKUP(B400,'Devam Eden Sprint'!B:B,1,0),"-")=B400,"Devam Eden Sprint","-")</f>
        <v>-</v>
      </c>
      <c r="H400" t="str">
        <f>IF(IFERROR(VLOOKUP(B400,'Gelecek Sprint'!B:B,1,0),"-")=B400,"Gelecek Sprint","-")</f>
        <v>-</v>
      </c>
      <c r="I400" t="str">
        <f t="shared" si="12"/>
        <v>Ürün İş Listesi</v>
      </c>
      <c r="J400" s="5">
        <v>13</v>
      </c>
    </row>
    <row r="401" spans="1:10" x14ac:dyDescent="0.25">
      <c r="A401" t="s">
        <v>77</v>
      </c>
      <c r="B401" t="s">
        <v>845</v>
      </c>
      <c r="C401" t="s">
        <v>16</v>
      </c>
      <c r="D401" t="s">
        <v>846</v>
      </c>
      <c r="E401" s="5" t="s">
        <v>542</v>
      </c>
      <c r="F401" s="5" t="e">
        <f>VLOOKUP(B401,'Türkkep Jira'!B:F,5,0)</f>
        <v>#N/A</v>
      </c>
      <c r="G401" t="str">
        <f>IF(IFERROR(VLOOKUP(B401,'Devam Eden Sprint'!B:B,1,0),"-")=B401,"Devam Eden Sprint","-")</f>
        <v>-</v>
      </c>
      <c r="H401" t="str">
        <f>IF(IFERROR(VLOOKUP(B401,'Gelecek Sprint'!B:B,1,0),"-")=B401,"Gelecek Sprint","-")</f>
        <v>-</v>
      </c>
      <c r="I401" t="str">
        <f t="shared" si="12"/>
        <v>Ürün İş Listesi</v>
      </c>
    </row>
    <row r="402" spans="1:10" x14ac:dyDescent="0.25">
      <c r="A402" t="s">
        <v>77</v>
      </c>
      <c r="B402" t="s">
        <v>847</v>
      </c>
      <c r="C402" t="s">
        <v>16</v>
      </c>
      <c r="D402" t="s">
        <v>848</v>
      </c>
      <c r="E402" s="5" t="s">
        <v>542</v>
      </c>
      <c r="F402" s="5" t="e">
        <f>VLOOKUP(B402,'Türkkep Jira'!B:F,5,0)</f>
        <v>#N/A</v>
      </c>
      <c r="G402" t="str">
        <f>IF(IFERROR(VLOOKUP(B402,'Devam Eden Sprint'!B:B,1,0),"-")=B402,"Devam Eden Sprint","-")</f>
        <v>-</v>
      </c>
      <c r="H402" t="str">
        <f>IF(IFERROR(VLOOKUP(B402,'Gelecek Sprint'!B:B,1,0),"-")=B402,"Gelecek Sprint","-")</f>
        <v>-</v>
      </c>
      <c r="I402" t="str">
        <f t="shared" si="12"/>
        <v>Ürün İş Listesi</v>
      </c>
      <c r="J402" s="5">
        <v>8</v>
      </c>
    </row>
    <row r="403" spans="1:10" x14ac:dyDescent="0.25">
      <c r="A403" t="s">
        <v>77</v>
      </c>
      <c r="B403" t="s">
        <v>849</v>
      </c>
      <c r="C403" t="s">
        <v>16</v>
      </c>
      <c r="D403" t="s">
        <v>850</v>
      </c>
      <c r="E403" s="5" t="s">
        <v>542</v>
      </c>
      <c r="F403" s="5" t="e">
        <f>VLOOKUP(B403,'Türkkep Jira'!B:F,5,0)</f>
        <v>#N/A</v>
      </c>
      <c r="G403" t="str">
        <f>IF(IFERROR(VLOOKUP(B403,'Devam Eden Sprint'!B:B,1,0),"-")=B403,"Devam Eden Sprint","-")</f>
        <v>-</v>
      </c>
      <c r="H403" t="str">
        <f>IF(IFERROR(VLOOKUP(B403,'Gelecek Sprint'!B:B,1,0),"-")=B403,"Gelecek Sprint","-")</f>
        <v>-</v>
      </c>
      <c r="I403" t="str">
        <f t="shared" si="12"/>
        <v>Ürün İş Listesi</v>
      </c>
      <c r="J403" s="5">
        <v>3</v>
      </c>
    </row>
    <row r="404" spans="1:10" x14ac:dyDescent="0.25">
      <c r="A404" t="s">
        <v>77</v>
      </c>
      <c r="B404" t="s">
        <v>851</v>
      </c>
      <c r="C404" t="s">
        <v>16</v>
      </c>
      <c r="D404" t="s">
        <v>852</v>
      </c>
      <c r="E404" s="5" t="s">
        <v>56</v>
      </c>
      <c r="F404" s="5" t="e">
        <f>VLOOKUP(B404,'Türkkep Jira'!B:F,5,0)</f>
        <v>#N/A</v>
      </c>
      <c r="G404" t="str">
        <f>IF(IFERROR(VLOOKUP(B404,'Devam Eden Sprint'!B:B,1,0),"-")=B404,"Devam Eden Sprint","-")</f>
        <v>-</v>
      </c>
      <c r="H404" t="str">
        <f>IF(IFERROR(VLOOKUP(B404,'Gelecek Sprint'!B:B,1,0),"-")=B404,"Gelecek Sprint","-")</f>
        <v>-</v>
      </c>
      <c r="I404" t="str">
        <f t="shared" si="12"/>
        <v>Ürün İş Listesi</v>
      </c>
      <c r="J404" s="5">
        <v>3</v>
      </c>
    </row>
    <row r="405" spans="1:10" x14ac:dyDescent="0.25">
      <c r="A405" t="s">
        <v>14</v>
      </c>
      <c r="B405" t="s">
        <v>853</v>
      </c>
      <c r="C405" t="s">
        <v>16</v>
      </c>
      <c r="D405" t="s">
        <v>854</v>
      </c>
      <c r="E405" s="5" t="s">
        <v>56</v>
      </c>
      <c r="F405" s="5" t="e">
        <f>VLOOKUP(B405,'Türkkep Jira'!B:F,5,0)</f>
        <v>#N/A</v>
      </c>
      <c r="G405" t="str">
        <f>IF(IFERROR(VLOOKUP(B405,'Devam Eden Sprint'!B:B,1,0),"-")=B405,"Devam Eden Sprint","-")</f>
        <v>-</v>
      </c>
      <c r="H405" t="str">
        <f>IF(IFERROR(VLOOKUP(B405,'Gelecek Sprint'!B:B,1,0),"-")=B405,"Gelecek Sprint","-")</f>
        <v>-</v>
      </c>
      <c r="I405" t="str">
        <f t="shared" si="12"/>
        <v>Ürün İş Listesi</v>
      </c>
    </row>
    <row r="406" spans="1:10" x14ac:dyDescent="0.25">
      <c r="A406" t="s">
        <v>14</v>
      </c>
      <c r="B406" t="s">
        <v>855</v>
      </c>
      <c r="C406" t="s">
        <v>10</v>
      </c>
      <c r="D406" t="s">
        <v>856</v>
      </c>
      <c r="E406" s="5" t="s">
        <v>56</v>
      </c>
      <c r="F406" s="5" t="e">
        <f>VLOOKUP(B406,'Türkkep Jira'!B:F,5,0)</f>
        <v>#N/A</v>
      </c>
      <c r="G406" t="str">
        <f>IF(IFERROR(VLOOKUP(B406,'Devam Eden Sprint'!B:B,1,0),"-")=B406,"Devam Eden Sprint","-")</f>
        <v>-</v>
      </c>
      <c r="H406" t="str">
        <f>IF(IFERROR(VLOOKUP(B406,'Gelecek Sprint'!B:B,1,0),"-")=B406,"Gelecek Sprint","-")</f>
        <v>-</v>
      </c>
      <c r="I406" t="str">
        <f t="shared" si="12"/>
        <v>Ürün İş Listesi</v>
      </c>
    </row>
    <row r="407" spans="1:10" x14ac:dyDescent="0.25">
      <c r="A407" t="s">
        <v>14</v>
      </c>
      <c r="B407" t="s">
        <v>857</v>
      </c>
      <c r="C407" t="s">
        <v>10</v>
      </c>
      <c r="D407" t="s">
        <v>858</v>
      </c>
      <c r="E407" s="5" t="s">
        <v>47</v>
      </c>
      <c r="F407" s="5" t="e">
        <f>VLOOKUP(B407,'Türkkep Jira'!B:F,5,0)</f>
        <v>#N/A</v>
      </c>
      <c r="G407" t="str">
        <f>IF(IFERROR(VLOOKUP(B407,'Devam Eden Sprint'!B:B,1,0),"-")=B407,"Devam Eden Sprint","-")</f>
        <v>-</v>
      </c>
      <c r="H407" t="str">
        <f>IF(IFERROR(VLOOKUP(B407,'Gelecek Sprint'!B:B,1,0),"-")=B407,"Gelecek Sprint","-")</f>
        <v>-</v>
      </c>
      <c r="I407" t="str">
        <f t="shared" si="12"/>
        <v>Ürün İş Listesi</v>
      </c>
    </row>
    <row r="408" spans="1:10" x14ac:dyDescent="0.25">
      <c r="A408" t="s">
        <v>14</v>
      </c>
      <c r="B408" t="s">
        <v>859</v>
      </c>
      <c r="C408" t="s">
        <v>10</v>
      </c>
      <c r="D408" t="s">
        <v>860</v>
      </c>
      <c r="E408" s="5" t="s">
        <v>41</v>
      </c>
      <c r="F408" s="5" t="e">
        <f>VLOOKUP(B408,'Türkkep Jira'!B:F,5,0)</f>
        <v>#N/A</v>
      </c>
      <c r="G408" t="str">
        <f>IF(IFERROR(VLOOKUP(B408,'Devam Eden Sprint'!B:B,1,0),"-")=B408,"Devam Eden Sprint","-")</f>
        <v>-</v>
      </c>
      <c r="H408" t="str">
        <f>IF(IFERROR(VLOOKUP(B408,'Gelecek Sprint'!B:B,1,0),"-")=B408,"Gelecek Sprint","-")</f>
        <v>-</v>
      </c>
      <c r="I408" t="str">
        <f t="shared" si="12"/>
        <v>Ürün İş Listesi</v>
      </c>
    </row>
    <row r="409" spans="1:10" x14ac:dyDescent="0.25">
      <c r="A409" t="s">
        <v>14</v>
      </c>
      <c r="B409" t="s">
        <v>861</v>
      </c>
      <c r="C409" t="s">
        <v>10</v>
      </c>
      <c r="D409" t="s">
        <v>862</v>
      </c>
      <c r="E409" s="5" t="s">
        <v>41</v>
      </c>
      <c r="F409" s="5" t="e">
        <f>VLOOKUP(B409,'Türkkep Jira'!B:F,5,0)</f>
        <v>#N/A</v>
      </c>
      <c r="G409" t="str">
        <f>IF(IFERROR(VLOOKUP(B409,'Devam Eden Sprint'!B:B,1,0),"-")=B409,"Devam Eden Sprint","-")</f>
        <v>-</v>
      </c>
      <c r="H409" t="str">
        <f>IF(IFERROR(VLOOKUP(B409,'Gelecek Sprint'!B:B,1,0),"-")=B409,"Gelecek Sprint","-")</f>
        <v>-</v>
      </c>
      <c r="I409" t="str">
        <f t="shared" si="12"/>
        <v>Ürün İş Listesi</v>
      </c>
    </row>
    <row r="410" spans="1:10" x14ac:dyDescent="0.25">
      <c r="A410" t="s">
        <v>14</v>
      </c>
      <c r="B410" t="s">
        <v>863</v>
      </c>
      <c r="C410" t="s">
        <v>10</v>
      </c>
      <c r="D410" t="s">
        <v>864</v>
      </c>
      <c r="E410" s="5" t="s">
        <v>41</v>
      </c>
      <c r="F410" s="5" t="e">
        <f>VLOOKUP(B410,'Türkkep Jira'!B:F,5,0)</f>
        <v>#N/A</v>
      </c>
      <c r="G410" t="str">
        <f>IF(IFERROR(VLOOKUP(B410,'Devam Eden Sprint'!B:B,1,0),"-")=B410,"Devam Eden Sprint","-")</f>
        <v>-</v>
      </c>
      <c r="H410" t="str">
        <f>IF(IFERROR(VLOOKUP(B410,'Gelecek Sprint'!B:B,1,0),"-")=B410,"Gelecek Sprint","-")</f>
        <v>-</v>
      </c>
      <c r="I410" t="str">
        <f t="shared" si="12"/>
        <v>Ürün İş Listesi</v>
      </c>
    </row>
    <row r="411" spans="1:10" x14ac:dyDescent="0.25">
      <c r="A411" t="s">
        <v>14</v>
      </c>
      <c r="B411" t="s">
        <v>865</v>
      </c>
      <c r="C411" t="s">
        <v>10</v>
      </c>
      <c r="D411" t="s">
        <v>866</v>
      </c>
      <c r="E411" s="5" t="s">
        <v>41</v>
      </c>
      <c r="F411" s="5" t="e">
        <f>VLOOKUP(B411,'Türkkep Jira'!B:F,5,0)</f>
        <v>#N/A</v>
      </c>
      <c r="G411" t="str">
        <f>IF(IFERROR(VLOOKUP(B411,'Devam Eden Sprint'!B:B,1,0),"-")=B411,"Devam Eden Sprint","-")</f>
        <v>-</v>
      </c>
      <c r="H411" t="str">
        <f>IF(IFERROR(VLOOKUP(B411,'Gelecek Sprint'!B:B,1,0),"-")=B411,"Gelecek Sprint","-")</f>
        <v>-</v>
      </c>
      <c r="I411" t="str">
        <f t="shared" si="12"/>
        <v>Ürün İş Listesi</v>
      </c>
    </row>
    <row r="412" spans="1:10" x14ac:dyDescent="0.25">
      <c r="A412" t="s">
        <v>14</v>
      </c>
      <c r="B412" t="s">
        <v>867</v>
      </c>
      <c r="C412" t="s">
        <v>10</v>
      </c>
      <c r="D412" t="s">
        <v>868</v>
      </c>
      <c r="E412" s="5" t="s">
        <v>41</v>
      </c>
      <c r="F412" s="5" t="e">
        <f>VLOOKUP(B412,'Türkkep Jira'!B:F,5,0)</f>
        <v>#N/A</v>
      </c>
      <c r="G412" t="str">
        <f>IF(IFERROR(VLOOKUP(B412,'Devam Eden Sprint'!B:B,1,0),"-")=B412,"Devam Eden Sprint","-")</f>
        <v>-</v>
      </c>
      <c r="H412" t="str">
        <f>IF(IFERROR(VLOOKUP(B412,'Gelecek Sprint'!B:B,1,0),"-")=B412,"Gelecek Sprint","-")</f>
        <v>-</v>
      </c>
      <c r="I412" t="str">
        <f t="shared" si="12"/>
        <v>Ürün İş Listesi</v>
      </c>
    </row>
    <row r="413" spans="1:10" x14ac:dyDescent="0.25">
      <c r="A413" t="s">
        <v>14</v>
      </c>
      <c r="B413" t="s">
        <v>869</v>
      </c>
      <c r="C413" t="s">
        <v>10</v>
      </c>
      <c r="D413" t="s">
        <v>870</v>
      </c>
      <c r="E413" s="5" t="s">
        <v>41</v>
      </c>
      <c r="F413" s="5" t="e">
        <f>VLOOKUP(B413,'Türkkep Jira'!B:F,5,0)</f>
        <v>#N/A</v>
      </c>
      <c r="G413" t="str">
        <f>IF(IFERROR(VLOOKUP(B413,'Devam Eden Sprint'!B:B,1,0),"-")=B413,"Devam Eden Sprint","-")</f>
        <v>-</v>
      </c>
      <c r="H413" t="str">
        <f>IF(IFERROR(VLOOKUP(B413,'Gelecek Sprint'!B:B,1,0),"-")=B413,"Gelecek Sprint","-")</f>
        <v>-</v>
      </c>
      <c r="I413" t="str">
        <f t="shared" si="12"/>
        <v>Ürün İş Listesi</v>
      </c>
    </row>
    <row r="414" spans="1:10" x14ac:dyDescent="0.25">
      <c r="A414" t="s">
        <v>14</v>
      </c>
      <c r="B414" t="s">
        <v>871</v>
      </c>
      <c r="C414" t="s">
        <v>10</v>
      </c>
      <c r="D414" t="s">
        <v>872</v>
      </c>
      <c r="E414" s="5" t="s">
        <v>41</v>
      </c>
      <c r="F414" s="5" t="e">
        <f>VLOOKUP(B414,'Türkkep Jira'!B:F,5,0)</f>
        <v>#N/A</v>
      </c>
      <c r="G414" t="str">
        <f>IF(IFERROR(VLOOKUP(B414,'Devam Eden Sprint'!B:B,1,0),"-")=B414,"Devam Eden Sprint","-")</f>
        <v>-</v>
      </c>
      <c r="H414" t="str">
        <f>IF(IFERROR(VLOOKUP(B414,'Gelecek Sprint'!B:B,1,0),"-")=B414,"Gelecek Sprint","-")</f>
        <v>-</v>
      </c>
      <c r="I414" t="str">
        <f t="shared" si="12"/>
        <v>Ürün İş Listesi</v>
      </c>
    </row>
    <row r="415" spans="1:10" x14ac:dyDescent="0.25">
      <c r="A415" t="s">
        <v>14</v>
      </c>
      <c r="B415" t="s">
        <v>873</v>
      </c>
      <c r="C415" t="s">
        <v>10</v>
      </c>
      <c r="D415" t="s">
        <v>874</v>
      </c>
      <c r="E415" s="5" t="s">
        <v>41</v>
      </c>
      <c r="F415" s="5" t="e">
        <f>VLOOKUP(B415,'Türkkep Jira'!B:F,5,0)</f>
        <v>#N/A</v>
      </c>
      <c r="G415" t="str">
        <f>IF(IFERROR(VLOOKUP(B415,'Devam Eden Sprint'!B:B,1,0),"-")=B415,"Devam Eden Sprint","-")</f>
        <v>-</v>
      </c>
      <c r="H415" t="str">
        <f>IF(IFERROR(VLOOKUP(B415,'Gelecek Sprint'!B:B,1,0),"-")=B415,"Gelecek Sprint","-")</f>
        <v>-</v>
      </c>
      <c r="I415" t="str">
        <f t="shared" si="12"/>
        <v>Ürün İş Listesi</v>
      </c>
    </row>
    <row r="416" spans="1:10" x14ac:dyDescent="0.25">
      <c r="A416" t="s">
        <v>14</v>
      </c>
      <c r="B416" t="s">
        <v>875</v>
      </c>
      <c r="C416" t="s">
        <v>10</v>
      </c>
      <c r="D416" t="s">
        <v>876</v>
      </c>
      <c r="E416" s="5" t="s">
        <v>41</v>
      </c>
      <c r="F416" s="5" t="e">
        <f>VLOOKUP(B416,'Türkkep Jira'!B:F,5,0)</f>
        <v>#N/A</v>
      </c>
      <c r="G416" t="str">
        <f>IF(IFERROR(VLOOKUP(B416,'Devam Eden Sprint'!B:B,1,0),"-")=B416,"Devam Eden Sprint","-")</f>
        <v>-</v>
      </c>
      <c r="H416" t="str">
        <f>IF(IFERROR(VLOOKUP(B416,'Gelecek Sprint'!B:B,1,0),"-")=B416,"Gelecek Sprint","-")</f>
        <v>-</v>
      </c>
      <c r="I416" t="str">
        <f t="shared" si="12"/>
        <v>Ürün İş Listesi</v>
      </c>
    </row>
    <row r="417" spans="1:10" x14ac:dyDescent="0.25">
      <c r="A417" t="s">
        <v>14</v>
      </c>
      <c r="B417" t="s">
        <v>877</v>
      </c>
      <c r="C417" t="s">
        <v>10</v>
      </c>
      <c r="D417" t="s">
        <v>878</v>
      </c>
      <c r="E417" s="5" t="s">
        <v>41</v>
      </c>
      <c r="F417" s="5" t="e">
        <f>VLOOKUP(B417,'Türkkep Jira'!B:F,5,0)</f>
        <v>#N/A</v>
      </c>
      <c r="G417" t="str">
        <f>IF(IFERROR(VLOOKUP(B417,'Devam Eden Sprint'!B:B,1,0),"-")=B417,"Devam Eden Sprint","-")</f>
        <v>-</v>
      </c>
      <c r="H417" t="str">
        <f>IF(IFERROR(VLOOKUP(B417,'Gelecek Sprint'!B:B,1,0),"-")=B417,"Gelecek Sprint","-")</f>
        <v>-</v>
      </c>
      <c r="I417" t="str">
        <f t="shared" si="12"/>
        <v>Ürün İş Listesi</v>
      </c>
    </row>
    <row r="418" spans="1:10" x14ac:dyDescent="0.25">
      <c r="A418" t="s">
        <v>14</v>
      </c>
      <c r="B418" t="s">
        <v>879</v>
      </c>
      <c r="C418" t="s">
        <v>10</v>
      </c>
      <c r="D418" t="s">
        <v>880</v>
      </c>
      <c r="E418" s="5" t="s">
        <v>41</v>
      </c>
      <c r="F418" s="5" t="e">
        <f>VLOOKUP(B418,'Türkkep Jira'!B:F,5,0)</f>
        <v>#N/A</v>
      </c>
      <c r="G418" t="str">
        <f>IF(IFERROR(VLOOKUP(B418,'Devam Eden Sprint'!B:B,1,0),"-")=B418,"Devam Eden Sprint","-")</f>
        <v>-</v>
      </c>
      <c r="H418" t="str">
        <f>IF(IFERROR(VLOOKUP(B418,'Gelecek Sprint'!B:B,1,0),"-")=B418,"Gelecek Sprint","-")</f>
        <v>-</v>
      </c>
      <c r="I418" t="str">
        <f t="shared" si="12"/>
        <v>Ürün İş Listesi</v>
      </c>
    </row>
    <row r="419" spans="1:10" x14ac:dyDescent="0.25">
      <c r="A419" t="s">
        <v>14</v>
      </c>
      <c r="B419" t="s">
        <v>881</v>
      </c>
      <c r="C419" t="s">
        <v>10</v>
      </c>
      <c r="D419" t="s">
        <v>882</v>
      </c>
      <c r="E419" s="5" t="s">
        <v>41</v>
      </c>
      <c r="F419" s="5" t="e">
        <f>VLOOKUP(B419,'Türkkep Jira'!B:F,5,0)</f>
        <v>#N/A</v>
      </c>
      <c r="G419" t="str">
        <f>IF(IFERROR(VLOOKUP(B419,'Devam Eden Sprint'!B:B,1,0),"-")=B419,"Devam Eden Sprint","-")</f>
        <v>-</v>
      </c>
      <c r="H419" t="str">
        <f>IF(IFERROR(VLOOKUP(B419,'Gelecek Sprint'!B:B,1,0),"-")=B419,"Gelecek Sprint","-")</f>
        <v>-</v>
      </c>
      <c r="I419" t="str">
        <f t="shared" si="12"/>
        <v>Ürün İş Listesi</v>
      </c>
    </row>
    <row r="420" spans="1:10" x14ac:dyDescent="0.25">
      <c r="A420" t="s">
        <v>14</v>
      </c>
      <c r="B420" t="s">
        <v>883</v>
      </c>
      <c r="C420" t="s">
        <v>10</v>
      </c>
      <c r="D420" t="s">
        <v>884</v>
      </c>
      <c r="E420" s="5" t="s">
        <v>41</v>
      </c>
      <c r="F420" s="5" t="e">
        <f>VLOOKUP(B420,'Türkkep Jira'!B:F,5,0)</f>
        <v>#N/A</v>
      </c>
      <c r="G420" t="str">
        <f>IF(IFERROR(VLOOKUP(B420,'Devam Eden Sprint'!B:B,1,0),"-")=B420,"Devam Eden Sprint","-")</f>
        <v>-</v>
      </c>
      <c r="H420" t="str">
        <f>IF(IFERROR(VLOOKUP(B420,'Gelecek Sprint'!B:B,1,0),"-")=B420,"Gelecek Sprint","-")</f>
        <v>-</v>
      </c>
      <c r="I420" t="str">
        <f t="shared" si="12"/>
        <v>Ürün İş Listesi</v>
      </c>
    </row>
    <row r="421" spans="1:10" x14ac:dyDescent="0.25">
      <c r="A421" t="s">
        <v>14</v>
      </c>
      <c r="B421" t="s">
        <v>885</v>
      </c>
      <c r="C421" t="s">
        <v>16</v>
      </c>
      <c r="D421" t="s">
        <v>886</v>
      </c>
      <c r="E421" s="5" t="s">
        <v>41</v>
      </c>
      <c r="F421" s="5" t="e">
        <f>VLOOKUP(B421,'Türkkep Jira'!B:F,5,0)</f>
        <v>#N/A</v>
      </c>
      <c r="G421" t="str">
        <f>IF(IFERROR(VLOOKUP(B421,'Devam Eden Sprint'!B:B,1,0),"-")=B421,"Devam Eden Sprint","-")</f>
        <v>-</v>
      </c>
      <c r="H421" t="str">
        <f>IF(IFERROR(VLOOKUP(B421,'Gelecek Sprint'!B:B,1,0),"-")=B421,"Gelecek Sprint","-")</f>
        <v>-</v>
      </c>
      <c r="I421" t="str">
        <f t="shared" si="12"/>
        <v>Ürün İş Listesi</v>
      </c>
      <c r="J421" s="5">
        <v>1</v>
      </c>
    </row>
    <row r="422" spans="1:10" x14ac:dyDescent="0.25">
      <c r="A422" t="s">
        <v>14</v>
      </c>
      <c r="B422" t="s">
        <v>887</v>
      </c>
      <c r="C422" t="s">
        <v>16</v>
      </c>
      <c r="D422" t="s">
        <v>888</v>
      </c>
      <c r="E422" s="5" t="s">
        <v>41</v>
      </c>
      <c r="F422" s="5" t="e">
        <f>VLOOKUP(B422,'Türkkep Jira'!B:F,5,0)</f>
        <v>#N/A</v>
      </c>
      <c r="G422" t="str">
        <f>IF(IFERROR(VLOOKUP(B422,'Devam Eden Sprint'!B:B,1,0),"-")=B422,"Devam Eden Sprint","-")</f>
        <v>-</v>
      </c>
      <c r="H422" t="str">
        <f>IF(IFERROR(VLOOKUP(B422,'Gelecek Sprint'!B:B,1,0),"-")=B422,"Gelecek Sprint","-")</f>
        <v>-</v>
      </c>
      <c r="I422" t="str">
        <f t="shared" si="12"/>
        <v>Ürün İş Listesi</v>
      </c>
      <c r="J422" s="5">
        <v>1</v>
      </c>
    </row>
    <row r="423" spans="1:10" x14ac:dyDescent="0.25">
      <c r="A423" t="s">
        <v>14</v>
      </c>
      <c r="B423" t="s">
        <v>889</v>
      </c>
      <c r="C423" t="s">
        <v>16</v>
      </c>
      <c r="D423" t="s">
        <v>890</v>
      </c>
      <c r="E423" s="5" t="s">
        <v>41</v>
      </c>
      <c r="F423" s="5" t="e">
        <f>VLOOKUP(B423,'Türkkep Jira'!B:F,5,0)</f>
        <v>#N/A</v>
      </c>
      <c r="G423" t="str">
        <f>IF(IFERROR(VLOOKUP(B423,'Devam Eden Sprint'!B:B,1,0),"-")=B423,"Devam Eden Sprint","-")</f>
        <v>-</v>
      </c>
      <c r="H423" t="str">
        <f>IF(IFERROR(VLOOKUP(B423,'Gelecek Sprint'!B:B,1,0),"-")=B423,"Gelecek Sprint","-")</f>
        <v>-</v>
      </c>
      <c r="I423" t="str">
        <f t="shared" si="12"/>
        <v>Ürün İş Listesi</v>
      </c>
      <c r="J423" s="5">
        <v>1</v>
      </c>
    </row>
    <row r="424" spans="1:10" x14ac:dyDescent="0.25">
      <c r="A424" t="s">
        <v>14</v>
      </c>
      <c r="B424" t="s">
        <v>891</v>
      </c>
      <c r="C424" t="s">
        <v>16</v>
      </c>
      <c r="D424" t="s">
        <v>892</v>
      </c>
      <c r="E424" s="5" t="s">
        <v>41</v>
      </c>
      <c r="F424" s="5" t="e">
        <f>VLOOKUP(B424,'Türkkep Jira'!B:F,5,0)</f>
        <v>#N/A</v>
      </c>
      <c r="G424" t="str">
        <f>IF(IFERROR(VLOOKUP(B424,'Devam Eden Sprint'!B:B,1,0),"-")=B424,"Devam Eden Sprint","-")</f>
        <v>-</v>
      </c>
      <c r="H424" t="str">
        <f>IF(IFERROR(VLOOKUP(B424,'Gelecek Sprint'!B:B,1,0),"-")=B424,"Gelecek Sprint","-")</f>
        <v>-</v>
      </c>
      <c r="I424" t="str">
        <f t="shared" si="12"/>
        <v>Ürün İş Listesi</v>
      </c>
      <c r="J424" s="5">
        <v>1</v>
      </c>
    </row>
    <row r="425" spans="1:10" x14ac:dyDescent="0.25">
      <c r="A425" t="s">
        <v>14</v>
      </c>
      <c r="B425" t="s">
        <v>893</v>
      </c>
      <c r="C425" t="s">
        <v>192</v>
      </c>
      <c r="D425" t="s">
        <v>767</v>
      </c>
      <c r="E425" s="5" t="s">
        <v>38</v>
      </c>
      <c r="F425" s="5" t="e">
        <f>VLOOKUP(B425,'Türkkep Jira'!B:F,5,0)</f>
        <v>#N/A</v>
      </c>
      <c r="G425" t="str">
        <f>IF(IFERROR(VLOOKUP(B425,'Devam Eden Sprint'!B:B,1,0),"-")=B425,"Devam Eden Sprint","-")</f>
        <v>-</v>
      </c>
      <c r="H425" t="str">
        <f>IF(IFERROR(VLOOKUP(B425,'Gelecek Sprint'!B:B,1,0),"-")=B425,"Gelecek Sprint","-")</f>
        <v>-</v>
      </c>
      <c r="I425" t="str">
        <f t="shared" si="12"/>
        <v>Ürün İş Listesi</v>
      </c>
    </row>
    <row r="426" spans="1:10" x14ac:dyDescent="0.25">
      <c r="A426" t="s">
        <v>14</v>
      </c>
      <c r="B426" t="s">
        <v>894</v>
      </c>
      <c r="C426" t="s">
        <v>10</v>
      </c>
      <c r="D426" t="s">
        <v>895</v>
      </c>
      <c r="E426" s="5" t="s">
        <v>53</v>
      </c>
      <c r="F426" s="5" t="e">
        <f>VLOOKUP(B426,'Türkkep Jira'!B:F,5,0)</f>
        <v>#N/A</v>
      </c>
      <c r="G426" t="str">
        <f>IF(IFERROR(VLOOKUP(B426,'Devam Eden Sprint'!B:B,1,0),"-")=B426,"Devam Eden Sprint","-")</f>
        <v>-</v>
      </c>
      <c r="H426" t="str">
        <f>IF(IFERROR(VLOOKUP(B426,'Gelecek Sprint'!B:B,1,0),"-")=B426,"Gelecek Sprint","-")</f>
        <v>-</v>
      </c>
      <c r="I426" t="str">
        <f t="shared" si="12"/>
        <v>Ürün İş Listesi</v>
      </c>
    </row>
    <row r="427" spans="1:10" x14ac:dyDescent="0.25">
      <c r="A427" t="s">
        <v>14</v>
      </c>
      <c r="B427" t="s">
        <v>896</v>
      </c>
      <c r="C427" t="s">
        <v>16</v>
      </c>
      <c r="D427" t="s">
        <v>897</v>
      </c>
      <c r="E427" s="5" t="s">
        <v>53</v>
      </c>
      <c r="F427" s="5" t="e">
        <f>VLOOKUP(B427,'Türkkep Jira'!B:F,5,0)</f>
        <v>#N/A</v>
      </c>
      <c r="G427" t="str">
        <f>IF(IFERROR(VLOOKUP(B427,'Devam Eden Sprint'!B:B,1,0),"-")=B427,"Devam Eden Sprint","-")</f>
        <v>-</v>
      </c>
      <c r="H427" t="str">
        <f>IF(IFERROR(VLOOKUP(B427,'Gelecek Sprint'!B:B,1,0),"-")=B427,"Gelecek Sprint","-")</f>
        <v>-</v>
      </c>
      <c r="I427" t="str">
        <f t="shared" si="12"/>
        <v>Ürün İş Listesi</v>
      </c>
      <c r="J427" s="5">
        <v>1</v>
      </c>
    </row>
    <row r="428" spans="1:10" x14ac:dyDescent="0.25">
      <c r="A428" t="s">
        <v>77</v>
      </c>
      <c r="B428" t="s">
        <v>898</v>
      </c>
      <c r="C428" t="s">
        <v>16</v>
      </c>
      <c r="D428" t="s">
        <v>899</v>
      </c>
      <c r="E428" s="5" t="s">
        <v>53</v>
      </c>
      <c r="F428" s="5" t="e">
        <f>VLOOKUP(B428,'Türkkep Jira'!B:F,5,0)</f>
        <v>#N/A</v>
      </c>
      <c r="G428" t="str">
        <f>IF(IFERROR(VLOOKUP(B428,'Devam Eden Sprint'!B:B,1,0),"-")=B428,"Devam Eden Sprint","-")</f>
        <v>-</v>
      </c>
      <c r="H428" t="str">
        <f>IF(IFERROR(VLOOKUP(B428,'Gelecek Sprint'!B:B,1,0),"-")=B428,"Gelecek Sprint","-")</f>
        <v>-</v>
      </c>
      <c r="I428" t="str">
        <f t="shared" si="12"/>
        <v>Ürün İş Listesi</v>
      </c>
    </row>
    <row r="429" spans="1:10" x14ac:dyDescent="0.25">
      <c r="A429" t="s">
        <v>14</v>
      </c>
      <c r="B429" t="s">
        <v>900</v>
      </c>
      <c r="C429" t="s">
        <v>16</v>
      </c>
      <c r="D429" t="s">
        <v>901</v>
      </c>
      <c r="E429" s="5" t="s">
        <v>53</v>
      </c>
      <c r="F429" s="5" t="e">
        <f>VLOOKUP(B429,'Türkkep Jira'!B:F,5,0)</f>
        <v>#N/A</v>
      </c>
      <c r="G429" t="str">
        <f>IF(IFERROR(VLOOKUP(B429,'Devam Eden Sprint'!B:B,1,0),"-")=B429,"Devam Eden Sprint","-")</f>
        <v>-</v>
      </c>
      <c r="H429" t="str">
        <f>IF(IFERROR(VLOOKUP(B429,'Gelecek Sprint'!B:B,1,0),"-")=B429,"Gelecek Sprint","-")</f>
        <v>-</v>
      </c>
      <c r="I429" t="str">
        <f t="shared" si="12"/>
        <v>Ürün İş Listesi</v>
      </c>
    </row>
    <row r="430" spans="1:10" x14ac:dyDescent="0.25">
      <c r="A430" t="s">
        <v>77</v>
      </c>
      <c r="B430" t="s">
        <v>902</v>
      </c>
      <c r="C430" t="s">
        <v>16</v>
      </c>
      <c r="D430" t="s">
        <v>903</v>
      </c>
      <c r="E430" s="5" t="s">
        <v>53</v>
      </c>
      <c r="F430" s="5" t="e">
        <f>VLOOKUP(B430,'Türkkep Jira'!B:F,5,0)</f>
        <v>#N/A</v>
      </c>
      <c r="G430" t="str">
        <f>IF(IFERROR(VLOOKUP(B430,'Devam Eden Sprint'!B:B,1,0),"-")=B430,"Devam Eden Sprint","-")</f>
        <v>-</v>
      </c>
      <c r="H430" t="str">
        <f>IF(IFERROR(VLOOKUP(B430,'Gelecek Sprint'!B:B,1,0),"-")=B430,"Gelecek Sprint","-")</f>
        <v>-</v>
      </c>
      <c r="I430" t="str">
        <f t="shared" si="12"/>
        <v>Ürün İş Listesi</v>
      </c>
    </row>
    <row r="431" spans="1:10" x14ac:dyDescent="0.25">
      <c r="A431" t="s">
        <v>14</v>
      </c>
      <c r="B431" t="s">
        <v>904</v>
      </c>
      <c r="C431" t="s">
        <v>16</v>
      </c>
      <c r="D431" t="s">
        <v>905</v>
      </c>
      <c r="E431" s="5" t="s">
        <v>53</v>
      </c>
      <c r="F431" s="5" t="e">
        <f>VLOOKUP(B431,'Türkkep Jira'!B:F,5,0)</f>
        <v>#N/A</v>
      </c>
      <c r="G431" t="str">
        <f>IF(IFERROR(VLOOKUP(B431,'Devam Eden Sprint'!B:B,1,0),"-")=B431,"Devam Eden Sprint","-")</f>
        <v>-</v>
      </c>
      <c r="H431" t="str">
        <f>IF(IFERROR(VLOOKUP(B431,'Gelecek Sprint'!B:B,1,0),"-")=B431,"Gelecek Sprint","-")</f>
        <v>-</v>
      </c>
      <c r="I431" t="str">
        <f t="shared" si="12"/>
        <v>Ürün İş Listesi</v>
      </c>
    </row>
    <row r="432" spans="1:10" x14ac:dyDescent="0.25">
      <c r="A432" t="s">
        <v>14</v>
      </c>
      <c r="B432" t="s">
        <v>906</v>
      </c>
      <c r="C432" t="s">
        <v>16</v>
      </c>
      <c r="D432" t="s">
        <v>907</v>
      </c>
      <c r="E432" s="5" t="s">
        <v>53</v>
      </c>
      <c r="F432" s="5" t="e">
        <f>VLOOKUP(B432,'Türkkep Jira'!B:F,5,0)</f>
        <v>#N/A</v>
      </c>
      <c r="G432" t="str">
        <f>IF(IFERROR(VLOOKUP(B432,'Devam Eden Sprint'!B:B,1,0),"-")=B432,"Devam Eden Sprint","-")</f>
        <v>-</v>
      </c>
      <c r="H432" t="str">
        <f>IF(IFERROR(VLOOKUP(B432,'Gelecek Sprint'!B:B,1,0),"-")=B432,"Gelecek Sprint","-")</f>
        <v>-</v>
      </c>
      <c r="I432" t="str">
        <f t="shared" si="12"/>
        <v>Ürün İş Listesi</v>
      </c>
    </row>
    <row r="433" spans="1:10" x14ac:dyDescent="0.25">
      <c r="A433" t="s">
        <v>14</v>
      </c>
      <c r="B433" t="s">
        <v>908</v>
      </c>
      <c r="C433" t="s">
        <v>16</v>
      </c>
      <c r="D433" t="s">
        <v>909</v>
      </c>
      <c r="E433" s="5" t="s">
        <v>53</v>
      </c>
      <c r="F433" s="5" t="e">
        <f>VLOOKUP(B433,'Türkkep Jira'!B:F,5,0)</f>
        <v>#N/A</v>
      </c>
      <c r="G433" t="str">
        <f>IF(IFERROR(VLOOKUP(B433,'Devam Eden Sprint'!B:B,1,0),"-")=B433,"Devam Eden Sprint","-")</f>
        <v>-</v>
      </c>
      <c r="H433" t="str">
        <f>IF(IFERROR(VLOOKUP(B433,'Gelecek Sprint'!B:B,1,0),"-")=B433,"Gelecek Sprint","-")</f>
        <v>-</v>
      </c>
      <c r="I433" t="str">
        <f t="shared" si="12"/>
        <v>Ürün İş Listesi</v>
      </c>
    </row>
    <row r="434" spans="1:10" x14ac:dyDescent="0.25">
      <c r="A434" t="s">
        <v>14</v>
      </c>
      <c r="B434" t="s">
        <v>910</v>
      </c>
      <c r="C434" t="s">
        <v>16</v>
      </c>
      <c r="D434" t="s">
        <v>911</v>
      </c>
      <c r="E434" s="5" t="s">
        <v>127</v>
      </c>
      <c r="F434" s="5" t="e">
        <f>VLOOKUP(B434,'Türkkep Jira'!B:F,5,0)</f>
        <v>#N/A</v>
      </c>
      <c r="G434" t="str">
        <f>IF(IFERROR(VLOOKUP(B434,'Devam Eden Sprint'!B:B,1,0),"-")=B434,"Devam Eden Sprint","-")</f>
        <v>-</v>
      </c>
      <c r="H434" t="str">
        <f>IF(IFERROR(VLOOKUP(B434,'Gelecek Sprint'!B:B,1,0),"-")=B434,"Gelecek Sprint","-")</f>
        <v>-</v>
      </c>
      <c r="I434" t="str">
        <f t="shared" si="12"/>
        <v>Ürün İş Listesi</v>
      </c>
      <c r="J434" s="5">
        <v>5</v>
      </c>
    </row>
    <row r="435" spans="1:10" x14ac:dyDescent="0.25">
      <c r="A435" t="s">
        <v>14</v>
      </c>
      <c r="B435" t="s">
        <v>912</v>
      </c>
      <c r="C435" t="s">
        <v>16</v>
      </c>
      <c r="D435" t="s">
        <v>913</v>
      </c>
      <c r="E435" s="5" t="s">
        <v>127</v>
      </c>
      <c r="F435" s="5" t="e">
        <f>VLOOKUP(B435,'Türkkep Jira'!B:F,5,0)</f>
        <v>#N/A</v>
      </c>
      <c r="G435" t="str">
        <f>IF(IFERROR(VLOOKUP(B435,'Devam Eden Sprint'!B:B,1,0),"-")=B435,"Devam Eden Sprint","-")</f>
        <v>-</v>
      </c>
      <c r="H435" t="str">
        <f>IF(IFERROR(VLOOKUP(B435,'Gelecek Sprint'!B:B,1,0),"-")=B435,"Gelecek Sprint","-")</f>
        <v>-</v>
      </c>
      <c r="I435" t="str">
        <f t="shared" si="12"/>
        <v>Ürün İş Listesi</v>
      </c>
    </row>
    <row r="436" spans="1:10" x14ac:dyDescent="0.25">
      <c r="A436" t="s">
        <v>14</v>
      </c>
      <c r="B436" t="s">
        <v>914</v>
      </c>
      <c r="C436" t="s">
        <v>16</v>
      </c>
      <c r="D436" t="s">
        <v>915</v>
      </c>
      <c r="E436" s="5" t="s">
        <v>127</v>
      </c>
      <c r="F436" s="5" t="e">
        <f>VLOOKUP(B436,'Türkkep Jira'!B:F,5,0)</f>
        <v>#N/A</v>
      </c>
      <c r="G436" t="str">
        <f>IF(IFERROR(VLOOKUP(B436,'Devam Eden Sprint'!B:B,1,0),"-")=B436,"Devam Eden Sprint","-")</f>
        <v>-</v>
      </c>
      <c r="H436" t="str">
        <f>IF(IFERROR(VLOOKUP(B436,'Gelecek Sprint'!B:B,1,0),"-")=B436,"Gelecek Sprint","-")</f>
        <v>-</v>
      </c>
      <c r="I436" t="str">
        <f t="shared" si="12"/>
        <v>Ürün İş Listesi</v>
      </c>
    </row>
    <row r="437" spans="1:10" x14ac:dyDescent="0.25">
      <c r="A437" t="s">
        <v>14</v>
      </c>
      <c r="B437" t="s">
        <v>916</v>
      </c>
      <c r="C437" t="s">
        <v>16</v>
      </c>
      <c r="D437" t="s">
        <v>917</v>
      </c>
      <c r="E437" s="5" t="s">
        <v>127</v>
      </c>
      <c r="F437" s="5" t="e">
        <f>VLOOKUP(B437,'Türkkep Jira'!B:F,5,0)</f>
        <v>#N/A</v>
      </c>
      <c r="G437" t="str">
        <f>IF(IFERROR(VLOOKUP(B437,'Devam Eden Sprint'!B:B,1,0),"-")=B437,"Devam Eden Sprint","-")</f>
        <v>-</v>
      </c>
      <c r="H437" t="str">
        <f>IF(IFERROR(VLOOKUP(B437,'Gelecek Sprint'!B:B,1,0),"-")=B437,"Gelecek Sprint","-")</f>
        <v>-</v>
      </c>
      <c r="I437" t="str">
        <f t="shared" si="12"/>
        <v>Ürün İş Listesi</v>
      </c>
    </row>
    <row r="438" spans="1:10" x14ac:dyDescent="0.25">
      <c r="A438" t="s">
        <v>14</v>
      </c>
      <c r="B438" t="s">
        <v>918</v>
      </c>
      <c r="C438" t="s">
        <v>16</v>
      </c>
      <c r="D438" t="s">
        <v>919</v>
      </c>
      <c r="E438" s="5" t="s">
        <v>127</v>
      </c>
      <c r="F438" s="5" t="e">
        <f>VLOOKUP(B438,'Türkkep Jira'!B:F,5,0)</f>
        <v>#N/A</v>
      </c>
      <c r="G438" t="str">
        <f>IF(IFERROR(VLOOKUP(B438,'Devam Eden Sprint'!B:B,1,0),"-")=B438,"Devam Eden Sprint","-")</f>
        <v>-</v>
      </c>
      <c r="H438" t="str">
        <f>IF(IFERROR(VLOOKUP(B438,'Gelecek Sprint'!B:B,1,0),"-")=B438,"Gelecek Sprint","-")</f>
        <v>-</v>
      </c>
      <c r="I438" t="str">
        <f t="shared" si="12"/>
        <v>Ürün İş Listesi</v>
      </c>
    </row>
    <row r="439" spans="1:10" x14ac:dyDescent="0.25">
      <c r="A439" t="s">
        <v>14</v>
      </c>
      <c r="B439" t="s">
        <v>920</v>
      </c>
      <c r="C439" t="s">
        <v>16</v>
      </c>
      <c r="D439" t="s">
        <v>921</v>
      </c>
      <c r="E439" s="5" t="s">
        <v>127</v>
      </c>
      <c r="F439" s="5" t="e">
        <f>VLOOKUP(B439,'Türkkep Jira'!B:F,5,0)</f>
        <v>#N/A</v>
      </c>
      <c r="G439" t="str">
        <f>IF(IFERROR(VLOOKUP(B439,'Devam Eden Sprint'!B:B,1,0),"-")=B439,"Devam Eden Sprint","-")</f>
        <v>-</v>
      </c>
      <c r="H439" t="str">
        <f>IF(IFERROR(VLOOKUP(B439,'Gelecek Sprint'!B:B,1,0),"-")=B439,"Gelecek Sprint","-")</f>
        <v>-</v>
      </c>
      <c r="I439" t="str">
        <f t="shared" si="12"/>
        <v>Ürün İş Listesi</v>
      </c>
    </row>
    <row r="440" spans="1:10" x14ac:dyDescent="0.25">
      <c r="A440" t="s">
        <v>14</v>
      </c>
      <c r="B440" t="s">
        <v>922</v>
      </c>
      <c r="C440" t="s">
        <v>16</v>
      </c>
      <c r="D440" t="s">
        <v>923</v>
      </c>
      <c r="E440" s="5" t="s">
        <v>127</v>
      </c>
      <c r="F440" s="5" t="e">
        <f>VLOOKUP(B440,'Türkkep Jira'!B:F,5,0)</f>
        <v>#N/A</v>
      </c>
      <c r="G440" t="str">
        <f>IF(IFERROR(VLOOKUP(B440,'Devam Eden Sprint'!B:B,1,0),"-")=B440,"Devam Eden Sprint","-")</f>
        <v>-</v>
      </c>
      <c r="H440" t="str">
        <f>IF(IFERROR(VLOOKUP(B440,'Gelecek Sprint'!B:B,1,0),"-")=B440,"Gelecek Sprint","-")</f>
        <v>-</v>
      </c>
      <c r="I440" t="str">
        <f t="shared" si="12"/>
        <v>Ürün İş Listesi</v>
      </c>
    </row>
    <row r="441" spans="1:10" x14ac:dyDescent="0.25">
      <c r="A441" t="s">
        <v>14</v>
      </c>
      <c r="B441" t="s">
        <v>924</v>
      </c>
      <c r="C441" t="s">
        <v>16</v>
      </c>
      <c r="D441" t="s">
        <v>925</v>
      </c>
      <c r="E441" s="5" t="s">
        <v>127</v>
      </c>
      <c r="F441" s="5" t="e">
        <f>VLOOKUP(B441,'Türkkep Jira'!B:F,5,0)</f>
        <v>#N/A</v>
      </c>
      <c r="G441" t="str">
        <f>IF(IFERROR(VLOOKUP(B441,'Devam Eden Sprint'!B:B,1,0),"-")=B441,"Devam Eden Sprint","-")</f>
        <v>-</v>
      </c>
      <c r="H441" t="str">
        <f>IF(IFERROR(VLOOKUP(B441,'Gelecek Sprint'!B:B,1,0),"-")=B441,"Gelecek Sprint","-")</f>
        <v>-</v>
      </c>
      <c r="I441" t="str">
        <f t="shared" si="12"/>
        <v>Ürün İş Listesi</v>
      </c>
    </row>
    <row r="442" spans="1:10" x14ac:dyDescent="0.25">
      <c r="A442" t="s">
        <v>14</v>
      </c>
      <c r="B442" t="s">
        <v>926</v>
      </c>
      <c r="C442" t="s">
        <v>16</v>
      </c>
      <c r="D442" t="s">
        <v>927</v>
      </c>
      <c r="E442" s="5" t="s">
        <v>124</v>
      </c>
      <c r="F442" s="5" t="e">
        <f>VLOOKUP(B442,'Türkkep Jira'!B:F,5,0)</f>
        <v>#N/A</v>
      </c>
      <c r="G442" t="str">
        <f>IF(IFERROR(VLOOKUP(B442,'Devam Eden Sprint'!B:B,1,0),"-")=B442,"Devam Eden Sprint","-")</f>
        <v>-</v>
      </c>
      <c r="H442" t="str">
        <f>IF(IFERROR(VLOOKUP(B442,'Gelecek Sprint'!B:B,1,0),"-")=B442,"Gelecek Sprint","-")</f>
        <v>-</v>
      </c>
      <c r="I442" t="str">
        <f t="shared" si="12"/>
        <v>Ürün İş Listesi</v>
      </c>
    </row>
    <row r="443" spans="1:10" x14ac:dyDescent="0.25">
      <c r="A443" t="s">
        <v>14</v>
      </c>
      <c r="B443" t="s">
        <v>928</v>
      </c>
      <c r="C443" t="s">
        <v>16</v>
      </c>
      <c r="D443" t="s">
        <v>929</v>
      </c>
      <c r="E443" s="5" t="s">
        <v>124</v>
      </c>
      <c r="F443" s="5" t="e">
        <f>VLOOKUP(B443,'Türkkep Jira'!B:F,5,0)</f>
        <v>#N/A</v>
      </c>
      <c r="G443" t="str">
        <f>IF(IFERROR(VLOOKUP(B443,'Devam Eden Sprint'!B:B,1,0),"-")=B443,"Devam Eden Sprint","-")</f>
        <v>-</v>
      </c>
      <c r="H443" t="str">
        <f>IF(IFERROR(VLOOKUP(B443,'Gelecek Sprint'!B:B,1,0),"-")=B443,"Gelecek Sprint","-")</f>
        <v>-</v>
      </c>
      <c r="I443" t="str">
        <f t="shared" si="12"/>
        <v>Ürün İş Listesi</v>
      </c>
    </row>
    <row r="444" spans="1:10" x14ac:dyDescent="0.25">
      <c r="A444" t="s">
        <v>14</v>
      </c>
      <c r="B444" t="s">
        <v>930</v>
      </c>
      <c r="C444" t="s">
        <v>16</v>
      </c>
      <c r="D444" t="s">
        <v>931</v>
      </c>
      <c r="E444" s="5" t="s">
        <v>124</v>
      </c>
      <c r="F444" s="5" t="e">
        <f>VLOOKUP(B444,'Türkkep Jira'!B:F,5,0)</f>
        <v>#N/A</v>
      </c>
      <c r="G444" t="str">
        <f>IF(IFERROR(VLOOKUP(B444,'Devam Eden Sprint'!B:B,1,0),"-")=B444,"Devam Eden Sprint","-")</f>
        <v>-</v>
      </c>
      <c r="H444" t="str">
        <f>IF(IFERROR(VLOOKUP(B444,'Gelecek Sprint'!B:B,1,0),"-")=B444,"Gelecek Sprint","-")</f>
        <v>-</v>
      </c>
      <c r="I444" t="str">
        <f t="shared" si="12"/>
        <v>Ürün İş Listesi</v>
      </c>
    </row>
    <row r="445" spans="1:10" x14ac:dyDescent="0.25">
      <c r="A445" t="s">
        <v>14</v>
      </c>
      <c r="B445" t="s">
        <v>932</v>
      </c>
      <c r="C445" t="s">
        <v>16</v>
      </c>
      <c r="D445" t="s">
        <v>933</v>
      </c>
      <c r="E445" s="5" t="s">
        <v>124</v>
      </c>
      <c r="F445" s="5" t="e">
        <f>VLOOKUP(B445,'Türkkep Jira'!B:F,5,0)</f>
        <v>#N/A</v>
      </c>
      <c r="G445" t="str">
        <f>IF(IFERROR(VLOOKUP(B445,'Devam Eden Sprint'!B:B,1,0),"-")=B445,"Devam Eden Sprint","-")</f>
        <v>-</v>
      </c>
      <c r="H445" t="str">
        <f>IF(IFERROR(VLOOKUP(B445,'Gelecek Sprint'!B:B,1,0),"-")=B445,"Gelecek Sprint","-")</f>
        <v>-</v>
      </c>
      <c r="I445" t="str">
        <f t="shared" si="12"/>
        <v>Ürün İş Listesi</v>
      </c>
    </row>
    <row r="446" spans="1:10" x14ac:dyDescent="0.25">
      <c r="A446" t="s">
        <v>14</v>
      </c>
      <c r="B446" t="s">
        <v>934</v>
      </c>
      <c r="C446" t="s">
        <v>16</v>
      </c>
      <c r="D446" t="s">
        <v>935</v>
      </c>
      <c r="E446" s="5" t="s">
        <v>124</v>
      </c>
      <c r="F446" s="5" t="e">
        <f>VLOOKUP(B446,'Türkkep Jira'!B:F,5,0)</f>
        <v>#N/A</v>
      </c>
      <c r="G446" t="str">
        <f>IF(IFERROR(VLOOKUP(B446,'Devam Eden Sprint'!B:B,1,0),"-")=B446,"Devam Eden Sprint","-")</f>
        <v>-</v>
      </c>
      <c r="H446" t="str">
        <f>IF(IFERROR(VLOOKUP(B446,'Gelecek Sprint'!B:B,1,0),"-")=B446,"Gelecek Sprint","-")</f>
        <v>-</v>
      </c>
      <c r="I446" t="str">
        <f t="shared" ref="I446:I486" si="13">IFERROR(IF(AND(G446="Devam Eden Sprint",H446="Gelecek Sprint"),"Devam Eden ve Gelecek Sprint",IF(G446="Devam Eden Sprint","Devam Eden Sprint",IF(H446="Gelecek Sprint","Gelecek Sprint","Ürün İş Listesi"))),"Ürün İş Listesi")</f>
        <v>Ürün İş Listesi</v>
      </c>
    </row>
    <row r="447" spans="1:10" x14ac:dyDescent="0.25">
      <c r="A447" t="s">
        <v>14</v>
      </c>
      <c r="B447" t="s">
        <v>936</v>
      </c>
      <c r="C447" t="s">
        <v>16</v>
      </c>
      <c r="D447" t="s">
        <v>937</v>
      </c>
      <c r="E447" s="5" t="s">
        <v>124</v>
      </c>
      <c r="F447" s="5" t="e">
        <f>VLOOKUP(B447,'Türkkep Jira'!B:F,5,0)</f>
        <v>#N/A</v>
      </c>
      <c r="G447" t="str">
        <f>IF(IFERROR(VLOOKUP(B447,'Devam Eden Sprint'!B:B,1,0),"-")=B447,"Devam Eden Sprint","-")</f>
        <v>-</v>
      </c>
      <c r="H447" t="str">
        <f>IF(IFERROR(VLOOKUP(B447,'Gelecek Sprint'!B:B,1,0),"-")=B447,"Gelecek Sprint","-")</f>
        <v>-</v>
      </c>
      <c r="I447" t="str">
        <f t="shared" si="13"/>
        <v>Ürün İş Listesi</v>
      </c>
    </row>
    <row r="448" spans="1:10" x14ac:dyDescent="0.25">
      <c r="A448" t="s">
        <v>14</v>
      </c>
      <c r="B448" t="s">
        <v>938</v>
      </c>
      <c r="C448" t="s">
        <v>16</v>
      </c>
      <c r="D448" t="s">
        <v>939</v>
      </c>
      <c r="E448" s="5" t="s">
        <v>124</v>
      </c>
      <c r="F448" s="5" t="e">
        <f>VLOOKUP(B448,'Türkkep Jira'!B:F,5,0)</f>
        <v>#N/A</v>
      </c>
      <c r="G448" t="str">
        <f>IF(IFERROR(VLOOKUP(B448,'Devam Eden Sprint'!B:B,1,0),"-")=B448,"Devam Eden Sprint","-")</f>
        <v>-</v>
      </c>
      <c r="H448" t="str">
        <f>IF(IFERROR(VLOOKUP(B448,'Gelecek Sprint'!B:B,1,0),"-")=B448,"Gelecek Sprint","-")</f>
        <v>-</v>
      </c>
      <c r="I448" t="str">
        <f t="shared" si="13"/>
        <v>Ürün İş Listesi</v>
      </c>
    </row>
    <row r="449" spans="1:10" x14ac:dyDescent="0.25">
      <c r="A449" t="s">
        <v>14</v>
      </c>
      <c r="B449" t="s">
        <v>940</v>
      </c>
      <c r="C449" t="s">
        <v>16</v>
      </c>
      <c r="D449" t="s">
        <v>941</v>
      </c>
      <c r="E449" s="5" t="s">
        <v>124</v>
      </c>
      <c r="F449" s="5" t="e">
        <f>VLOOKUP(B449,'Türkkep Jira'!B:F,5,0)</f>
        <v>#N/A</v>
      </c>
      <c r="G449" t="str">
        <f>IF(IFERROR(VLOOKUP(B449,'Devam Eden Sprint'!B:B,1,0),"-")=B449,"Devam Eden Sprint","-")</f>
        <v>-</v>
      </c>
      <c r="H449" t="str">
        <f>IF(IFERROR(VLOOKUP(B449,'Gelecek Sprint'!B:B,1,0),"-")=B449,"Gelecek Sprint","-")</f>
        <v>-</v>
      </c>
      <c r="I449" t="str">
        <f t="shared" si="13"/>
        <v>Ürün İş Listesi</v>
      </c>
    </row>
    <row r="450" spans="1:10" x14ac:dyDescent="0.25">
      <c r="A450" t="s">
        <v>14</v>
      </c>
      <c r="B450" t="s">
        <v>942</v>
      </c>
      <c r="C450" t="s">
        <v>16</v>
      </c>
      <c r="D450" t="s">
        <v>913</v>
      </c>
      <c r="E450" s="5" t="s">
        <v>542</v>
      </c>
      <c r="F450" s="5" t="e">
        <f>VLOOKUP(B450,'Türkkep Jira'!B:F,5,0)</f>
        <v>#N/A</v>
      </c>
      <c r="G450" t="str">
        <f>IF(IFERROR(VLOOKUP(B450,'Devam Eden Sprint'!B:B,1,0),"-")=B450,"Devam Eden Sprint","-")</f>
        <v>-</v>
      </c>
      <c r="H450" t="str">
        <f>IF(IFERROR(VLOOKUP(B450,'Gelecek Sprint'!B:B,1,0),"-")=B450,"Gelecek Sprint","-")</f>
        <v>-</v>
      </c>
      <c r="I450" t="str">
        <f t="shared" si="13"/>
        <v>Ürün İş Listesi</v>
      </c>
    </row>
    <row r="451" spans="1:10" x14ac:dyDescent="0.25">
      <c r="A451" t="s">
        <v>77</v>
      </c>
      <c r="B451" t="s">
        <v>943</v>
      </c>
      <c r="C451" t="s">
        <v>16</v>
      </c>
      <c r="D451" t="s">
        <v>944</v>
      </c>
      <c r="E451" s="5" t="s">
        <v>56</v>
      </c>
      <c r="F451" s="5" t="e">
        <f>VLOOKUP(B451,'Türkkep Jira'!B:F,5,0)</f>
        <v>#N/A</v>
      </c>
      <c r="G451" t="str">
        <f>IF(IFERROR(VLOOKUP(B451,'Devam Eden Sprint'!B:B,1,0),"-")=B451,"Devam Eden Sprint","-")</f>
        <v>-</v>
      </c>
      <c r="H451" t="str">
        <f>IF(IFERROR(VLOOKUP(B451,'Gelecek Sprint'!B:B,1,0),"-")=B451,"Gelecek Sprint","-")</f>
        <v>-</v>
      </c>
      <c r="I451" t="str">
        <f t="shared" si="13"/>
        <v>Ürün İş Listesi</v>
      </c>
      <c r="J451" s="5">
        <v>3</v>
      </c>
    </row>
    <row r="452" spans="1:10" x14ac:dyDescent="0.25">
      <c r="A452" t="s">
        <v>77</v>
      </c>
      <c r="B452" t="s">
        <v>945</v>
      </c>
      <c r="C452" t="s">
        <v>16</v>
      </c>
      <c r="D452" t="s">
        <v>946</v>
      </c>
      <c r="E452" s="5" t="s">
        <v>56</v>
      </c>
      <c r="F452" s="5" t="e">
        <f>VLOOKUP(B452,'Türkkep Jira'!B:F,5,0)</f>
        <v>#N/A</v>
      </c>
      <c r="G452" t="str">
        <f>IF(IFERROR(VLOOKUP(B452,'Devam Eden Sprint'!B:B,1,0),"-")=B452,"Devam Eden Sprint","-")</f>
        <v>-</v>
      </c>
      <c r="H452" t="str">
        <f>IF(IFERROR(VLOOKUP(B452,'Gelecek Sprint'!B:B,1,0),"-")=B452,"Gelecek Sprint","-")</f>
        <v>-</v>
      </c>
      <c r="I452" t="str">
        <f t="shared" si="13"/>
        <v>Ürün İş Listesi</v>
      </c>
      <c r="J452" s="5">
        <v>3</v>
      </c>
    </row>
    <row r="453" spans="1:10" x14ac:dyDescent="0.25">
      <c r="A453" t="s">
        <v>77</v>
      </c>
      <c r="B453" t="s">
        <v>947</v>
      </c>
      <c r="C453" t="s">
        <v>16</v>
      </c>
      <c r="D453" t="s">
        <v>948</v>
      </c>
      <c r="E453" s="5" t="s">
        <v>56</v>
      </c>
      <c r="F453" s="5" t="e">
        <f>VLOOKUP(B453,'Türkkep Jira'!B:F,5,0)</f>
        <v>#N/A</v>
      </c>
      <c r="G453" t="str">
        <f>IF(IFERROR(VLOOKUP(B453,'Devam Eden Sprint'!B:B,1,0),"-")=B453,"Devam Eden Sprint","-")</f>
        <v>-</v>
      </c>
      <c r="H453" t="str">
        <f>IF(IFERROR(VLOOKUP(B453,'Gelecek Sprint'!B:B,1,0),"-")=B453,"Gelecek Sprint","-")</f>
        <v>-</v>
      </c>
      <c r="I453" t="str">
        <f t="shared" si="13"/>
        <v>Ürün İş Listesi</v>
      </c>
      <c r="J453" s="5">
        <v>3</v>
      </c>
    </row>
    <row r="454" spans="1:10" x14ac:dyDescent="0.25">
      <c r="A454" t="s">
        <v>14</v>
      </c>
      <c r="B454" t="s">
        <v>949</v>
      </c>
      <c r="C454" t="s">
        <v>10</v>
      </c>
      <c r="D454" t="s">
        <v>950</v>
      </c>
      <c r="E454" s="5" t="s">
        <v>47</v>
      </c>
      <c r="F454" s="5" t="e">
        <f>VLOOKUP(B454,'Türkkep Jira'!B:F,5,0)</f>
        <v>#N/A</v>
      </c>
      <c r="G454" t="str">
        <f>IF(IFERROR(VLOOKUP(B454,'Devam Eden Sprint'!B:B,1,0),"-")=B454,"Devam Eden Sprint","-")</f>
        <v>-</v>
      </c>
      <c r="H454" t="str">
        <f>IF(IFERROR(VLOOKUP(B454,'Gelecek Sprint'!B:B,1,0),"-")=B454,"Gelecek Sprint","-")</f>
        <v>-</v>
      </c>
      <c r="I454" t="str">
        <f t="shared" si="13"/>
        <v>Ürün İş Listesi</v>
      </c>
    </row>
    <row r="455" spans="1:10" x14ac:dyDescent="0.25">
      <c r="A455" t="s">
        <v>14</v>
      </c>
      <c r="B455" t="s">
        <v>951</v>
      </c>
      <c r="C455" t="s">
        <v>16</v>
      </c>
      <c r="D455" t="s">
        <v>952</v>
      </c>
      <c r="E455" s="5" t="s">
        <v>47</v>
      </c>
      <c r="F455" s="5" t="e">
        <f>VLOOKUP(B455,'Türkkep Jira'!B:F,5,0)</f>
        <v>#N/A</v>
      </c>
      <c r="G455" t="str">
        <f>IF(IFERROR(VLOOKUP(B455,'Devam Eden Sprint'!B:B,1,0),"-")=B455,"Devam Eden Sprint","-")</f>
        <v>-</v>
      </c>
      <c r="H455" t="str">
        <f>IF(IFERROR(VLOOKUP(B455,'Gelecek Sprint'!B:B,1,0),"-")=B455,"Gelecek Sprint","-")</f>
        <v>-</v>
      </c>
      <c r="I455" t="str">
        <f t="shared" si="13"/>
        <v>Ürün İş Listesi</v>
      </c>
    </row>
    <row r="456" spans="1:10" x14ac:dyDescent="0.25">
      <c r="A456" t="s">
        <v>14</v>
      </c>
      <c r="B456" t="s">
        <v>953</v>
      </c>
      <c r="C456" t="s">
        <v>10</v>
      </c>
      <c r="D456" t="s">
        <v>954</v>
      </c>
      <c r="E456" s="5" t="s">
        <v>47</v>
      </c>
      <c r="F456" s="5" t="e">
        <f>VLOOKUP(B456,'Türkkep Jira'!B:F,5,0)</f>
        <v>#N/A</v>
      </c>
      <c r="G456" t="str">
        <f>IF(IFERROR(VLOOKUP(B456,'Devam Eden Sprint'!B:B,1,0),"-")=B456,"Devam Eden Sprint","-")</f>
        <v>-</v>
      </c>
      <c r="H456" t="str">
        <f>IF(IFERROR(VLOOKUP(B456,'Gelecek Sprint'!B:B,1,0),"-")=B456,"Gelecek Sprint","-")</f>
        <v>-</v>
      </c>
      <c r="I456" t="str">
        <f t="shared" si="13"/>
        <v>Ürün İş Listesi</v>
      </c>
    </row>
    <row r="457" spans="1:10" x14ac:dyDescent="0.25">
      <c r="A457" t="s">
        <v>14</v>
      </c>
      <c r="B457" t="s">
        <v>955</v>
      </c>
      <c r="C457" t="s">
        <v>16</v>
      </c>
      <c r="D457" t="s">
        <v>956</v>
      </c>
      <c r="E457" s="5" t="s">
        <v>47</v>
      </c>
      <c r="F457" s="5" t="e">
        <f>VLOOKUP(B457,'Türkkep Jira'!B:F,5,0)</f>
        <v>#N/A</v>
      </c>
      <c r="G457" t="str">
        <f>IF(IFERROR(VLOOKUP(B457,'Devam Eden Sprint'!B:B,1,0),"-")=B457,"Devam Eden Sprint","-")</f>
        <v>-</v>
      </c>
      <c r="H457" t="str">
        <f>IF(IFERROR(VLOOKUP(B457,'Gelecek Sprint'!B:B,1,0),"-")=B457,"Gelecek Sprint","-")</f>
        <v>-</v>
      </c>
      <c r="I457" t="str">
        <f t="shared" si="13"/>
        <v>Ürün İş Listesi</v>
      </c>
    </row>
    <row r="458" spans="1:10" x14ac:dyDescent="0.25">
      <c r="A458" t="s">
        <v>14</v>
      </c>
      <c r="B458" t="s">
        <v>957</v>
      </c>
      <c r="C458" t="s">
        <v>16</v>
      </c>
      <c r="D458" t="s">
        <v>958</v>
      </c>
      <c r="E458" s="5" t="s">
        <v>47</v>
      </c>
      <c r="F458" s="5" t="e">
        <f>VLOOKUP(B458,'Türkkep Jira'!B:F,5,0)</f>
        <v>#N/A</v>
      </c>
      <c r="G458" t="str">
        <f>IF(IFERROR(VLOOKUP(B458,'Devam Eden Sprint'!B:B,1,0),"-")=B458,"Devam Eden Sprint","-")</f>
        <v>-</v>
      </c>
      <c r="H458" t="str">
        <f>IF(IFERROR(VLOOKUP(B458,'Gelecek Sprint'!B:B,1,0),"-")=B458,"Gelecek Sprint","-")</f>
        <v>-</v>
      </c>
      <c r="I458" t="str">
        <f t="shared" si="13"/>
        <v>Ürün İş Listesi</v>
      </c>
    </row>
    <row r="459" spans="1:10" x14ac:dyDescent="0.25">
      <c r="A459" t="s">
        <v>14</v>
      </c>
      <c r="B459" t="s">
        <v>959</v>
      </c>
      <c r="C459" t="s">
        <v>10</v>
      </c>
      <c r="D459" t="s">
        <v>960</v>
      </c>
      <c r="E459" s="5" t="s">
        <v>47</v>
      </c>
      <c r="F459" s="5" t="e">
        <f>VLOOKUP(B459,'Türkkep Jira'!B:F,5,0)</f>
        <v>#N/A</v>
      </c>
      <c r="G459" t="str">
        <f>IF(IFERROR(VLOOKUP(B459,'Devam Eden Sprint'!B:B,1,0),"-")=B459,"Devam Eden Sprint","-")</f>
        <v>-</v>
      </c>
      <c r="H459" t="str">
        <f>IF(IFERROR(VLOOKUP(B459,'Gelecek Sprint'!B:B,1,0),"-")=B459,"Gelecek Sprint","-")</f>
        <v>-</v>
      </c>
      <c r="I459" t="str">
        <f t="shared" si="13"/>
        <v>Ürün İş Listesi</v>
      </c>
    </row>
    <row r="460" spans="1:10" x14ac:dyDescent="0.25">
      <c r="A460" t="s">
        <v>77</v>
      </c>
      <c r="B460" t="s">
        <v>961</v>
      </c>
      <c r="C460" t="s">
        <v>16</v>
      </c>
      <c r="D460" t="s">
        <v>962</v>
      </c>
      <c r="E460" s="5" t="s">
        <v>136</v>
      </c>
      <c r="F460" s="5" t="e">
        <f>VLOOKUP(B460,'Türkkep Jira'!B:F,5,0)</f>
        <v>#N/A</v>
      </c>
      <c r="G460" t="str">
        <f>IF(IFERROR(VLOOKUP(B460,'Devam Eden Sprint'!B:B,1,0),"-")=B460,"Devam Eden Sprint","-")</f>
        <v>-</v>
      </c>
      <c r="H460" t="str">
        <f>IF(IFERROR(VLOOKUP(B460,'Gelecek Sprint'!B:B,1,0),"-")=B460,"Gelecek Sprint","-")</f>
        <v>-</v>
      </c>
      <c r="I460" t="str">
        <f t="shared" si="13"/>
        <v>Ürün İş Listesi</v>
      </c>
      <c r="J460" s="5">
        <v>3</v>
      </c>
    </row>
    <row r="461" spans="1:10" x14ac:dyDescent="0.25">
      <c r="A461" t="s">
        <v>14</v>
      </c>
      <c r="B461" t="s">
        <v>963</v>
      </c>
      <c r="C461" t="s">
        <v>16</v>
      </c>
      <c r="D461" t="s">
        <v>964</v>
      </c>
      <c r="E461" s="5" t="s">
        <v>136</v>
      </c>
      <c r="F461" s="5" t="e">
        <f>VLOOKUP(B461,'Türkkep Jira'!B:F,5,0)</f>
        <v>#N/A</v>
      </c>
      <c r="G461" t="str">
        <f>IF(IFERROR(VLOOKUP(B461,'Devam Eden Sprint'!B:B,1,0),"-")=B461,"Devam Eden Sprint","-")</f>
        <v>-</v>
      </c>
      <c r="H461" t="str">
        <f>IF(IFERROR(VLOOKUP(B461,'Gelecek Sprint'!B:B,1,0),"-")=B461,"Gelecek Sprint","-")</f>
        <v>-</v>
      </c>
      <c r="I461" t="str">
        <f t="shared" si="13"/>
        <v>Ürün İş Listesi</v>
      </c>
    </row>
    <row r="462" spans="1:10" x14ac:dyDescent="0.25">
      <c r="A462" t="s">
        <v>14</v>
      </c>
      <c r="B462" t="s">
        <v>965</v>
      </c>
      <c r="C462" t="s">
        <v>16</v>
      </c>
      <c r="D462" t="s">
        <v>966</v>
      </c>
      <c r="E462" s="5" t="s">
        <v>136</v>
      </c>
      <c r="F462" s="5" t="e">
        <f>VLOOKUP(B462,'Türkkep Jira'!B:F,5,0)</f>
        <v>#N/A</v>
      </c>
      <c r="G462" t="str">
        <f>IF(IFERROR(VLOOKUP(B462,'Devam Eden Sprint'!B:B,1,0),"-")=B462,"Devam Eden Sprint","-")</f>
        <v>-</v>
      </c>
      <c r="H462" t="str">
        <f>IF(IFERROR(VLOOKUP(B462,'Gelecek Sprint'!B:B,1,0),"-")=B462,"Gelecek Sprint","-")</f>
        <v>-</v>
      </c>
      <c r="I462" t="str">
        <f t="shared" si="13"/>
        <v>Ürün İş Listesi</v>
      </c>
    </row>
    <row r="463" spans="1:10" x14ac:dyDescent="0.25">
      <c r="A463" t="s">
        <v>14</v>
      </c>
      <c r="B463" t="s">
        <v>967</v>
      </c>
      <c r="C463" t="s">
        <v>16</v>
      </c>
      <c r="D463" t="s">
        <v>968</v>
      </c>
      <c r="E463" s="5" t="s">
        <v>41</v>
      </c>
      <c r="F463" s="5" t="e">
        <f>VLOOKUP(B463,'Türkkep Jira'!B:F,5,0)</f>
        <v>#N/A</v>
      </c>
      <c r="G463" t="str">
        <f>IF(IFERROR(VLOOKUP(B463,'Devam Eden Sprint'!B:B,1,0),"-")=B463,"Devam Eden Sprint","-")</f>
        <v>-</v>
      </c>
      <c r="H463" t="str">
        <f>IF(IFERROR(VLOOKUP(B463,'Gelecek Sprint'!B:B,1,0),"-")=B463,"Gelecek Sprint","-")</f>
        <v>-</v>
      </c>
      <c r="I463" t="str">
        <f t="shared" si="13"/>
        <v>Ürün İş Listesi</v>
      </c>
      <c r="J463" s="5">
        <v>2</v>
      </c>
    </row>
    <row r="464" spans="1:10" x14ac:dyDescent="0.25">
      <c r="A464" t="s">
        <v>77</v>
      </c>
      <c r="B464" t="s">
        <v>969</v>
      </c>
      <c r="C464" t="s">
        <v>16</v>
      </c>
      <c r="D464" t="s">
        <v>970</v>
      </c>
      <c r="E464" s="5" t="s">
        <v>41</v>
      </c>
      <c r="F464" s="5" t="e">
        <f>VLOOKUP(B464,'Türkkep Jira'!B:F,5,0)</f>
        <v>#N/A</v>
      </c>
      <c r="G464" t="str">
        <f>IF(IFERROR(VLOOKUP(B464,'Devam Eden Sprint'!B:B,1,0),"-")=B464,"Devam Eden Sprint","-")</f>
        <v>-</v>
      </c>
      <c r="H464" t="str">
        <f>IF(IFERROR(VLOOKUP(B464,'Gelecek Sprint'!B:B,1,0),"-")=B464,"Gelecek Sprint","-")</f>
        <v>-</v>
      </c>
      <c r="I464" t="str">
        <f t="shared" si="13"/>
        <v>Ürün İş Listesi</v>
      </c>
      <c r="J464" s="5">
        <v>1</v>
      </c>
    </row>
    <row r="465" spans="1:10" x14ac:dyDescent="0.25">
      <c r="A465" t="s">
        <v>14</v>
      </c>
      <c r="B465" t="s">
        <v>971</v>
      </c>
      <c r="C465" t="s">
        <v>16</v>
      </c>
      <c r="D465" t="s">
        <v>972</v>
      </c>
      <c r="E465" s="5" t="s">
        <v>38</v>
      </c>
      <c r="F465" s="5" t="e">
        <f>VLOOKUP(B465,'Türkkep Jira'!B:F,5,0)</f>
        <v>#N/A</v>
      </c>
      <c r="G465" t="str">
        <f>IF(IFERROR(VLOOKUP(B465,'Devam Eden Sprint'!B:B,1,0),"-")=B465,"Devam Eden Sprint","-")</f>
        <v>-</v>
      </c>
      <c r="H465" t="str">
        <f>IF(IFERROR(VLOOKUP(B465,'Gelecek Sprint'!B:B,1,0),"-")=B465,"Gelecek Sprint","-")</f>
        <v>-</v>
      </c>
      <c r="I465" t="str">
        <f t="shared" si="13"/>
        <v>Ürün İş Listesi</v>
      </c>
      <c r="J465" s="5">
        <v>5</v>
      </c>
    </row>
    <row r="466" spans="1:10" x14ac:dyDescent="0.25">
      <c r="A466" t="s">
        <v>14</v>
      </c>
      <c r="B466" t="s">
        <v>973</v>
      </c>
      <c r="C466" t="s">
        <v>16</v>
      </c>
      <c r="D466" t="s">
        <v>974</v>
      </c>
      <c r="E466" s="5" t="s">
        <v>133</v>
      </c>
      <c r="F466" s="5" t="e">
        <f>VLOOKUP(B466,'Türkkep Jira'!B:F,5,0)</f>
        <v>#N/A</v>
      </c>
      <c r="G466" t="str">
        <f>IF(IFERROR(VLOOKUP(B466,'Devam Eden Sprint'!B:B,1,0),"-")=B466,"Devam Eden Sprint","-")</f>
        <v>-</v>
      </c>
      <c r="H466" t="str">
        <f>IF(IFERROR(VLOOKUP(B466,'Gelecek Sprint'!B:B,1,0),"-")=B466,"Gelecek Sprint","-")</f>
        <v>-</v>
      </c>
      <c r="I466" t="str">
        <f t="shared" si="13"/>
        <v>Ürün İş Listesi</v>
      </c>
    </row>
    <row r="467" spans="1:10" x14ac:dyDescent="0.25">
      <c r="A467" t="s">
        <v>14</v>
      </c>
      <c r="B467" t="s">
        <v>975</v>
      </c>
      <c r="C467" t="s">
        <v>16</v>
      </c>
      <c r="D467" t="s">
        <v>976</v>
      </c>
      <c r="E467" s="5" t="s">
        <v>133</v>
      </c>
      <c r="F467" s="5" t="e">
        <f>VLOOKUP(B467,'Türkkep Jira'!B:F,5,0)</f>
        <v>#N/A</v>
      </c>
      <c r="G467" t="str">
        <f>IF(IFERROR(VLOOKUP(B467,'Devam Eden Sprint'!B:B,1,0),"-")=B467,"Devam Eden Sprint","-")</f>
        <v>-</v>
      </c>
      <c r="H467" t="str">
        <f>IF(IFERROR(VLOOKUP(B467,'Gelecek Sprint'!B:B,1,0),"-")=B467,"Gelecek Sprint","-")</f>
        <v>-</v>
      </c>
      <c r="I467" t="str">
        <f t="shared" si="13"/>
        <v>Ürün İş Listesi</v>
      </c>
    </row>
    <row r="468" spans="1:10" x14ac:dyDescent="0.25">
      <c r="A468" t="s">
        <v>14</v>
      </c>
      <c r="B468" t="s">
        <v>977</v>
      </c>
      <c r="C468" t="s">
        <v>16</v>
      </c>
      <c r="D468" t="s">
        <v>978</v>
      </c>
      <c r="E468" s="5" t="s">
        <v>133</v>
      </c>
      <c r="F468" s="5" t="e">
        <f>VLOOKUP(B468,'Türkkep Jira'!B:F,5,0)</f>
        <v>#N/A</v>
      </c>
      <c r="G468" t="str">
        <f>IF(IFERROR(VLOOKUP(B468,'Devam Eden Sprint'!B:B,1,0),"-")=B468,"Devam Eden Sprint","-")</f>
        <v>-</v>
      </c>
      <c r="H468" t="str">
        <f>IF(IFERROR(VLOOKUP(B468,'Gelecek Sprint'!B:B,1,0),"-")=B468,"Gelecek Sprint","-")</f>
        <v>-</v>
      </c>
      <c r="I468" t="str">
        <f t="shared" si="13"/>
        <v>Ürün İş Listesi</v>
      </c>
    </row>
    <row r="469" spans="1:10" x14ac:dyDescent="0.25">
      <c r="A469" t="s">
        <v>14</v>
      </c>
      <c r="B469" t="s">
        <v>979</v>
      </c>
      <c r="C469" t="s">
        <v>16</v>
      </c>
      <c r="D469" t="s">
        <v>980</v>
      </c>
      <c r="E469" s="5" t="s">
        <v>133</v>
      </c>
      <c r="F469" s="5" t="e">
        <f>VLOOKUP(B469,'Türkkep Jira'!B:F,5,0)</f>
        <v>#N/A</v>
      </c>
      <c r="G469" t="str">
        <f>IF(IFERROR(VLOOKUP(B469,'Devam Eden Sprint'!B:B,1,0),"-")=B469,"Devam Eden Sprint","-")</f>
        <v>-</v>
      </c>
      <c r="H469" t="str">
        <f>IF(IFERROR(VLOOKUP(B469,'Gelecek Sprint'!B:B,1,0),"-")=B469,"Gelecek Sprint","-")</f>
        <v>-</v>
      </c>
      <c r="I469" t="str">
        <f t="shared" si="13"/>
        <v>Ürün İş Listesi</v>
      </c>
    </row>
    <row r="470" spans="1:10" x14ac:dyDescent="0.25">
      <c r="A470" t="s">
        <v>14</v>
      </c>
      <c r="B470" t="s">
        <v>981</v>
      </c>
      <c r="C470" t="s">
        <v>16</v>
      </c>
      <c r="D470" t="s">
        <v>982</v>
      </c>
      <c r="E470" s="5" t="s">
        <v>133</v>
      </c>
      <c r="F470" s="5" t="e">
        <f>VLOOKUP(B470,'Türkkep Jira'!B:F,5,0)</f>
        <v>#N/A</v>
      </c>
      <c r="G470" t="str">
        <f>IF(IFERROR(VLOOKUP(B470,'Devam Eden Sprint'!B:B,1,0),"-")=B470,"Devam Eden Sprint","-")</f>
        <v>-</v>
      </c>
      <c r="H470" t="str">
        <f>IF(IFERROR(VLOOKUP(B470,'Gelecek Sprint'!B:B,1,0),"-")=B470,"Gelecek Sprint","-")</f>
        <v>-</v>
      </c>
      <c r="I470" t="str">
        <f t="shared" si="13"/>
        <v>Ürün İş Listesi</v>
      </c>
    </row>
    <row r="471" spans="1:10" x14ac:dyDescent="0.25">
      <c r="A471" t="s">
        <v>14</v>
      </c>
      <c r="B471" t="s">
        <v>983</v>
      </c>
      <c r="C471" t="s">
        <v>16</v>
      </c>
      <c r="D471" t="s">
        <v>984</v>
      </c>
      <c r="E471" s="5" t="s">
        <v>133</v>
      </c>
      <c r="F471" s="5" t="e">
        <f>VLOOKUP(B471,'Türkkep Jira'!B:F,5,0)</f>
        <v>#N/A</v>
      </c>
      <c r="G471" t="str">
        <f>IF(IFERROR(VLOOKUP(B471,'Devam Eden Sprint'!B:B,1,0),"-")=B471,"Devam Eden Sprint","-")</f>
        <v>-</v>
      </c>
      <c r="H471" t="str">
        <f>IF(IFERROR(VLOOKUP(B471,'Gelecek Sprint'!B:B,1,0),"-")=B471,"Gelecek Sprint","-")</f>
        <v>-</v>
      </c>
      <c r="I471" t="str">
        <f t="shared" si="13"/>
        <v>Ürün İş Listesi</v>
      </c>
    </row>
    <row r="472" spans="1:10" x14ac:dyDescent="0.25">
      <c r="A472" t="s">
        <v>14</v>
      </c>
      <c r="B472" t="s">
        <v>985</v>
      </c>
      <c r="C472" t="s">
        <v>16</v>
      </c>
      <c r="D472" t="s">
        <v>986</v>
      </c>
      <c r="E472" s="5" t="s">
        <v>133</v>
      </c>
      <c r="F472" s="5" t="e">
        <f>VLOOKUP(B472,'Türkkep Jira'!B:F,5,0)</f>
        <v>#N/A</v>
      </c>
      <c r="G472" t="str">
        <f>IF(IFERROR(VLOOKUP(B472,'Devam Eden Sprint'!B:B,1,0),"-")=B472,"Devam Eden Sprint","-")</f>
        <v>-</v>
      </c>
      <c r="H472" t="str">
        <f>IF(IFERROR(VLOOKUP(B472,'Gelecek Sprint'!B:B,1,0),"-")=B472,"Gelecek Sprint","-")</f>
        <v>-</v>
      </c>
      <c r="I472" t="str">
        <f t="shared" si="13"/>
        <v>Ürün İş Listesi</v>
      </c>
    </row>
    <row r="473" spans="1:10" x14ac:dyDescent="0.25">
      <c r="A473" t="s">
        <v>14</v>
      </c>
      <c r="B473" t="s">
        <v>987</v>
      </c>
      <c r="C473" t="s">
        <v>16</v>
      </c>
      <c r="D473" t="s">
        <v>988</v>
      </c>
      <c r="E473" s="5" t="s">
        <v>133</v>
      </c>
      <c r="F473" s="5" t="e">
        <f>VLOOKUP(B473,'Türkkep Jira'!B:F,5,0)</f>
        <v>#N/A</v>
      </c>
      <c r="G473" t="str">
        <f>IF(IFERROR(VLOOKUP(B473,'Devam Eden Sprint'!B:B,1,0),"-")=B473,"Devam Eden Sprint","-")</f>
        <v>-</v>
      </c>
      <c r="H473" t="str">
        <f>IF(IFERROR(VLOOKUP(B473,'Gelecek Sprint'!B:B,1,0),"-")=B473,"Gelecek Sprint","-")</f>
        <v>-</v>
      </c>
      <c r="I473" t="str">
        <f t="shared" si="13"/>
        <v>Ürün İş Listesi</v>
      </c>
    </row>
    <row r="474" spans="1:10" x14ac:dyDescent="0.25">
      <c r="A474" t="s">
        <v>14</v>
      </c>
      <c r="B474" t="s">
        <v>989</v>
      </c>
      <c r="C474" t="s">
        <v>16</v>
      </c>
      <c r="D474" t="s">
        <v>990</v>
      </c>
      <c r="E474" s="5" t="s">
        <v>991</v>
      </c>
      <c r="F474" s="5" t="e">
        <f>VLOOKUP(B474,'Türkkep Jira'!B:F,5,0)</f>
        <v>#N/A</v>
      </c>
      <c r="G474" t="str">
        <f>IF(IFERROR(VLOOKUP(B474,'Devam Eden Sprint'!B:B,1,0),"-")=B474,"Devam Eden Sprint","-")</f>
        <v>-</v>
      </c>
      <c r="H474" t="str">
        <f>IF(IFERROR(VLOOKUP(B474,'Gelecek Sprint'!B:B,1,0),"-")=B474,"Gelecek Sprint","-")</f>
        <v>-</v>
      </c>
      <c r="I474" t="str">
        <f t="shared" si="13"/>
        <v>Ürün İş Listesi</v>
      </c>
    </row>
    <row r="475" spans="1:10" x14ac:dyDescent="0.25">
      <c r="A475" t="s">
        <v>14</v>
      </c>
      <c r="B475" t="s">
        <v>992</v>
      </c>
      <c r="C475" t="s">
        <v>16</v>
      </c>
      <c r="D475" t="s">
        <v>993</v>
      </c>
      <c r="E475" s="5" t="s">
        <v>991</v>
      </c>
      <c r="F475" s="5" t="e">
        <f>VLOOKUP(B475,'Türkkep Jira'!B:F,5,0)</f>
        <v>#N/A</v>
      </c>
      <c r="G475" t="str">
        <f>IF(IFERROR(VLOOKUP(B475,'Devam Eden Sprint'!B:B,1,0),"-")=B475,"Devam Eden Sprint","-")</f>
        <v>-</v>
      </c>
      <c r="H475" t="str">
        <f>IF(IFERROR(VLOOKUP(B475,'Gelecek Sprint'!B:B,1,0),"-")=B475,"Gelecek Sprint","-")</f>
        <v>-</v>
      </c>
      <c r="I475" t="str">
        <f t="shared" si="13"/>
        <v>Ürün İş Listesi</v>
      </c>
    </row>
    <row r="476" spans="1:10" x14ac:dyDescent="0.25">
      <c r="A476" t="s">
        <v>14</v>
      </c>
      <c r="B476" t="s">
        <v>994</v>
      </c>
      <c r="C476" t="s">
        <v>16</v>
      </c>
      <c r="D476" t="s">
        <v>995</v>
      </c>
      <c r="E476" s="5" t="s">
        <v>991</v>
      </c>
      <c r="F476" s="5" t="e">
        <f>VLOOKUP(B476,'Türkkep Jira'!B:F,5,0)</f>
        <v>#N/A</v>
      </c>
      <c r="G476" t="str">
        <f>IF(IFERROR(VLOOKUP(B476,'Devam Eden Sprint'!B:B,1,0),"-")=B476,"Devam Eden Sprint","-")</f>
        <v>-</v>
      </c>
      <c r="H476" t="str">
        <f>IF(IFERROR(VLOOKUP(B476,'Gelecek Sprint'!B:B,1,0),"-")=B476,"Gelecek Sprint","-")</f>
        <v>-</v>
      </c>
      <c r="I476" t="str">
        <f t="shared" si="13"/>
        <v>Ürün İş Listesi</v>
      </c>
    </row>
    <row r="477" spans="1:10" x14ac:dyDescent="0.25">
      <c r="A477" t="s">
        <v>14</v>
      </c>
      <c r="B477" t="s">
        <v>996</v>
      </c>
      <c r="C477" t="s">
        <v>16</v>
      </c>
      <c r="D477" t="s">
        <v>997</v>
      </c>
      <c r="E477" s="5" t="s">
        <v>991</v>
      </c>
      <c r="F477" s="5" t="e">
        <f>VLOOKUP(B477,'Türkkep Jira'!B:F,5,0)</f>
        <v>#N/A</v>
      </c>
      <c r="G477" t="str">
        <f>IF(IFERROR(VLOOKUP(B477,'Devam Eden Sprint'!B:B,1,0),"-")=B477,"Devam Eden Sprint","-")</f>
        <v>-</v>
      </c>
      <c r="H477" t="str">
        <f>IF(IFERROR(VLOOKUP(B477,'Gelecek Sprint'!B:B,1,0),"-")=B477,"Gelecek Sprint","-")</f>
        <v>-</v>
      </c>
      <c r="I477" t="str">
        <f t="shared" si="13"/>
        <v>Ürün İş Listesi</v>
      </c>
    </row>
    <row r="478" spans="1:10" x14ac:dyDescent="0.25">
      <c r="A478" t="s">
        <v>14</v>
      </c>
      <c r="B478" t="s">
        <v>998</v>
      </c>
      <c r="C478" t="s">
        <v>16</v>
      </c>
      <c r="D478" t="s">
        <v>999</v>
      </c>
      <c r="E478" s="5" t="s">
        <v>991</v>
      </c>
      <c r="F478" s="5" t="e">
        <f>VLOOKUP(B478,'Türkkep Jira'!B:F,5,0)</f>
        <v>#N/A</v>
      </c>
      <c r="G478" t="str">
        <f>IF(IFERROR(VLOOKUP(B478,'Devam Eden Sprint'!B:B,1,0),"-")=B478,"Devam Eden Sprint","-")</f>
        <v>-</v>
      </c>
      <c r="H478" t="str">
        <f>IF(IFERROR(VLOOKUP(B478,'Gelecek Sprint'!B:B,1,0),"-")=B478,"Gelecek Sprint","-")</f>
        <v>-</v>
      </c>
      <c r="I478" t="str">
        <f t="shared" si="13"/>
        <v>Ürün İş Listesi</v>
      </c>
    </row>
    <row r="479" spans="1:10" x14ac:dyDescent="0.25">
      <c r="A479" t="s">
        <v>14</v>
      </c>
      <c r="B479" t="s">
        <v>1000</v>
      </c>
      <c r="C479" t="s">
        <v>16</v>
      </c>
      <c r="D479" t="s">
        <v>1001</v>
      </c>
      <c r="E479" s="5" t="s">
        <v>991</v>
      </c>
      <c r="F479" s="5" t="e">
        <f>VLOOKUP(B479,'Türkkep Jira'!B:F,5,0)</f>
        <v>#N/A</v>
      </c>
      <c r="G479" t="str">
        <f>IF(IFERROR(VLOOKUP(B479,'Devam Eden Sprint'!B:B,1,0),"-")=B479,"Devam Eden Sprint","-")</f>
        <v>-</v>
      </c>
      <c r="H479" t="str">
        <f>IF(IFERROR(VLOOKUP(B479,'Gelecek Sprint'!B:B,1,0),"-")=B479,"Gelecek Sprint","-")</f>
        <v>-</v>
      </c>
      <c r="I479" t="str">
        <f t="shared" si="13"/>
        <v>Ürün İş Listesi</v>
      </c>
    </row>
    <row r="480" spans="1:10" x14ac:dyDescent="0.25">
      <c r="A480" t="s">
        <v>14</v>
      </c>
      <c r="B480" t="s">
        <v>1002</v>
      </c>
      <c r="C480" t="s">
        <v>16</v>
      </c>
      <c r="D480" t="s">
        <v>1003</v>
      </c>
      <c r="E480" s="5" t="s">
        <v>991</v>
      </c>
      <c r="F480" s="5" t="e">
        <f>VLOOKUP(B480,'Türkkep Jira'!B:F,5,0)</f>
        <v>#N/A</v>
      </c>
      <c r="G480" t="str">
        <f>IF(IFERROR(VLOOKUP(B480,'Devam Eden Sprint'!B:B,1,0),"-")=B480,"Devam Eden Sprint","-")</f>
        <v>-</v>
      </c>
      <c r="H480" t="str">
        <f>IF(IFERROR(VLOOKUP(B480,'Gelecek Sprint'!B:B,1,0),"-")=B480,"Gelecek Sprint","-")</f>
        <v>-</v>
      </c>
      <c r="I480" t="str">
        <f t="shared" si="13"/>
        <v>Ürün İş Listesi</v>
      </c>
    </row>
    <row r="481" spans="1:10" x14ac:dyDescent="0.25">
      <c r="A481" t="s">
        <v>14</v>
      </c>
      <c r="B481" t="s">
        <v>1004</v>
      </c>
      <c r="C481" t="s">
        <v>28</v>
      </c>
      <c r="D481" t="s">
        <v>1005</v>
      </c>
      <c r="E481" s="5" t="s">
        <v>12</v>
      </c>
      <c r="F481" s="5" t="str">
        <f>VLOOKUP(B481,'Türkkep Jira'!B:F,5,0)</f>
        <v>In Test</v>
      </c>
      <c r="G481" t="str">
        <f>IF(IFERROR(VLOOKUP(B481,'Devam Eden Sprint'!B:B,1,0),"-")=B481,"Devam Eden Sprint","-")</f>
        <v>Devam Eden Sprint</v>
      </c>
      <c r="H481" t="str">
        <f>IF(IFERROR(VLOOKUP(B481,'Gelecek Sprint'!B:B,1,0),"-")=B481,"Gelecek Sprint","-")</f>
        <v>Gelecek Sprint</v>
      </c>
      <c r="I481" t="str">
        <f t="shared" si="13"/>
        <v>Devam Eden ve Gelecek Sprint</v>
      </c>
      <c r="J481" s="5">
        <v>5</v>
      </c>
    </row>
    <row r="482" spans="1:10" x14ac:dyDescent="0.25">
      <c r="A482" t="s">
        <v>14</v>
      </c>
      <c r="B482" t="s">
        <v>1006</v>
      </c>
      <c r="C482" t="s">
        <v>16</v>
      </c>
      <c r="D482" t="s">
        <v>1007</v>
      </c>
      <c r="E482" s="5" t="s">
        <v>12</v>
      </c>
      <c r="F482" s="5" t="e">
        <f>VLOOKUP(B482,'Türkkep Jira'!B:F,5,0)</f>
        <v>#N/A</v>
      </c>
      <c r="G482" t="str">
        <f>IF(IFERROR(VLOOKUP(B482,'Devam Eden Sprint'!B:B,1,0),"-")=B482,"Devam Eden Sprint","-")</f>
        <v>-</v>
      </c>
      <c r="H482" t="str">
        <f>IF(IFERROR(VLOOKUP(B482,'Gelecek Sprint'!B:B,1,0),"-")=B482,"Gelecek Sprint","-")</f>
        <v>-</v>
      </c>
      <c r="I482" t="str">
        <f t="shared" si="13"/>
        <v>Ürün İş Listesi</v>
      </c>
      <c r="J482" s="5">
        <v>3</v>
      </c>
    </row>
    <row r="483" spans="1:10" x14ac:dyDescent="0.25">
      <c r="A483" t="s">
        <v>14</v>
      </c>
      <c r="B483" t="s">
        <v>1008</v>
      </c>
      <c r="C483" t="s">
        <v>27</v>
      </c>
      <c r="D483" t="s">
        <v>1009</v>
      </c>
      <c r="E483" s="5" t="s">
        <v>12</v>
      </c>
      <c r="F483" s="5" t="e">
        <f>VLOOKUP(B483,'Türkkep Jira'!B:F,5,0)</f>
        <v>#N/A</v>
      </c>
      <c r="G483" t="str">
        <f>IF(IFERROR(VLOOKUP(B483,'Devam Eden Sprint'!B:B,1,0),"-")=B483,"Devam Eden Sprint","-")</f>
        <v>-</v>
      </c>
      <c r="H483" t="str">
        <f>IF(IFERROR(VLOOKUP(B483,'Gelecek Sprint'!B:B,1,0),"-")=B483,"Gelecek Sprint","-")</f>
        <v>-</v>
      </c>
      <c r="I483" t="str">
        <f t="shared" si="13"/>
        <v>Ürün İş Listesi</v>
      </c>
      <c r="J483" s="5">
        <v>3</v>
      </c>
    </row>
    <row r="484" spans="1:10" x14ac:dyDescent="0.25">
      <c r="A484" t="s">
        <v>14</v>
      </c>
      <c r="B484" t="s">
        <v>1010</v>
      </c>
      <c r="C484" t="s">
        <v>27</v>
      </c>
      <c r="D484" t="s">
        <v>1011</v>
      </c>
      <c r="E484" s="5" t="s">
        <v>12</v>
      </c>
      <c r="F484" s="5" t="e">
        <f>VLOOKUP(B484,'Türkkep Jira'!B:F,5,0)</f>
        <v>#N/A</v>
      </c>
      <c r="G484" t="str">
        <f>IF(IFERROR(VLOOKUP(B484,'Devam Eden Sprint'!B:B,1,0),"-")=B484,"Devam Eden Sprint","-")</f>
        <v>-</v>
      </c>
      <c r="H484" t="str">
        <f>IF(IFERROR(VLOOKUP(B484,'Gelecek Sprint'!B:B,1,0),"-")=B484,"Gelecek Sprint","-")</f>
        <v>-</v>
      </c>
      <c r="I484" t="str">
        <f t="shared" si="13"/>
        <v>Ürün İş Listesi</v>
      </c>
      <c r="J484" s="5">
        <v>5</v>
      </c>
    </row>
    <row r="485" spans="1:10" x14ac:dyDescent="0.25">
      <c r="A485" t="s">
        <v>14</v>
      </c>
      <c r="B485" t="s">
        <v>1012</v>
      </c>
      <c r="C485" t="s">
        <v>16</v>
      </c>
      <c r="D485" t="s">
        <v>1013</v>
      </c>
      <c r="E485" s="5" t="s">
        <v>12</v>
      </c>
      <c r="F485" s="5" t="e">
        <f>VLOOKUP(B485,'Türkkep Jira'!B:F,5,0)</f>
        <v>#N/A</v>
      </c>
      <c r="G485" t="str">
        <f>IF(IFERROR(VLOOKUP(B485,'Devam Eden Sprint'!B:B,1,0),"-")=B485,"Devam Eden Sprint","-")</f>
        <v>-</v>
      </c>
      <c r="H485" t="str">
        <f>IF(IFERROR(VLOOKUP(B485,'Gelecek Sprint'!B:B,1,0),"-")=B485,"Gelecek Sprint","-")</f>
        <v>-</v>
      </c>
      <c r="I485" t="str">
        <f t="shared" si="13"/>
        <v>Ürün İş Listesi</v>
      </c>
      <c r="J485" s="5">
        <v>2</v>
      </c>
    </row>
    <row r="486" spans="1:10" x14ac:dyDescent="0.25">
      <c r="A486" t="s">
        <v>77</v>
      </c>
      <c r="B486" t="s">
        <v>1014</v>
      </c>
      <c r="C486" t="s">
        <v>16</v>
      </c>
      <c r="D486" t="s">
        <v>1015</v>
      </c>
      <c r="E486" s="5" t="s">
        <v>12</v>
      </c>
      <c r="F486" s="5" t="e">
        <f>VLOOKUP(B486,'Türkkep Jira'!B:F,5,0)</f>
        <v>#N/A</v>
      </c>
      <c r="G486" t="str">
        <f>IF(IFERROR(VLOOKUP(B486,'Devam Eden Sprint'!B:B,1,0),"-")=B486,"Devam Eden Sprint","-")</f>
        <v>-</v>
      </c>
      <c r="H486" t="str">
        <f>IF(IFERROR(VLOOKUP(B486,'Gelecek Sprint'!B:B,1,0),"-")=B486,"Gelecek Sprint","-")</f>
        <v>-</v>
      </c>
      <c r="I486" t="str">
        <f t="shared" si="13"/>
        <v>Ürün İş Listesi</v>
      </c>
      <c r="J486" s="5">
        <v>1</v>
      </c>
    </row>
    <row r="487" spans="1:10" x14ac:dyDescent="0.25">
      <c r="A487" t="s">
        <v>14</v>
      </c>
      <c r="B487" t="s">
        <v>1016</v>
      </c>
      <c r="C487" t="s">
        <v>16</v>
      </c>
      <c r="D487" t="s">
        <v>1017</v>
      </c>
      <c r="E487" s="5" t="s">
        <v>44</v>
      </c>
      <c r="F487" s="5" t="e">
        <f>VLOOKUP(B487,'Türkkep Jira'!B:F,5,0)</f>
        <v>#N/A</v>
      </c>
      <c r="G487" t="str">
        <f>IF(IFERROR(VLOOKUP(B487,'Devam Eden Sprint'!B:B,1,0),"-")=B487,"Devam Eden Sprint","-")</f>
        <v>-</v>
      </c>
      <c r="H487" t="str">
        <f>IF(IFERROR(VLOOKUP(B487,'Gelecek Sprint'!B:B,1,0),"-")=B487,"Gelecek Sprint","-")</f>
        <v>-</v>
      </c>
      <c r="I487" t="str">
        <f>IFERROR(IF(AND(G487="Devam Eden Sprint",H487="Gelecek Sprint"),"Devam Eden ve Gelecek Sprint",IF(G487="Devam Eden Sprint","Devam Eden Sprint",IF(H487="Gelecek Sprint","Gelecek Sprint","Ürün İş Listesi"))),"Ürün İş Listesi")</f>
        <v>Ürün İş Listesi</v>
      </c>
      <c r="J487" s="5">
        <v>5</v>
      </c>
    </row>
    <row r="488" spans="1:10" x14ac:dyDescent="0.25">
      <c r="A488" t="s">
        <v>14</v>
      </c>
      <c r="B488" t="s">
        <v>1018</v>
      </c>
      <c r="C488" t="s">
        <v>16</v>
      </c>
      <c r="D488" t="s">
        <v>1019</v>
      </c>
      <c r="E488" s="5" t="s">
        <v>44</v>
      </c>
      <c r="F488" s="5" t="e">
        <f>VLOOKUP(B488,'Türkkep Jira'!B:F,5,0)</f>
        <v>#N/A</v>
      </c>
      <c r="G488" t="str">
        <f>IF(IFERROR(VLOOKUP(B488,'Devam Eden Sprint'!B:B,1,0),"-")=B488,"Devam Eden Sprint","-")</f>
        <v>-</v>
      </c>
      <c r="H488" t="str">
        <f>IF(IFERROR(VLOOKUP(B488,'Gelecek Sprint'!B:B,1,0),"-")=B488,"Gelecek Sprint","-")</f>
        <v>-</v>
      </c>
      <c r="I488" t="str">
        <f>IFERROR(IF(AND(G488="Devam Eden Sprint",H488="Gelecek Sprint"),"Devam Eden ve Gelecek Sprint",IF(G488="Devam Eden Sprint","Devam Eden Sprint",IF(H488="Gelecek Sprint","Gelecek Sprint","Ürün İş Listesi"))),"Ürün İş Listesi")</f>
        <v>Ürün İş Listesi</v>
      </c>
      <c r="J488" s="5">
        <v>3</v>
      </c>
    </row>
    <row r="489" spans="1:10" x14ac:dyDescent="0.25">
      <c r="A489" t="s">
        <v>14</v>
      </c>
      <c r="B489" t="s">
        <v>1020</v>
      </c>
      <c r="C489" t="s">
        <v>16</v>
      </c>
      <c r="D489" t="s">
        <v>332</v>
      </c>
      <c r="E489" s="5" t="s">
        <v>59</v>
      </c>
      <c r="F489" s="5" t="e">
        <f>VLOOKUP(B489,'Türkkep Jira'!B:F,5,0)</f>
        <v>#N/A</v>
      </c>
      <c r="G489" t="str">
        <f>IF(IFERROR(VLOOKUP(B489,'Devam Eden Sprint'!B:B,1,0),"-")=B489,"Devam Eden Sprint","-")</f>
        <v>-</v>
      </c>
      <c r="H489" t="str">
        <f>IF(IFERROR(VLOOKUP(B489,'Gelecek Sprint'!B:B,1,0),"-")=B489,"Gelecek Sprint","-")</f>
        <v>-</v>
      </c>
      <c r="I489" t="str">
        <f t="shared" ref="I489:I552" si="14">IFERROR(IF(AND(G489="Devam Eden Sprint",H489="Gelecek Sprint"),"Devam Eden ve Gelecek Sprint",IF(G489="Devam Eden Sprint","Devam Eden Sprint",IF(H489="Gelecek Sprint","Gelecek Sprint","Ürün İş Listesi"))),"Ürün İş Listesi")</f>
        <v>Ürün İş Listesi</v>
      </c>
      <c r="J489" s="5">
        <v>2</v>
      </c>
    </row>
    <row r="490" spans="1:10" x14ac:dyDescent="0.25">
      <c r="A490" t="s">
        <v>14</v>
      </c>
      <c r="B490" t="s">
        <v>1021</v>
      </c>
      <c r="C490" t="s">
        <v>16</v>
      </c>
      <c r="D490" t="s">
        <v>1022</v>
      </c>
      <c r="E490" s="5" t="s">
        <v>56</v>
      </c>
      <c r="F490" s="5" t="e">
        <f>VLOOKUP(B490,'Türkkep Jira'!B:F,5,0)</f>
        <v>#N/A</v>
      </c>
      <c r="G490" t="str">
        <f>IF(IFERROR(VLOOKUP(B490,'Devam Eden Sprint'!B:B,1,0),"-")=B490,"Devam Eden Sprint","-")</f>
        <v>-</v>
      </c>
      <c r="H490" t="str">
        <f>IF(IFERROR(VLOOKUP(B490,'Gelecek Sprint'!B:B,1,0),"-")=B490,"Gelecek Sprint","-")</f>
        <v>-</v>
      </c>
      <c r="I490" t="str">
        <f t="shared" si="14"/>
        <v>Ürün İş Listesi</v>
      </c>
      <c r="J490" s="5">
        <v>5</v>
      </c>
    </row>
    <row r="491" spans="1:10" x14ac:dyDescent="0.25">
      <c r="A491" t="s">
        <v>14</v>
      </c>
      <c r="B491" t="s">
        <v>1023</v>
      </c>
      <c r="C491" t="s">
        <v>10</v>
      </c>
      <c r="D491" t="s">
        <v>1024</v>
      </c>
      <c r="E491" s="5" t="s">
        <v>56</v>
      </c>
      <c r="F491" s="5" t="e">
        <f>VLOOKUP(B491,'Türkkep Jira'!B:F,5,0)</f>
        <v>#N/A</v>
      </c>
      <c r="G491" t="str">
        <f>IF(IFERROR(VLOOKUP(B491,'Devam Eden Sprint'!B:B,1,0),"-")=B491,"Devam Eden Sprint","-")</f>
        <v>-</v>
      </c>
      <c r="H491" t="str">
        <f>IF(IFERROR(VLOOKUP(B491,'Gelecek Sprint'!B:B,1,0),"-")=B491,"Gelecek Sprint","-")</f>
        <v>-</v>
      </c>
      <c r="I491" t="str">
        <f t="shared" si="14"/>
        <v>Ürün İş Listesi</v>
      </c>
    </row>
    <row r="492" spans="1:10" x14ac:dyDescent="0.25">
      <c r="A492" t="s">
        <v>14</v>
      </c>
      <c r="B492" t="s">
        <v>1025</v>
      </c>
      <c r="C492" t="s">
        <v>16</v>
      </c>
      <c r="D492" t="s">
        <v>1026</v>
      </c>
      <c r="E492" s="5" t="s">
        <v>56</v>
      </c>
      <c r="F492" s="5" t="e">
        <f>VLOOKUP(B492,'Türkkep Jira'!B:F,5,0)</f>
        <v>#N/A</v>
      </c>
      <c r="G492" t="str">
        <f>IF(IFERROR(VLOOKUP(B492,'Devam Eden Sprint'!B:B,1,0),"-")=B492,"Devam Eden Sprint","-")</f>
        <v>-</v>
      </c>
      <c r="H492" t="str">
        <f>IF(IFERROR(VLOOKUP(B492,'Gelecek Sprint'!B:B,1,0),"-")=B492,"Gelecek Sprint","-")</f>
        <v>-</v>
      </c>
      <c r="I492" t="str">
        <f t="shared" si="14"/>
        <v>Ürün İş Listesi</v>
      </c>
      <c r="J492" s="5">
        <v>3</v>
      </c>
    </row>
    <row r="493" spans="1:10" x14ac:dyDescent="0.25">
      <c r="A493" t="s">
        <v>14</v>
      </c>
      <c r="B493" t="s">
        <v>1027</v>
      </c>
      <c r="C493" t="s">
        <v>16</v>
      </c>
      <c r="D493" t="s">
        <v>1028</v>
      </c>
      <c r="E493" s="5" t="s">
        <v>56</v>
      </c>
      <c r="F493" s="5" t="e">
        <f>VLOOKUP(B493,'Türkkep Jira'!B:F,5,0)</f>
        <v>#N/A</v>
      </c>
      <c r="G493" t="str">
        <f>IF(IFERROR(VLOOKUP(B493,'Devam Eden Sprint'!B:B,1,0),"-")=B493,"Devam Eden Sprint","-")</f>
        <v>-</v>
      </c>
      <c r="H493" t="str">
        <f>IF(IFERROR(VLOOKUP(B493,'Gelecek Sprint'!B:B,1,0),"-")=B493,"Gelecek Sprint","-")</f>
        <v>-</v>
      </c>
      <c r="I493" t="str">
        <f t="shared" si="14"/>
        <v>Ürün İş Listesi</v>
      </c>
      <c r="J493" s="5">
        <v>5</v>
      </c>
    </row>
    <row r="494" spans="1:10" x14ac:dyDescent="0.25">
      <c r="A494" t="s">
        <v>14</v>
      </c>
      <c r="B494" t="s">
        <v>1029</v>
      </c>
      <c r="C494" t="s">
        <v>16</v>
      </c>
      <c r="D494" t="s">
        <v>1030</v>
      </c>
      <c r="E494" s="5" t="s">
        <v>56</v>
      </c>
      <c r="F494" s="5" t="e">
        <f>VLOOKUP(B494,'Türkkep Jira'!B:F,5,0)</f>
        <v>#N/A</v>
      </c>
      <c r="G494" t="str">
        <f>IF(IFERROR(VLOOKUP(B494,'Devam Eden Sprint'!B:B,1,0),"-")=B494,"Devam Eden Sprint","-")</f>
        <v>-</v>
      </c>
      <c r="H494" t="str">
        <f>IF(IFERROR(VLOOKUP(B494,'Gelecek Sprint'!B:B,1,0),"-")=B494,"Gelecek Sprint","-")</f>
        <v>-</v>
      </c>
      <c r="I494" t="str">
        <f t="shared" si="14"/>
        <v>Ürün İş Listesi</v>
      </c>
      <c r="J494" s="5">
        <v>3</v>
      </c>
    </row>
    <row r="495" spans="1:10" x14ac:dyDescent="0.25">
      <c r="A495" t="s">
        <v>14</v>
      </c>
      <c r="B495" t="s">
        <v>1031</v>
      </c>
      <c r="C495" t="s">
        <v>16</v>
      </c>
      <c r="D495" t="s">
        <v>1032</v>
      </c>
      <c r="E495" s="5" t="s">
        <v>56</v>
      </c>
      <c r="F495" s="5" t="e">
        <f>VLOOKUP(B495,'Türkkep Jira'!B:F,5,0)</f>
        <v>#N/A</v>
      </c>
      <c r="G495" t="str">
        <f>IF(IFERROR(VLOOKUP(B495,'Devam Eden Sprint'!B:B,1,0),"-")=B495,"Devam Eden Sprint","-")</f>
        <v>-</v>
      </c>
      <c r="H495" t="str">
        <f>IF(IFERROR(VLOOKUP(B495,'Gelecek Sprint'!B:B,1,0),"-")=B495,"Gelecek Sprint","-")</f>
        <v>-</v>
      </c>
      <c r="I495" t="str">
        <f t="shared" si="14"/>
        <v>Ürün İş Listesi</v>
      </c>
      <c r="J495" s="5">
        <v>3</v>
      </c>
    </row>
    <row r="496" spans="1:10" x14ac:dyDescent="0.25">
      <c r="A496" t="s">
        <v>14</v>
      </c>
      <c r="B496" t="s">
        <v>1033</v>
      </c>
      <c r="C496" t="s">
        <v>10</v>
      </c>
      <c r="D496" t="s">
        <v>1034</v>
      </c>
      <c r="E496" s="5" t="s">
        <v>56</v>
      </c>
      <c r="F496" s="5" t="e">
        <f>VLOOKUP(B496,'Türkkep Jira'!B:F,5,0)</f>
        <v>#N/A</v>
      </c>
      <c r="G496" t="str">
        <f>IF(IFERROR(VLOOKUP(B496,'Devam Eden Sprint'!B:B,1,0),"-")=B496,"Devam Eden Sprint","-")</f>
        <v>-</v>
      </c>
      <c r="H496" t="str">
        <f>IF(IFERROR(VLOOKUP(B496,'Gelecek Sprint'!B:B,1,0),"-")=B496,"Gelecek Sprint","-")</f>
        <v>-</v>
      </c>
      <c r="I496" t="str">
        <f t="shared" si="14"/>
        <v>Ürün İş Listesi</v>
      </c>
      <c r="J496" s="5">
        <v>5</v>
      </c>
    </row>
    <row r="497" spans="1:10" x14ac:dyDescent="0.25">
      <c r="A497" t="s">
        <v>77</v>
      </c>
      <c r="B497" t="s">
        <v>1035</v>
      </c>
      <c r="C497" t="s">
        <v>16</v>
      </c>
      <c r="D497" t="s">
        <v>1036</v>
      </c>
      <c r="E497" s="5" t="s">
        <v>56</v>
      </c>
      <c r="F497" s="5" t="e">
        <f>VLOOKUP(B497,'Türkkep Jira'!B:F,5,0)</f>
        <v>#N/A</v>
      </c>
      <c r="G497" t="str">
        <f>IF(IFERROR(VLOOKUP(B497,'Devam Eden Sprint'!B:B,1,0),"-")=B497,"Devam Eden Sprint","-")</f>
        <v>-</v>
      </c>
      <c r="H497" t="str">
        <f>IF(IFERROR(VLOOKUP(B497,'Gelecek Sprint'!B:B,1,0),"-")=B497,"Gelecek Sprint","-")</f>
        <v>-</v>
      </c>
      <c r="I497" t="str">
        <f t="shared" si="14"/>
        <v>Ürün İş Listesi</v>
      </c>
      <c r="J497" s="5">
        <v>3</v>
      </c>
    </row>
    <row r="498" spans="1:10" x14ac:dyDescent="0.25">
      <c r="A498" t="s">
        <v>77</v>
      </c>
      <c r="B498" t="s">
        <v>1037</v>
      </c>
      <c r="C498" t="s">
        <v>16</v>
      </c>
      <c r="D498" t="s">
        <v>1038</v>
      </c>
      <c r="E498" s="5" t="s">
        <v>56</v>
      </c>
      <c r="F498" s="5" t="e">
        <f>VLOOKUP(B498,'Türkkep Jira'!B:F,5,0)</f>
        <v>#N/A</v>
      </c>
      <c r="G498" t="str">
        <f>IF(IFERROR(VLOOKUP(B498,'Devam Eden Sprint'!B:B,1,0),"-")=B498,"Devam Eden Sprint","-")</f>
        <v>-</v>
      </c>
      <c r="H498" t="str">
        <f>IF(IFERROR(VLOOKUP(B498,'Gelecek Sprint'!B:B,1,0),"-")=B498,"Gelecek Sprint","-")</f>
        <v>-</v>
      </c>
      <c r="I498" t="str">
        <f t="shared" si="14"/>
        <v>Ürün İş Listesi</v>
      </c>
      <c r="J498" s="5">
        <v>3</v>
      </c>
    </row>
    <row r="499" spans="1:10" x14ac:dyDescent="0.25">
      <c r="A499" t="s">
        <v>77</v>
      </c>
      <c r="B499" t="s">
        <v>1039</v>
      </c>
      <c r="C499" t="s">
        <v>16</v>
      </c>
      <c r="D499" t="s">
        <v>1040</v>
      </c>
      <c r="E499" s="5" t="s">
        <v>56</v>
      </c>
      <c r="F499" s="5" t="e">
        <f>VLOOKUP(B499,'Türkkep Jira'!B:F,5,0)</f>
        <v>#N/A</v>
      </c>
      <c r="G499" t="str">
        <f>IF(IFERROR(VLOOKUP(B499,'Devam Eden Sprint'!B:B,1,0),"-")=B499,"Devam Eden Sprint","-")</f>
        <v>-</v>
      </c>
      <c r="H499" t="str">
        <f>IF(IFERROR(VLOOKUP(B499,'Gelecek Sprint'!B:B,1,0),"-")=B499,"Gelecek Sprint","-")</f>
        <v>-</v>
      </c>
      <c r="I499" t="str">
        <f t="shared" si="14"/>
        <v>Ürün İş Listesi</v>
      </c>
      <c r="J499" s="5">
        <v>3</v>
      </c>
    </row>
    <row r="500" spans="1:10" x14ac:dyDescent="0.25">
      <c r="A500" t="s">
        <v>77</v>
      </c>
      <c r="B500" t="s">
        <v>1041</v>
      </c>
      <c r="C500" t="s">
        <v>16</v>
      </c>
      <c r="D500" t="s">
        <v>1042</v>
      </c>
      <c r="E500" s="5" t="s">
        <v>56</v>
      </c>
      <c r="F500" s="5" t="e">
        <f>VLOOKUP(B500,'Türkkep Jira'!B:F,5,0)</f>
        <v>#N/A</v>
      </c>
      <c r="G500" t="str">
        <f>IF(IFERROR(VLOOKUP(B500,'Devam Eden Sprint'!B:B,1,0),"-")=B500,"Devam Eden Sprint","-")</f>
        <v>-</v>
      </c>
      <c r="H500" t="str">
        <f>IF(IFERROR(VLOOKUP(B500,'Gelecek Sprint'!B:B,1,0),"-")=B500,"Gelecek Sprint","-")</f>
        <v>-</v>
      </c>
      <c r="I500" t="str">
        <f t="shared" si="14"/>
        <v>Ürün İş Listesi</v>
      </c>
      <c r="J500" s="5">
        <v>2</v>
      </c>
    </row>
    <row r="501" spans="1:10" x14ac:dyDescent="0.25">
      <c r="A501" t="s">
        <v>77</v>
      </c>
      <c r="B501" t="s">
        <v>1043</v>
      </c>
      <c r="C501" t="s">
        <v>16</v>
      </c>
      <c r="D501" t="s">
        <v>1044</v>
      </c>
      <c r="E501" s="5" t="s">
        <v>56</v>
      </c>
      <c r="F501" s="5" t="e">
        <f>VLOOKUP(B501,'Türkkep Jira'!B:F,5,0)</f>
        <v>#N/A</v>
      </c>
      <c r="G501" t="str">
        <f>IF(IFERROR(VLOOKUP(B501,'Devam Eden Sprint'!B:B,1,0),"-")=B501,"Devam Eden Sprint","-")</f>
        <v>-</v>
      </c>
      <c r="H501" t="str">
        <f>IF(IFERROR(VLOOKUP(B501,'Gelecek Sprint'!B:B,1,0),"-")=B501,"Gelecek Sprint","-")</f>
        <v>-</v>
      </c>
      <c r="I501" t="str">
        <f t="shared" si="14"/>
        <v>Ürün İş Listesi</v>
      </c>
      <c r="J501" s="5">
        <v>1</v>
      </c>
    </row>
    <row r="502" spans="1:10" x14ac:dyDescent="0.25">
      <c r="A502" t="s">
        <v>14</v>
      </c>
      <c r="B502" t="s">
        <v>1045</v>
      </c>
      <c r="C502" t="s">
        <v>10</v>
      </c>
      <c r="D502" t="s">
        <v>1046</v>
      </c>
      <c r="E502" s="5" t="s">
        <v>56</v>
      </c>
      <c r="F502" s="5" t="e">
        <f>VLOOKUP(B502,'Türkkep Jira'!B:F,5,0)</f>
        <v>#N/A</v>
      </c>
      <c r="G502" t="str">
        <f>IF(IFERROR(VLOOKUP(B502,'Devam Eden Sprint'!B:B,1,0),"-")=B502,"Devam Eden Sprint","-")</f>
        <v>-</v>
      </c>
      <c r="H502" t="str">
        <f>IF(IFERROR(VLOOKUP(B502,'Gelecek Sprint'!B:B,1,0),"-")=B502,"Gelecek Sprint","-")</f>
        <v>-</v>
      </c>
      <c r="I502" t="str">
        <f t="shared" si="14"/>
        <v>Ürün İş Listesi</v>
      </c>
    </row>
    <row r="503" spans="1:10" x14ac:dyDescent="0.25">
      <c r="A503" t="s">
        <v>77</v>
      </c>
      <c r="B503" t="s">
        <v>1047</v>
      </c>
      <c r="C503" t="s">
        <v>16</v>
      </c>
      <c r="D503" t="s">
        <v>1048</v>
      </c>
      <c r="E503" s="5" t="s">
        <v>56</v>
      </c>
      <c r="F503" s="5" t="e">
        <f>VLOOKUP(B503,'Türkkep Jira'!B:F,5,0)</f>
        <v>#N/A</v>
      </c>
      <c r="G503" t="str">
        <f>IF(IFERROR(VLOOKUP(B503,'Devam Eden Sprint'!B:B,1,0),"-")=B503,"Devam Eden Sprint","-")</f>
        <v>-</v>
      </c>
      <c r="H503" t="str">
        <f>IF(IFERROR(VLOOKUP(B503,'Gelecek Sprint'!B:B,1,0),"-")=B503,"Gelecek Sprint","-")</f>
        <v>-</v>
      </c>
      <c r="I503" t="str">
        <f t="shared" si="14"/>
        <v>Ürün İş Listesi</v>
      </c>
      <c r="J503" s="5">
        <v>2</v>
      </c>
    </row>
    <row r="504" spans="1:10" x14ac:dyDescent="0.25">
      <c r="A504" t="s">
        <v>77</v>
      </c>
      <c r="B504" t="s">
        <v>1049</v>
      </c>
      <c r="C504" t="s">
        <v>16</v>
      </c>
      <c r="D504" t="s">
        <v>1050</v>
      </c>
      <c r="E504" s="5" t="s">
        <v>56</v>
      </c>
      <c r="F504" s="5" t="e">
        <f>VLOOKUP(B504,'Türkkep Jira'!B:F,5,0)</f>
        <v>#N/A</v>
      </c>
      <c r="G504" t="str">
        <f>IF(IFERROR(VLOOKUP(B504,'Devam Eden Sprint'!B:B,1,0),"-")=B504,"Devam Eden Sprint","-")</f>
        <v>-</v>
      </c>
      <c r="H504" t="str">
        <f>IF(IFERROR(VLOOKUP(B504,'Gelecek Sprint'!B:B,1,0),"-")=B504,"Gelecek Sprint","-")</f>
        <v>-</v>
      </c>
      <c r="I504" t="str">
        <f t="shared" si="14"/>
        <v>Ürün İş Listesi</v>
      </c>
      <c r="J504" s="5">
        <v>3</v>
      </c>
    </row>
    <row r="505" spans="1:10" x14ac:dyDescent="0.25">
      <c r="A505" t="s">
        <v>14</v>
      </c>
      <c r="B505" t="s">
        <v>1051</v>
      </c>
      <c r="C505" t="s">
        <v>10</v>
      </c>
      <c r="D505" t="s">
        <v>1052</v>
      </c>
      <c r="E505" s="5" t="s">
        <v>56</v>
      </c>
      <c r="F505" s="5" t="e">
        <f>VLOOKUP(B505,'Türkkep Jira'!B:F,5,0)</f>
        <v>#N/A</v>
      </c>
      <c r="G505" t="str">
        <f>IF(IFERROR(VLOOKUP(B505,'Devam Eden Sprint'!B:B,1,0),"-")=B505,"Devam Eden Sprint","-")</f>
        <v>-</v>
      </c>
      <c r="H505" t="str">
        <f>IF(IFERROR(VLOOKUP(B505,'Gelecek Sprint'!B:B,1,0),"-")=B505,"Gelecek Sprint","-")</f>
        <v>-</v>
      </c>
      <c r="I505" t="str">
        <f t="shared" si="14"/>
        <v>Ürün İş Listesi</v>
      </c>
    </row>
    <row r="506" spans="1:10" x14ac:dyDescent="0.25">
      <c r="A506" t="s">
        <v>14</v>
      </c>
      <c r="B506" t="s">
        <v>1053</v>
      </c>
      <c r="C506" t="s">
        <v>10</v>
      </c>
      <c r="D506" t="s">
        <v>1054</v>
      </c>
      <c r="E506" s="5" t="s">
        <v>56</v>
      </c>
      <c r="F506" s="5" t="e">
        <f>VLOOKUP(B506,'Türkkep Jira'!B:F,5,0)</f>
        <v>#N/A</v>
      </c>
      <c r="G506" t="str">
        <f>IF(IFERROR(VLOOKUP(B506,'Devam Eden Sprint'!B:B,1,0),"-")=B506,"Devam Eden Sprint","-")</f>
        <v>-</v>
      </c>
      <c r="H506" t="str">
        <f>IF(IFERROR(VLOOKUP(B506,'Gelecek Sprint'!B:B,1,0),"-")=B506,"Gelecek Sprint","-")</f>
        <v>-</v>
      </c>
      <c r="I506" t="str">
        <f t="shared" si="14"/>
        <v>Ürün İş Listesi</v>
      </c>
    </row>
    <row r="507" spans="1:10" x14ac:dyDescent="0.25">
      <c r="A507" t="s">
        <v>77</v>
      </c>
      <c r="B507" t="s">
        <v>1055</v>
      </c>
      <c r="C507" t="s">
        <v>16</v>
      </c>
      <c r="D507" t="s">
        <v>1056</v>
      </c>
      <c r="E507" s="5" t="s">
        <v>56</v>
      </c>
      <c r="F507" s="5" t="e">
        <f>VLOOKUP(B507,'Türkkep Jira'!B:F,5,0)</f>
        <v>#N/A</v>
      </c>
      <c r="G507" t="str">
        <f>IF(IFERROR(VLOOKUP(B507,'Devam Eden Sprint'!B:B,1,0),"-")=B507,"Devam Eden Sprint","-")</f>
        <v>-</v>
      </c>
      <c r="H507" t="str">
        <f>IF(IFERROR(VLOOKUP(B507,'Gelecek Sprint'!B:B,1,0),"-")=B507,"Gelecek Sprint","-")</f>
        <v>-</v>
      </c>
      <c r="I507" t="str">
        <f t="shared" si="14"/>
        <v>Ürün İş Listesi</v>
      </c>
      <c r="J507" s="5">
        <v>1</v>
      </c>
    </row>
    <row r="508" spans="1:10" x14ac:dyDescent="0.25">
      <c r="A508" t="s">
        <v>77</v>
      </c>
      <c r="B508" t="s">
        <v>1057</v>
      </c>
      <c r="C508" t="s">
        <v>16</v>
      </c>
      <c r="D508" t="s">
        <v>1058</v>
      </c>
      <c r="E508" s="5" t="s">
        <v>56</v>
      </c>
      <c r="F508" s="5" t="e">
        <f>VLOOKUP(B508,'Türkkep Jira'!B:F,5,0)</f>
        <v>#N/A</v>
      </c>
      <c r="G508" t="str">
        <f>IF(IFERROR(VLOOKUP(B508,'Devam Eden Sprint'!B:B,1,0),"-")=B508,"Devam Eden Sprint","-")</f>
        <v>-</v>
      </c>
      <c r="H508" t="str">
        <f>IF(IFERROR(VLOOKUP(B508,'Gelecek Sprint'!B:B,1,0),"-")=B508,"Gelecek Sprint","-")</f>
        <v>-</v>
      </c>
      <c r="I508" t="str">
        <f t="shared" si="14"/>
        <v>Ürün İş Listesi</v>
      </c>
      <c r="J508" s="5">
        <v>3</v>
      </c>
    </row>
    <row r="509" spans="1:10" x14ac:dyDescent="0.25">
      <c r="A509" t="s">
        <v>77</v>
      </c>
      <c r="B509" t="s">
        <v>1059</v>
      </c>
      <c r="C509" t="s">
        <v>16</v>
      </c>
      <c r="D509" t="s">
        <v>1060</v>
      </c>
      <c r="E509" s="5" t="s">
        <v>56</v>
      </c>
      <c r="F509" s="5" t="e">
        <f>VLOOKUP(B509,'Türkkep Jira'!B:F,5,0)</f>
        <v>#N/A</v>
      </c>
      <c r="G509" t="str">
        <f>IF(IFERROR(VLOOKUP(B509,'Devam Eden Sprint'!B:B,1,0),"-")=B509,"Devam Eden Sprint","-")</f>
        <v>-</v>
      </c>
      <c r="H509" t="str">
        <f>IF(IFERROR(VLOOKUP(B509,'Gelecek Sprint'!B:B,1,0),"-")=B509,"Gelecek Sprint","-")</f>
        <v>-</v>
      </c>
      <c r="I509" t="str">
        <f t="shared" si="14"/>
        <v>Ürün İş Listesi</v>
      </c>
      <c r="J509" s="5">
        <v>1</v>
      </c>
    </row>
    <row r="510" spans="1:10" x14ac:dyDescent="0.25">
      <c r="A510" t="s">
        <v>14</v>
      </c>
      <c r="B510" t="s">
        <v>1061</v>
      </c>
      <c r="C510" t="s">
        <v>16</v>
      </c>
      <c r="D510" t="s">
        <v>1062</v>
      </c>
      <c r="E510" s="5" t="s">
        <v>56</v>
      </c>
      <c r="F510" s="5" t="e">
        <f>VLOOKUP(B510,'Türkkep Jira'!B:F,5,0)</f>
        <v>#N/A</v>
      </c>
      <c r="G510" t="str">
        <f>IF(IFERROR(VLOOKUP(B510,'Devam Eden Sprint'!B:B,1,0),"-")=B510,"Devam Eden Sprint","-")</f>
        <v>-</v>
      </c>
      <c r="H510" t="str">
        <f>IF(IFERROR(VLOOKUP(B510,'Gelecek Sprint'!B:B,1,0),"-")=B510,"Gelecek Sprint","-")</f>
        <v>-</v>
      </c>
      <c r="I510" t="str">
        <f t="shared" si="14"/>
        <v>Ürün İş Listesi</v>
      </c>
      <c r="J510" s="5">
        <v>3</v>
      </c>
    </row>
    <row r="511" spans="1:10" x14ac:dyDescent="0.25">
      <c r="A511" t="s">
        <v>77</v>
      </c>
      <c r="B511" t="s">
        <v>1063</v>
      </c>
      <c r="C511" t="s">
        <v>16</v>
      </c>
      <c r="D511" t="s">
        <v>1064</v>
      </c>
      <c r="E511" s="5" t="s">
        <v>56</v>
      </c>
      <c r="F511" s="5" t="e">
        <f>VLOOKUP(B511,'Türkkep Jira'!B:F,5,0)</f>
        <v>#N/A</v>
      </c>
      <c r="G511" t="str">
        <f>IF(IFERROR(VLOOKUP(B511,'Devam Eden Sprint'!B:B,1,0),"-")=B511,"Devam Eden Sprint","-")</f>
        <v>-</v>
      </c>
      <c r="H511" t="str">
        <f>IF(IFERROR(VLOOKUP(B511,'Gelecek Sprint'!B:B,1,0),"-")=B511,"Gelecek Sprint","-")</f>
        <v>-</v>
      </c>
      <c r="I511" t="str">
        <f t="shared" si="14"/>
        <v>Ürün İş Listesi</v>
      </c>
      <c r="J511" s="5">
        <v>5</v>
      </c>
    </row>
    <row r="512" spans="1:10" x14ac:dyDescent="0.25">
      <c r="A512" t="s">
        <v>77</v>
      </c>
      <c r="B512" t="s">
        <v>1065</v>
      </c>
      <c r="C512" t="s">
        <v>16</v>
      </c>
      <c r="D512" t="s">
        <v>1066</v>
      </c>
      <c r="E512" s="5" t="s">
        <v>56</v>
      </c>
      <c r="F512" s="5" t="e">
        <f>VLOOKUP(B512,'Türkkep Jira'!B:F,5,0)</f>
        <v>#N/A</v>
      </c>
      <c r="G512" t="str">
        <f>IF(IFERROR(VLOOKUP(B512,'Devam Eden Sprint'!B:B,1,0),"-")=B512,"Devam Eden Sprint","-")</f>
        <v>-</v>
      </c>
      <c r="H512" t="str">
        <f>IF(IFERROR(VLOOKUP(B512,'Gelecek Sprint'!B:B,1,0),"-")=B512,"Gelecek Sprint","-")</f>
        <v>-</v>
      </c>
      <c r="I512" t="str">
        <f t="shared" si="14"/>
        <v>Ürün İş Listesi</v>
      </c>
      <c r="J512" s="5">
        <v>3</v>
      </c>
    </row>
    <row r="513" spans="1:10" x14ac:dyDescent="0.25">
      <c r="A513" t="s">
        <v>77</v>
      </c>
      <c r="B513" t="s">
        <v>1067</v>
      </c>
      <c r="C513" t="s">
        <v>16</v>
      </c>
      <c r="D513" t="s">
        <v>1068</v>
      </c>
      <c r="E513" s="5" t="s">
        <v>56</v>
      </c>
      <c r="F513" s="5" t="e">
        <f>VLOOKUP(B513,'Türkkep Jira'!B:F,5,0)</f>
        <v>#N/A</v>
      </c>
      <c r="G513" t="str">
        <f>IF(IFERROR(VLOOKUP(B513,'Devam Eden Sprint'!B:B,1,0),"-")=B513,"Devam Eden Sprint","-")</f>
        <v>-</v>
      </c>
      <c r="H513" t="str">
        <f>IF(IFERROR(VLOOKUP(B513,'Gelecek Sprint'!B:B,1,0),"-")=B513,"Gelecek Sprint","-")</f>
        <v>-</v>
      </c>
      <c r="I513" t="str">
        <f t="shared" si="14"/>
        <v>Ürün İş Listesi</v>
      </c>
    </row>
    <row r="514" spans="1:10" x14ac:dyDescent="0.25">
      <c r="A514" t="s">
        <v>77</v>
      </c>
      <c r="B514" t="s">
        <v>1069</v>
      </c>
      <c r="C514" t="s">
        <v>16</v>
      </c>
      <c r="D514" t="s">
        <v>1070</v>
      </c>
      <c r="E514" s="5" t="s">
        <v>56</v>
      </c>
      <c r="F514" s="5" t="e">
        <f>VLOOKUP(B514,'Türkkep Jira'!B:F,5,0)</f>
        <v>#N/A</v>
      </c>
      <c r="G514" t="str">
        <f>IF(IFERROR(VLOOKUP(B514,'Devam Eden Sprint'!B:B,1,0),"-")=B514,"Devam Eden Sprint","-")</f>
        <v>-</v>
      </c>
      <c r="H514" t="str">
        <f>IF(IFERROR(VLOOKUP(B514,'Gelecek Sprint'!B:B,1,0),"-")=B514,"Gelecek Sprint","-")</f>
        <v>-</v>
      </c>
      <c r="I514" t="str">
        <f t="shared" si="14"/>
        <v>Ürün İş Listesi</v>
      </c>
    </row>
    <row r="515" spans="1:10" x14ac:dyDescent="0.25">
      <c r="A515" t="s">
        <v>77</v>
      </c>
      <c r="B515" t="s">
        <v>1071</v>
      </c>
      <c r="C515" t="s">
        <v>16</v>
      </c>
      <c r="D515" t="s">
        <v>1072</v>
      </c>
      <c r="E515" s="5" t="s">
        <v>56</v>
      </c>
      <c r="F515" s="5" t="e">
        <f>VLOOKUP(B515,'Türkkep Jira'!B:F,5,0)</f>
        <v>#N/A</v>
      </c>
      <c r="G515" t="str">
        <f>IF(IFERROR(VLOOKUP(B515,'Devam Eden Sprint'!B:B,1,0),"-")=B515,"Devam Eden Sprint","-")</f>
        <v>-</v>
      </c>
      <c r="H515" t="str">
        <f>IF(IFERROR(VLOOKUP(B515,'Gelecek Sprint'!B:B,1,0),"-")=B515,"Gelecek Sprint","-")</f>
        <v>-</v>
      </c>
      <c r="I515" t="str">
        <f t="shared" si="14"/>
        <v>Ürün İş Listesi</v>
      </c>
    </row>
    <row r="516" spans="1:10" x14ac:dyDescent="0.25">
      <c r="A516" t="s">
        <v>14</v>
      </c>
      <c r="B516" t="s">
        <v>1073</v>
      </c>
      <c r="C516" t="s">
        <v>16</v>
      </c>
      <c r="D516" t="s">
        <v>1074</v>
      </c>
      <c r="E516" s="5" t="s">
        <v>47</v>
      </c>
      <c r="F516" s="5" t="e">
        <f>VLOOKUP(B516,'Türkkep Jira'!B:F,5,0)</f>
        <v>#N/A</v>
      </c>
      <c r="G516" t="str">
        <f>IF(IFERROR(VLOOKUP(B516,'Devam Eden Sprint'!B:B,1,0),"-")=B516,"Devam Eden Sprint","-")</f>
        <v>-</v>
      </c>
      <c r="H516" t="str">
        <f>IF(IFERROR(VLOOKUP(B516,'Gelecek Sprint'!B:B,1,0),"-")=B516,"Gelecek Sprint","-")</f>
        <v>-</v>
      </c>
      <c r="I516" t="str">
        <f t="shared" si="14"/>
        <v>Ürün İş Listesi</v>
      </c>
    </row>
    <row r="517" spans="1:10" x14ac:dyDescent="0.25">
      <c r="A517" t="s">
        <v>14</v>
      </c>
      <c r="B517" t="s">
        <v>1075</v>
      </c>
      <c r="C517" t="s">
        <v>16</v>
      </c>
      <c r="D517" t="s">
        <v>1076</v>
      </c>
      <c r="E517" s="5" t="s">
        <v>47</v>
      </c>
      <c r="F517" s="5" t="e">
        <f>VLOOKUP(B517,'Türkkep Jira'!B:F,5,0)</f>
        <v>#N/A</v>
      </c>
      <c r="G517" t="str">
        <f>IF(IFERROR(VLOOKUP(B517,'Devam Eden Sprint'!B:B,1,0),"-")=B517,"Devam Eden Sprint","-")</f>
        <v>-</v>
      </c>
      <c r="H517" t="str">
        <f>IF(IFERROR(VLOOKUP(B517,'Gelecek Sprint'!B:B,1,0),"-")=B517,"Gelecek Sprint","-")</f>
        <v>-</v>
      </c>
      <c r="I517" t="str">
        <f t="shared" si="14"/>
        <v>Ürün İş Listesi</v>
      </c>
    </row>
    <row r="518" spans="1:10" x14ac:dyDescent="0.25">
      <c r="A518" t="s">
        <v>14</v>
      </c>
      <c r="B518" t="s">
        <v>1077</v>
      </c>
      <c r="C518" t="s">
        <v>10</v>
      </c>
      <c r="D518" t="s">
        <v>1078</v>
      </c>
      <c r="E518" s="5" t="s">
        <v>47</v>
      </c>
      <c r="F518" s="5" t="e">
        <f>VLOOKUP(B518,'Türkkep Jira'!B:F,5,0)</f>
        <v>#N/A</v>
      </c>
      <c r="G518" t="str">
        <f>IF(IFERROR(VLOOKUP(B518,'Devam Eden Sprint'!B:B,1,0),"-")=B518,"Devam Eden Sprint","-")</f>
        <v>-</v>
      </c>
      <c r="H518" t="str">
        <f>IF(IFERROR(VLOOKUP(B518,'Gelecek Sprint'!B:B,1,0),"-")=B518,"Gelecek Sprint","-")</f>
        <v>-</v>
      </c>
      <c r="I518" t="str">
        <f t="shared" si="14"/>
        <v>Ürün İş Listesi</v>
      </c>
    </row>
    <row r="519" spans="1:10" x14ac:dyDescent="0.25">
      <c r="A519" t="s">
        <v>14</v>
      </c>
      <c r="B519" t="s">
        <v>1079</v>
      </c>
      <c r="C519" t="s">
        <v>10</v>
      </c>
      <c r="D519" t="s">
        <v>1080</v>
      </c>
      <c r="E519" s="5" t="s">
        <v>991</v>
      </c>
      <c r="F519" s="5" t="e">
        <f>VLOOKUP(B519,'Türkkep Jira'!B:F,5,0)</f>
        <v>#N/A</v>
      </c>
      <c r="G519" t="str">
        <f>IF(IFERROR(VLOOKUP(B519,'Devam Eden Sprint'!B:B,1,0),"-")=B519,"Devam Eden Sprint","-")</f>
        <v>-</v>
      </c>
      <c r="H519" t="str">
        <f>IF(IFERROR(VLOOKUP(B519,'Gelecek Sprint'!B:B,1,0),"-")=B519,"Gelecek Sprint","-")</f>
        <v>-</v>
      </c>
      <c r="I519" t="str">
        <f t="shared" si="14"/>
        <v>Ürün İş Listesi</v>
      </c>
    </row>
    <row r="520" spans="1:10" x14ac:dyDescent="0.25">
      <c r="A520" t="s">
        <v>14</v>
      </c>
      <c r="B520" t="s">
        <v>1081</v>
      </c>
      <c r="C520" t="s">
        <v>16</v>
      </c>
      <c r="D520" t="s">
        <v>1082</v>
      </c>
      <c r="E520" s="5" t="s">
        <v>991</v>
      </c>
      <c r="F520" s="5" t="e">
        <f>VLOOKUP(B520,'Türkkep Jira'!B:F,5,0)</f>
        <v>#N/A</v>
      </c>
      <c r="G520" t="str">
        <f>IF(IFERROR(VLOOKUP(B520,'Devam Eden Sprint'!B:B,1,0),"-")=B520,"Devam Eden Sprint","-")</f>
        <v>-</v>
      </c>
      <c r="H520" t="str">
        <f>IF(IFERROR(VLOOKUP(B520,'Gelecek Sprint'!B:B,1,0),"-")=B520,"Gelecek Sprint","-")</f>
        <v>-</v>
      </c>
      <c r="I520" t="str">
        <f t="shared" si="14"/>
        <v>Ürün İş Listesi</v>
      </c>
    </row>
    <row r="521" spans="1:10" x14ac:dyDescent="0.25">
      <c r="A521" t="s">
        <v>14</v>
      </c>
      <c r="B521" t="s">
        <v>1083</v>
      </c>
      <c r="C521" t="s">
        <v>10</v>
      </c>
      <c r="D521" t="s">
        <v>1084</v>
      </c>
      <c r="E521" s="5" t="s">
        <v>991</v>
      </c>
      <c r="F521" s="5" t="e">
        <f>VLOOKUP(B521,'Türkkep Jira'!B:F,5,0)</f>
        <v>#N/A</v>
      </c>
      <c r="G521" t="str">
        <f>IF(IFERROR(VLOOKUP(B521,'Devam Eden Sprint'!B:B,1,0),"-")=B521,"Devam Eden Sprint","-")</f>
        <v>-</v>
      </c>
      <c r="H521" t="str">
        <f>IF(IFERROR(VLOOKUP(B521,'Gelecek Sprint'!B:B,1,0),"-")=B521,"Gelecek Sprint","-")</f>
        <v>-</v>
      </c>
      <c r="I521" t="str">
        <f t="shared" si="14"/>
        <v>Ürün İş Listesi</v>
      </c>
    </row>
    <row r="522" spans="1:10" x14ac:dyDescent="0.25">
      <c r="A522" t="s">
        <v>14</v>
      </c>
      <c r="B522" t="s">
        <v>1085</v>
      </c>
      <c r="C522" t="s">
        <v>16</v>
      </c>
      <c r="D522" t="s">
        <v>1086</v>
      </c>
      <c r="E522" s="5" t="s">
        <v>991</v>
      </c>
      <c r="F522" s="5" t="e">
        <f>VLOOKUP(B522,'Türkkep Jira'!B:F,5,0)</f>
        <v>#N/A</v>
      </c>
      <c r="G522" t="str">
        <f>IF(IFERROR(VLOOKUP(B522,'Devam Eden Sprint'!B:B,1,0),"-")=B522,"Devam Eden Sprint","-")</f>
        <v>-</v>
      </c>
      <c r="H522" t="str">
        <f>IF(IFERROR(VLOOKUP(B522,'Gelecek Sprint'!B:B,1,0),"-")=B522,"Gelecek Sprint","-")</f>
        <v>-</v>
      </c>
      <c r="I522" t="str">
        <f t="shared" si="14"/>
        <v>Ürün İş Listesi</v>
      </c>
    </row>
    <row r="523" spans="1:10" x14ac:dyDescent="0.25">
      <c r="A523" t="s">
        <v>14</v>
      </c>
      <c r="B523" t="s">
        <v>1087</v>
      </c>
      <c r="C523" t="s">
        <v>16</v>
      </c>
      <c r="D523" t="s">
        <v>1088</v>
      </c>
      <c r="E523" s="5" t="s">
        <v>12</v>
      </c>
      <c r="F523" s="5" t="e">
        <f>VLOOKUP(B523,'Türkkep Jira'!B:F,5,0)</f>
        <v>#N/A</v>
      </c>
      <c r="G523" t="str">
        <f>IF(IFERROR(VLOOKUP(B523,'Devam Eden Sprint'!B:B,1,0),"-")=B523,"Devam Eden Sprint","-")</f>
        <v>-</v>
      </c>
      <c r="H523" t="str">
        <f>IF(IFERROR(VLOOKUP(B523,'Gelecek Sprint'!B:B,1,0),"-")=B523,"Gelecek Sprint","-")</f>
        <v>-</v>
      </c>
      <c r="I523" t="str">
        <f t="shared" si="14"/>
        <v>Ürün İş Listesi</v>
      </c>
      <c r="J523" s="5">
        <v>3</v>
      </c>
    </row>
    <row r="524" spans="1:10" x14ac:dyDescent="0.25">
      <c r="A524" t="s">
        <v>14</v>
      </c>
      <c r="B524" t="s">
        <v>1089</v>
      </c>
      <c r="C524" t="s">
        <v>16</v>
      </c>
      <c r="D524" t="s">
        <v>1090</v>
      </c>
      <c r="E524" s="5" t="s">
        <v>41</v>
      </c>
      <c r="F524" s="5" t="e">
        <f>VLOOKUP(B524,'Türkkep Jira'!B:F,5,0)</f>
        <v>#N/A</v>
      </c>
      <c r="G524" t="str">
        <f>IF(IFERROR(VLOOKUP(B524,'Devam Eden Sprint'!B:B,1,0),"-")=B524,"Devam Eden Sprint","-")</f>
        <v>-</v>
      </c>
      <c r="H524" t="str">
        <f>IF(IFERROR(VLOOKUP(B524,'Gelecek Sprint'!B:B,1,0),"-")=B524,"Gelecek Sprint","-")</f>
        <v>-</v>
      </c>
      <c r="I524" t="str">
        <f t="shared" si="14"/>
        <v>Ürün İş Listesi</v>
      </c>
      <c r="J524" s="5">
        <v>2</v>
      </c>
    </row>
    <row r="525" spans="1:10" x14ac:dyDescent="0.25">
      <c r="A525" t="s">
        <v>14</v>
      </c>
      <c r="B525" t="s">
        <v>1091</v>
      </c>
      <c r="C525" t="s">
        <v>16</v>
      </c>
      <c r="D525" t="s">
        <v>1092</v>
      </c>
      <c r="E525" s="5" t="s">
        <v>41</v>
      </c>
      <c r="F525" s="5" t="e">
        <f>VLOOKUP(B525,'Türkkep Jira'!B:F,5,0)</f>
        <v>#N/A</v>
      </c>
      <c r="G525" t="str">
        <f>IF(IFERROR(VLOOKUP(B525,'Devam Eden Sprint'!B:B,1,0),"-")=B525,"Devam Eden Sprint","-")</f>
        <v>-</v>
      </c>
      <c r="H525" t="str">
        <f>IF(IFERROR(VLOOKUP(B525,'Gelecek Sprint'!B:B,1,0),"-")=B525,"Gelecek Sprint","-")</f>
        <v>-</v>
      </c>
      <c r="I525" t="str">
        <f t="shared" si="14"/>
        <v>Ürün İş Listesi</v>
      </c>
      <c r="J525" s="5">
        <v>2</v>
      </c>
    </row>
    <row r="526" spans="1:10" x14ac:dyDescent="0.25">
      <c r="A526" t="s">
        <v>14</v>
      </c>
      <c r="B526" t="s">
        <v>1093</v>
      </c>
      <c r="C526" t="s">
        <v>16</v>
      </c>
      <c r="D526" t="s">
        <v>1094</v>
      </c>
      <c r="E526" s="5" t="s">
        <v>41</v>
      </c>
      <c r="F526" s="5" t="e">
        <f>VLOOKUP(B526,'Türkkep Jira'!B:F,5,0)</f>
        <v>#N/A</v>
      </c>
      <c r="G526" t="str">
        <f>IF(IFERROR(VLOOKUP(B526,'Devam Eden Sprint'!B:B,1,0),"-")=B526,"Devam Eden Sprint","-")</f>
        <v>-</v>
      </c>
      <c r="H526" t="str">
        <f>IF(IFERROR(VLOOKUP(B526,'Gelecek Sprint'!B:B,1,0),"-")=B526,"Gelecek Sprint","-")</f>
        <v>-</v>
      </c>
      <c r="I526" t="str">
        <f t="shared" si="14"/>
        <v>Ürün İş Listesi</v>
      </c>
      <c r="J526" s="5">
        <v>2</v>
      </c>
    </row>
    <row r="527" spans="1:10" x14ac:dyDescent="0.25">
      <c r="A527" t="s">
        <v>14</v>
      </c>
      <c r="B527" t="s">
        <v>1095</v>
      </c>
      <c r="C527" t="s">
        <v>27</v>
      </c>
      <c r="D527" t="s">
        <v>1096</v>
      </c>
      <c r="E527" s="5" t="s">
        <v>12</v>
      </c>
      <c r="F527" s="5" t="str">
        <f>VLOOKUP(B527,'Türkkep Jira'!B:F,5,0)</f>
        <v>TO TEST</v>
      </c>
      <c r="G527" t="str">
        <f>IF(IFERROR(VLOOKUP(B527,'Devam Eden Sprint'!B:B,1,0),"-")=B527,"Devam Eden Sprint","-")</f>
        <v>Devam Eden Sprint</v>
      </c>
      <c r="H527" t="str">
        <f>IF(IFERROR(VLOOKUP(B527,'Gelecek Sprint'!B:B,1,0),"-")=B527,"Gelecek Sprint","-")</f>
        <v>Gelecek Sprint</v>
      </c>
      <c r="I527" t="str">
        <f t="shared" si="14"/>
        <v>Devam Eden ve Gelecek Sprint</v>
      </c>
      <c r="J527" s="5">
        <v>3</v>
      </c>
    </row>
    <row r="528" spans="1:10" x14ac:dyDescent="0.25">
      <c r="A528" t="s">
        <v>14</v>
      </c>
      <c r="B528" t="s">
        <v>1097</v>
      </c>
      <c r="C528" t="s">
        <v>16</v>
      </c>
      <c r="D528" t="s">
        <v>1098</v>
      </c>
      <c r="E528" s="5" t="s">
        <v>12</v>
      </c>
      <c r="F528" s="5" t="e">
        <f>VLOOKUP(B528,'Türkkep Jira'!B:F,5,0)</f>
        <v>#N/A</v>
      </c>
      <c r="G528" t="str">
        <f>IF(IFERROR(VLOOKUP(B528,'Devam Eden Sprint'!B:B,1,0),"-")=B528,"Devam Eden Sprint","-")</f>
        <v>-</v>
      </c>
      <c r="H528" t="str">
        <f>IF(IFERROR(VLOOKUP(B528,'Gelecek Sprint'!B:B,1,0),"-")=B528,"Gelecek Sprint","-")</f>
        <v>-</v>
      </c>
      <c r="I528" t="str">
        <f t="shared" si="14"/>
        <v>Ürün İş Listesi</v>
      </c>
      <c r="J528" s="5">
        <v>1</v>
      </c>
    </row>
    <row r="529" spans="1:10" x14ac:dyDescent="0.25">
      <c r="A529" t="s">
        <v>77</v>
      </c>
      <c r="B529" t="s">
        <v>1099</v>
      </c>
      <c r="C529" t="s">
        <v>16</v>
      </c>
      <c r="D529" t="s">
        <v>1100</v>
      </c>
      <c r="E529" s="5" t="s">
        <v>53</v>
      </c>
      <c r="F529" s="5" t="e">
        <f>VLOOKUP(B529,'Türkkep Jira'!B:F,5,0)</f>
        <v>#N/A</v>
      </c>
      <c r="G529" t="str">
        <f>IF(IFERROR(VLOOKUP(B529,'Devam Eden Sprint'!B:B,1,0),"-")=B529,"Devam Eden Sprint","-")</f>
        <v>-</v>
      </c>
      <c r="H529" t="str">
        <f>IF(IFERROR(VLOOKUP(B529,'Gelecek Sprint'!B:B,1,0),"-")=B529,"Gelecek Sprint","-")</f>
        <v>-</v>
      </c>
      <c r="I529" t="str">
        <f t="shared" si="14"/>
        <v>Ürün İş Listesi</v>
      </c>
      <c r="J529" s="5">
        <v>2</v>
      </c>
    </row>
    <row r="530" spans="1:10" x14ac:dyDescent="0.25">
      <c r="A530" t="s">
        <v>77</v>
      </c>
      <c r="B530" t="s">
        <v>1101</v>
      </c>
      <c r="C530" t="s">
        <v>16</v>
      </c>
      <c r="D530" t="s">
        <v>1102</v>
      </c>
      <c r="E530" s="5" t="s">
        <v>56</v>
      </c>
      <c r="F530" s="5" t="e">
        <f>VLOOKUP(B530,'Türkkep Jira'!B:F,5,0)</f>
        <v>#N/A</v>
      </c>
      <c r="G530" t="str">
        <f>IF(IFERROR(VLOOKUP(B530,'Devam Eden Sprint'!B:B,1,0),"-")=B530,"Devam Eden Sprint","-")</f>
        <v>-</v>
      </c>
      <c r="H530" t="str">
        <f>IF(IFERROR(VLOOKUP(B530,'Gelecek Sprint'!B:B,1,0),"-")=B530,"Gelecek Sprint","-")</f>
        <v>-</v>
      </c>
      <c r="I530" t="str">
        <f t="shared" si="14"/>
        <v>Ürün İş Listesi</v>
      </c>
      <c r="J530" s="5">
        <v>5</v>
      </c>
    </row>
    <row r="531" spans="1:10" x14ac:dyDescent="0.25">
      <c r="A531" t="s">
        <v>77</v>
      </c>
      <c r="B531" t="s">
        <v>1103</v>
      </c>
      <c r="C531" t="s">
        <v>16</v>
      </c>
      <c r="D531" t="s">
        <v>1104</v>
      </c>
      <c r="E531" s="5" t="s">
        <v>56</v>
      </c>
      <c r="F531" s="5" t="e">
        <f>VLOOKUP(B531,'Türkkep Jira'!B:F,5,0)</f>
        <v>#N/A</v>
      </c>
      <c r="G531" t="str">
        <f>IF(IFERROR(VLOOKUP(B531,'Devam Eden Sprint'!B:B,1,0),"-")=B531,"Devam Eden Sprint","-")</f>
        <v>-</v>
      </c>
      <c r="H531" t="str">
        <f>IF(IFERROR(VLOOKUP(B531,'Gelecek Sprint'!B:B,1,0),"-")=B531,"Gelecek Sprint","-")</f>
        <v>-</v>
      </c>
      <c r="I531" t="str">
        <f t="shared" si="14"/>
        <v>Ürün İş Listesi</v>
      </c>
      <c r="J531" s="5">
        <v>5</v>
      </c>
    </row>
    <row r="532" spans="1:10" x14ac:dyDescent="0.25">
      <c r="A532" t="s">
        <v>77</v>
      </c>
      <c r="B532" t="s">
        <v>1105</v>
      </c>
      <c r="C532" t="s">
        <v>16</v>
      </c>
      <c r="D532" t="s">
        <v>1106</v>
      </c>
      <c r="E532" s="5" t="s">
        <v>56</v>
      </c>
      <c r="F532" s="5" t="e">
        <f>VLOOKUP(B532,'Türkkep Jira'!B:F,5,0)</f>
        <v>#N/A</v>
      </c>
      <c r="G532" t="str">
        <f>IF(IFERROR(VLOOKUP(B532,'Devam Eden Sprint'!B:B,1,0),"-")=B532,"Devam Eden Sprint","-")</f>
        <v>-</v>
      </c>
      <c r="H532" t="str">
        <f>IF(IFERROR(VLOOKUP(B532,'Gelecek Sprint'!B:B,1,0),"-")=B532,"Gelecek Sprint","-")</f>
        <v>-</v>
      </c>
      <c r="I532" t="str">
        <f t="shared" si="14"/>
        <v>Ürün İş Listesi</v>
      </c>
      <c r="J532" s="5">
        <v>3</v>
      </c>
    </row>
    <row r="533" spans="1:10" x14ac:dyDescent="0.25">
      <c r="A533" t="s">
        <v>77</v>
      </c>
      <c r="B533" t="s">
        <v>1107</v>
      </c>
      <c r="C533" t="s">
        <v>16</v>
      </c>
      <c r="D533" t="s">
        <v>1108</v>
      </c>
      <c r="E533" s="5" t="s">
        <v>56</v>
      </c>
      <c r="F533" s="5" t="e">
        <f>VLOOKUP(B533,'Türkkep Jira'!B:F,5,0)</f>
        <v>#N/A</v>
      </c>
      <c r="G533" t="str">
        <f>IF(IFERROR(VLOOKUP(B533,'Devam Eden Sprint'!B:B,1,0),"-")=B533,"Devam Eden Sprint","-")</f>
        <v>-</v>
      </c>
      <c r="H533" t="str">
        <f>IF(IFERROR(VLOOKUP(B533,'Gelecek Sprint'!B:B,1,0),"-")=B533,"Gelecek Sprint","-")</f>
        <v>-</v>
      </c>
      <c r="I533" t="str">
        <f t="shared" si="14"/>
        <v>Ürün İş Listesi</v>
      </c>
      <c r="J533" s="5">
        <v>3</v>
      </c>
    </row>
    <row r="534" spans="1:10" x14ac:dyDescent="0.25">
      <c r="A534" t="s">
        <v>77</v>
      </c>
      <c r="B534" t="s">
        <v>1109</v>
      </c>
      <c r="C534" t="s">
        <v>16</v>
      </c>
      <c r="D534" t="s">
        <v>1110</v>
      </c>
      <c r="E534" s="5" t="s">
        <v>130</v>
      </c>
      <c r="F534" s="5" t="e">
        <f>VLOOKUP(B534,'Türkkep Jira'!B:F,5,0)</f>
        <v>#N/A</v>
      </c>
      <c r="G534" t="str">
        <f>IF(IFERROR(VLOOKUP(B534,'Devam Eden Sprint'!B:B,1,0),"-")=B534,"Devam Eden Sprint","-")</f>
        <v>-</v>
      </c>
      <c r="H534" t="str">
        <f>IF(IFERROR(VLOOKUP(B534,'Gelecek Sprint'!B:B,1,0),"-")=B534,"Gelecek Sprint","-")</f>
        <v>-</v>
      </c>
      <c r="I534" t="str">
        <f t="shared" si="14"/>
        <v>Ürün İş Listesi</v>
      </c>
      <c r="J534" s="5">
        <v>3</v>
      </c>
    </row>
    <row r="535" spans="1:10" x14ac:dyDescent="0.25">
      <c r="A535" t="s">
        <v>77</v>
      </c>
      <c r="B535" t="s">
        <v>1111</v>
      </c>
      <c r="C535" t="s">
        <v>16</v>
      </c>
      <c r="D535" t="s">
        <v>1112</v>
      </c>
      <c r="E535" s="5" t="s">
        <v>542</v>
      </c>
      <c r="F535" s="5" t="e">
        <f>VLOOKUP(B535,'Türkkep Jira'!B:F,5,0)</f>
        <v>#N/A</v>
      </c>
      <c r="G535" t="str">
        <f>IF(IFERROR(VLOOKUP(B535,'Devam Eden Sprint'!B:B,1,0),"-")=B535,"Devam Eden Sprint","-")</f>
        <v>-</v>
      </c>
      <c r="H535" t="str">
        <f>IF(IFERROR(VLOOKUP(B535,'Gelecek Sprint'!B:B,1,0),"-")=B535,"Gelecek Sprint","-")</f>
        <v>-</v>
      </c>
      <c r="I535" t="str">
        <f t="shared" si="14"/>
        <v>Ürün İş Listesi</v>
      </c>
      <c r="J535" s="5">
        <v>3</v>
      </c>
    </row>
    <row r="536" spans="1:10" x14ac:dyDescent="0.25">
      <c r="A536" t="s">
        <v>77</v>
      </c>
      <c r="B536" t="s">
        <v>1113</v>
      </c>
      <c r="C536" t="s">
        <v>16</v>
      </c>
      <c r="D536" t="s">
        <v>1114</v>
      </c>
      <c r="E536" s="5" t="s">
        <v>56</v>
      </c>
      <c r="F536" s="5" t="e">
        <f>VLOOKUP(B536,'Türkkep Jira'!B:F,5,0)</f>
        <v>#N/A</v>
      </c>
      <c r="G536" t="str">
        <f>IF(IFERROR(VLOOKUP(B536,'Devam Eden Sprint'!B:B,1,0),"-")=B536,"Devam Eden Sprint","-")</f>
        <v>-</v>
      </c>
      <c r="H536" t="str">
        <f>IF(IFERROR(VLOOKUP(B536,'Gelecek Sprint'!B:B,1,0),"-")=B536,"Gelecek Sprint","-")</f>
        <v>-</v>
      </c>
      <c r="I536" t="str">
        <f t="shared" si="14"/>
        <v>Ürün İş Listesi</v>
      </c>
      <c r="J536" s="5">
        <v>3</v>
      </c>
    </row>
    <row r="537" spans="1:10" x14ac:dyDescent="0.25">
      <c r="A537" t="s">
        <v>77</v>
      </c>
      <c r="B537" t="s">
        <v>1115</v>
      </c>
      <c r="C537" t="s">
        <v>16</v>
      </c>
      <c r="D537" t="s">
        <v>1116</v>
      </c>
      <c r="E537" s="5" t="s">
        <v>56</v>
      </c>
      <c r="F537" s="5" t="e">
        <f>VLOOKUP(B537,'Türkkep Jira'!B:F,5,0)</f>
        <v>#N/A</v>
      </c>
      <c r="G537" t="str">
        <f>IF(IFERROR(VLOOKUP(B537,'Devam Eden Sprint'!B:B,1,0),"-")=B537,"Devam Eden Sprint","-")</f>
        <v>-</v>
      </c>
      <c r="H537" t="str">
        <f>IF(IFERROR(VLOOKUP(B537,'Gelecek Sprint'!B:B,1,0),"-")=B537,"Gelecek Sprint","-")</f>
        <v>-</v>
      </c>
      <c r="I537" t="str">
        <f t="shared" si="14"/>
        <v>Ürün İş Listesi</v>
      </c>
      <c r="J537" s="5">
        <v>2</v>
      </c>
    </row>
    <row r="538" spans="1:10" x14ac:dyDescent="0.25">
      <c r="A538" t="s">
        <v>77</v>
      </c>
      <c r="B538" t="s">
        <v>1117</v>
      </c>
      <c r="C538" t="s">
        <v>16</v>
      </c>
      <c r="D538" t="s">
        <v>1118</v>
      </c>
      <c r="E538" s="5" t="s">
        <v>50</v>
      </c>
      <c r="F538" s="5" t="e">
        <f>VLOOKUP(B538,'Türkkep Jira'!B:F,5,0)</f>
        <v>#N/A</v>
      </c>
      <c r="G538" t="str">
        <f>IF(IFERROR(VLOOKUP(B538,'Devam Eden Sprint'!B:B,1,0),"-")=B538,"Devam Eden Sprint","-")</f>
        <v>-</v>
      </c>
      <c r="H538" t="str">
        <f>IF(IFERROR(VLOOKUP(B538,'Gelecek Sprint'!B:B,1,0),"-")=B538,"Gelecek Sprint","-")</f>
        <v>-</v>
      </c>
      <c r="I538" t="str">
        <f t="shared" si="14"/>
        <v>Ürün İş Listesi</v>
      </c>
      <c r="J538" s="5">
        <v>3</v>
      </c>
    </row>
    <row r="539" spans="1:10" x14ac:dyDescent="0.25">
      <c r="A539" t="s">
        <v>14</v>
      </c>
      <c r="B539" t="s">
        <v>1119</v>
      </c>
      <c r="C539" t="s">
        <v>16</v>
      </c>
      <c r="D539" t="s">
        <v>1120</v>
      </c>
      <c r="E539" s="5" t="s">
        <v>41</v>
      </c>
      <c r="F539" s="5" t="e">
        <f>VLOOKUP(B539,'Türkkep Jira'!B:F,5,0)</f>
        <v>#N/A</v>
      </c>
      <c r="G539" t="str">
        <f>IF(IFERROR(VLOOKUP(B539,'Devam Eden Sprint'!B:B,1,0),"-")=B539,"Devam Eden Sprint","-")</f>
        <v>-</v>
      </c>
      <c r="H539" t="str">
        <f>IF(IFERROR(VLOOKUP(B539,'Gelecek Sprint'!B:B,1,0),"-")=B539,"Gelecek Sprint","-")</f>
        <v>-</v>
      </c>
      <c r="I539" t="str">
        <f t="shared" si="14"/>
        <v>Ürün İş Listesi</v>
      </c>
      <c r="J539" s="5">
        <v>3</v>
      </c>
    </row>
    <row r="540" spans="1:10" x14ac:dyDescent="0.25">
      <c r="A540" t="s">
        <v>14</v>
      </c>
      <c r="B540" t="s">
        <v>1121</v>
      </c>
      <c r="C540" t="s">
        <v>16</v>
      </c>
      <c r="D540" t="s">
        <v>1122</v>
      </c>
      <c r="E540" s="5" t="s">
        <v>41</v>
      </c>
      <c r="F540" s="5" t="e">
        <f>VLOOKUP(B540,'Türkkep Jira'!B:F,5,0)</f>
        <v>#N/A</v>
      </c>
      <c r="G540" t="str">
        <f>IF(IFERROR(VLOOKUP(B540,'Devam Eden Sprint'!B:B,1,0),"-")=B540,"Devam Eden Sprint","-")</f>
        <v>-</v>
      </c>
      <c r="H540" t="str">
        <f>IF(IFERROR(VLOOKUP(B540,'Gelecek Sprint'!B:B,1,0),"-")=B540,"Gelecek Sprint","-")</f>
        <v>-</v>
      </c>
      <c r="I540" t="str">
        <f t="shared" si="14"/>
        <v>Ürün İş Listesi</v>
      </c>
      <c r="J540" s="5">
        <v>1</v>
      </c>
    </row>
    <row r="541" spans="1:10" x14ac:dyDescent="0.25">
      <c r="A541" t="s">
        <v>14</v>
      </c>
      <c r="B541" t="s">
        <v>1123</v>
      </c>
      <c r="C541" t="s">
        <v>16</v>
      </c>
      <c r="D541" t="s">
        <v>1124</v>
      </c>
      <c r="E541" s="5" t="s">
        <v>38</v>
      </c>
      <c r="F541" s="5" t="e">
        <f>VLOOKUP(B541,'Türkkep Jira'!B:F,5,0)</f>
        <v>#N/A</v>
      </c>
      <c r="G541" t="str">
        <f>IF(IFERROR(VLOOKUP(B541,'Devam Eden Sprint'!B:B,1,0),"-")=B541,"Devam Eden Sprint","-")</f>
        <v>-</v>
      </c>
      <c r="H541" t="str">
        <f>IF(IFERROR(VLOOKUP(B541,'Gelecek Sprint'!B:B,1,0),"-")=B541,"Gelecek Sprint","-")</f>
        <v>-</v>
      </c>
      <c r="I541" t="str">
        <f t="shared" si="14"/>
        <v>Ürün İş Listesi</v>
      </c>
      <c r="J541" s="5">
        <v>2</v>
      </c>
    </row>
    <row r="542" spans="1:10" x14ac:dyDescent="0.25">
      <c r="A542" t="s">
        <v>14</v>
      </c>
      <c r="B542" t="s">
        <v>1125</v>
      </c>
      <c r="C542" t="s">
        <v>16</v>
      </c>
      <c r="D542" t="s">
        <v>1126</v>
      </c>
      <c r="E542" s="5" t="s">
        <v>991</v>
      </c>
      <c r="F542" s="5" t="e">
        <f>VLOOKUP(B542,'Türkkep Jira'!B:F,5,0)</f>
        <v>#N/A</v>
      </c>
      <c r="G542" t="str">
        <f>IF(IFERROR(VLOOKUP(B542,'Devam Eden Sprint'!B:B,1,0),"-")=B542,"Devam Eden Sprint","-")</f>
        <v>-</v>
      </c>
      <c r="H542" t="str">
        <f>IF(IFERROR(VLOOKUP(B542,'Gelecek Sprint'!B:B,1,0),"-")=B542,"Gelecek Sprint","-")</f>
        <v>-</v>
      </c>
      <c r="I542" t="str">
        <f t="shared" si="14"/>
        <v>Ürün İş Listesi</v>
      </c>
    </row>
    <row r="543" spans="1:10" x14ac:dyDescent="0.25">
      <c r="A543" t="s">
        <v>14</v>
      </c>
      <c r="B543" t="s">
        <v>1127</v>
      </c>
      <c r="C543" t="s">
        <v>16</v>
      </c>
      <c r="D543" t="s">
        <v>1128</v>
      </c>
      <c r="E543" s="5" t="s">
        <v>991</v>
      </c>
      <c r="F543" s="5" t="e">
        <f>VLOOKUP(B543,'Türkkep Jira'!B:F,5,0)</f>
        <v>#N/A</v>
      </c>
      <c r="G543" t="str">
        <f>IF(IFERROR(VLOOKUP(B543,'Devam Eden Sprint'!B:B,1,0),"-")=B543,"Devam Eden Sprint","-")</f>
        <v>-</v>
      </c>
      <c r="H543" t="str">
        <f>IF(IFERROR(VLOOKUP(B543,'Gelecek Sprint'!B:B,1,0),"-")=B543,"Gelecek Sprint","-")</f>
        <v>-</v>
      </c>
      <c r="I543" t="str">
        <f t="shared" si="14"/>
        <v>Ürün İş Listesi</v>
      </c>
    </row>
    <row r="544" spans="1:10" x14ac:dyDescent="0.25">
      <c r="A544" t="s">
        <v>14</v>
      </c>
      <c r="B544" t="s">
        <v>1129</v>
      </c>
      <c r="C544" t="s">
        <v>16</v>
      </c>
      <c r="D544" t="s">
        <v>1130</v>
      </c>
      <c r="E544" s="5" t="s">
        <v>991</v>
      </c>
      <c r="F544" s="5" t="e">
        <f>VLOOKUP(B544,'Türkkep Jira'!B:F,5,0)</f>
        <v>#N/A</v>
      </c>
      <c r="G544" t="str">
        <f>IF(IFERROR(VLOOKUP(B544,'Devam Eden Sprint'!B:B,1,0),"-")=B544,"Devam Eden Sprint","-")</f>
        <v>-</v>
      </c>
      <c r="H544" t="str">
        <f>IF(IFERROR(VLOOKUP(B544,'Gelecek Sprint'!B:B,1,0),"-")=B544,"Gelecek Sprint","-")</f>
        <v>-</v>
      </c>
      <c r="I544" t="str">
        <f t="shared" si="14"/>
        <v>Ürün İş Listesi</v>
      </c>
    </row>
    <row r="545" spans="1:10" x14ac:dyDescent="0.25">
      <c r="A545" t="s">
        <v>14</v>
      </c>
      <c r="B545" t="s">
        <v>1131</v>
      </c>
      <c r="C545" t="s">
        <v>16</v>
      </c>
      <c r="D545" t="s">
        <v>1132</v>
      </c>
      <c r="E545" s="5" t="s">
        <v>991</v>
      </c>
      <c r="F545" s="5" t="e">
        <f>VLOOKUP(B545,'Türkkep Jira'!B:F,5,0)</f>
        <v>#N/A</v>
      </c>
      <c r="G545" t="str">
        <f>IF(IFERROR(VLOOKUP(B545,'Devam Eden Sprint'!B:B,1,0),"-")=B545,"Devam Eden Sprint","-")</f>
        <v>-</v>
      </c>
      <c r="H545" t="str">
        <f>IF(IFERROR(VLOOKUP(B545,'Gelecek Sprint'!B:B,1,0),"-")=B545,"Gelecek Sprint","-")</f>
        <v>-</v>
      </c>
      <c r="I545" t="str">
        <f t="shared" si="14"/>
        <v>Ürün İş Listesi</v>
      </c>
    </row>
    <row r="546" spans="1:10" x14ac:dyDescent="0.25">
      <c r="A546" t="s">
        <v>14</v>
      </c>
      <c r="B546" t="s">
        <v>1133</v>
      </c>
      <c r="C546" t="s">
        <v>16</v>
      </c>
      <c r="D546" t="s">
        <v>1134</v>
      </c>
      <c r="E546" s="5" t="s">
        <v>991</v>
      </c>
      <c r="F546" s="5" t="e">
        <f>VLOOKUP(B546,'Türkkep Jira'!B:F,5,0)</f>
        <v>#N/A</v>
      </c>
      <c r="G546" t="str">
        <f>IF(IFERROR(VLOOKUP(B546,'Devam Eden Sprint'!B:B,1,0),"-")=B546,"Devam Eden Sprint","-")</f>
        <v>-</v>
      </c>
      <c r="H546" t="str">
        <f>IF(IFERROR(VLOOKUP(B546,'Gelecek Sprint'!B:B,1,0),"-")=B546,"Gelecek Sprint","-")</f>
        <v>-</v>
      </c>
      <c r="I546" t="str">
        <f t="shared" si="14"/>
        <v>Ürün İş Listesi</v>
      </c>
    </row>
    <row r="547" spans="1:10" x14ac:dyDescent="0.25">
      <c r="A547" t="s">
        <v>14</v>
      </c>
      <c r="B547" t="s">
        <v>1135</v>
      </c>
      <c r="C547" t="s">
        <v>16</v>
      </c>
      <c r="D547" t="s">
        <v>1136</v>
      </c>
      <c r="E547" s="5" t="s">
        <v>991</v>
      </c>
      <c r="F547" s="5" t="e">
        <f>VLOOKUP(B547,'Türkkep Jira'!B:F,5,0)</f>
        <v>#N/A</v>
      </c>
      <c r="G547" t="str">
        <f>IF(IFERROR(VLOOKUP(B547,'Devam Eden Sprint'!B:B,1,0),"-")=B547,"Devam Eden Sprint","-")</f>
        <v>-</v>
      </c>
      <c r="H547" t="str">
        <f>IF(IFERROR(VLOOKUP(B547,'Gelecek Sprint'!B:B,1,0),"-")=B547,"Gelecek Sprint","-")</f>
        <v>-</v>
      </c>
      <c r="I547" t="str">
        <f t="shared" si="14"/>
        <v>Ürün İş Listesi</v>
      </c>
    </row>
    <row r="548" spans="1:10" x14ac:dyDescent="0.25">
      <c r="A548" t="s">
        <v>14</v>
      </c>
      <c r="B548" t="s">
        <v>1137</v>
      </c>
      <c r="C548" t="s">
        <v>10</v>
      </c>
      <c r="D548" t="s">
        <v>1138</v>
      </c>
      <c r="E548" s="5" t="s">
        <v>991</v>
      </c>
      <c r="F548" s="5" t="str">
        <f>VLOOKUP(B548,'Türkkep Jira'!B:F,5,0)</f>
        <v>To Do</v>
      </c>
      <c r="G548" t="str">
        <f>IF(IFERROR(VLOOKUP(B548,'Devam Eden Sprint'!B:B,1,0),"-")=B548,"Devam Eden Sprint","-")</f>
        <v>-</v>
      </c>
      <c r="H548" t="str">
        <f>IF(IFERROR(VLOOKUP(B548,'Gelecek Sprint'!B:B,1,0),"-")=B548,"Gelecek Sprint","-")</f>
        <v>-</v>
      </c>
      <c r="I548" t="str">
        <f t="shared" si="14"/>
        <v>Ürün İş Listesi</v>
      </c>
    </row>
    <row r="549" spans="1:10" x14ac:dyDescent="0.25">
      <c r="A549" t="s">
        <v>14</v>
      </c>
      <c r="B549" t="s">
        <v>1139</v>
      </c>
      <c r="C549" t="s">
        <v>16</v>
      </c>
      <c r="D549" t="s">
        <v>1140</v>
      </c>
      <c r="E549" s="5" t="s">
        <v>991</v>
      </c>
      <c r="F549" s="5" t="e">
        <f>VLOOKUP(B549,'Türkkep Jira'!B:F,5,0)</f>
        <v>#N/A</v>
      </c>
      <c r="G549" t="str">
        <f>IF(IFERROR(VLOOKUP(B549,'Devam Eden Sprint'!B:B,1,0),"-")=B549,"Devam Eden Sprint","-")</f>
        <v>-</v>
      </c>
      <c r="H549" t="str">
        <f>IF(IFERROR(VLOOKUP(B549,'Gelecek Sprint'!B:B,1,0),"-")=B549,"Gelecek Sprint","-")</f>
        <v>-</v>
      </c>
      <c r="I549" t="str">
        <f t="shared" si="14"/>
        <v>Ürün İş Listesi</v>
      </c>
    </row>
    <row r="550" spans="1:10" x14ac:dyDescent="0.25">
      <c r="A550" t="s">
        <v>14</v>
      </c>
      <c r="B550" t="s">
        <v>1141</v>
      </c>
      <c r="C550" t="s">
        <v>16</v>
      </c>
      <c r="D550" t="s">
        <v>1142</v>
      </c>
      <c r="E550" s="5" t="s">
        <v>991</v>
      </c>
      <c r="F550" s="5" t="e">
        <f>VLOOKUP(B550,'Türkkep Jira'!B:F,5,0)</f>
        <v>#N/A</v>
      </c>
      <c r="G550" t="str">
        <f>IF(IFERROR(VLOOKUP(B550,'Devam Eden Sprint'!B:B,1,0),"-")=B550,"Devam Eden Sprint","-")</f>
        <v>-</v>
      </c>
      <c r="H550" t="str">
        <f>IF(IFERROR(VLOOKUP(B550,'Gelecek Sprint'!B:B,1,0),"-")=B550,"Gelecek Sprint","-")</f>
        <v>-</v>
      </c>
      <c r="I550" t="str">
        <f t="shared" si="14"/>
        <v>Ürün İş Listesi</v>
      </c>
    </row>
    <row r="551" spans="1:10" x14ac:dyDescent="0.25">
      <c r="A551" t="s">
        <v>14</v>
      </c>
      <c r="B551" t="s">
        <v>1143</v>
      </c>
      <c r="C551" t="s">
        <v>16</v>
      </c>
      <c r="D551" t="s">
        <v>1144</v>
      </c>
      <c r="E551" s="5" t="s">
        <v>991</v>
      </c>
      <c r="F551" s="5" t="e">
        <f>VLOOKUP(B551,'Türkkep Jira'!B:F,5,0)</f>
        <v>#N/A</v>
      </c>
      <c r="G551" t="str">
        <f>IF(IFERROR(VLOOKUP(B551,'Devam Eden Sprint'!B:B,1,0),"-")=B551,"Devam Eden Sprint","-")</f>
        <v>-</v>
      </c>
      <c r="H551" t="str">
        <f>IF(IFERROR(VLOOKUP(B551,'Gelecek Sprint'!B:B,1,0),"-")=B551,"Gelecek Sprint","-")</f>
        <v>-</v>
      </c>
      <c r="I551" t="str">
        <f t="shared" si="14"/>
        <v>Ürün İş Listesi</v>
      </c>
    </row>
    <row r="552" spans="1:10" x14ac:dyDescent="0.25">
      <c r="A552" t="s">
        <v>14</v>
      </c>
      <c r="B552" t="s">
        <v>1145</v>
      </c>
      <c r="C552" t="s">
        <v>16</v>
      </c>
      <c r="D552" t="s">
        <v>1146</v>
      </c>
      <c r="E552" s="5" t="s">
        <v>991</v>
      </c>
      <c r="F552" s="5" t="e">
        <f>VLOOKUP(B552,'Türkkep Jira'!B:F,5,0)</f>
        <v>#N/A</v>
      </c>
      <c r="G552" t="str">
        <f>IF(IFERROR(VLOOKUP(B552,'Devam Eden Sprint'!B:B,1,0),"-")=B552,"Devam Eden Sprint","-")</f>
        <v>-</v>
      </c>
      <c r="H552" t="str">
        <f>IF(IFERROR(VLOOKUP(B552,'Gelecek Sprint'!B:B,1,0),"-")=B552,"Gelecek Sprint","-")</f>
        <v>-</v>
      </c>
      <c r="I552" t="str">
        <f t="shared" si="14"/>
        <v>Ürün İş Listesi</v>
      </c>
    </row>
    <row r="553" spans="1:10" x14ac:dyDescent="0.25">
      <c r="A553" t="s">
        <v>14</v>
      </c>
      <c r="B553" t="s">
        <v>1147</v>
      </c>
      <c r="C553" t="s">
        <v>16</v>
      </c>
      <c r="D553" t="s">
        <v>1148</v>
      </c>
      <c r="E553" s="5" t="s">
        <v>991</v>
      </c>
      <c r="F553" s="5" t="e">
        <f>VLOOKUP(B553,'Türkkep Jira'!B:F,5,0)</f>
        <v>#N/A</v>
      </c>
      <c r="G553" t="str">
        <f>IF(IFERROR(VLOOKUP(B553,'Devam Eden Sprint'!B:B,1,0),"-")=B553,"Devam Eden Sprint","-")</f>
        <v>-</v>
      </c>
      <c r="H553" t="str">
        <f>IF(IFERROR(VLOOKUP(B553,'Gelecek Sprint'!B:B,1,0),"-")=B553,"Gelecek Sprint","-")</f>
        <v>-</v>
      </c>
      <c r="I553" t="str">
        <f t="shared" ref="I553:I616" si="15">IFERROR(IF(AND(G553="Devam Eden Sprint",H553="Gelecek Sprint"),"Devam Eden ve Gelecek Sprint",IF(G553="Devam Eden Sprint","Devam Eden Sprint",IF(H553="Gelecek Sprint","Gelecek Sprint","Ürün İş Listesi"))),"Ürün İş Listesi")</f>
        <v>Ürün İş Listesi</v>
      </c>
    </row>
    <row r="554" spans="1:10" x14ac:dyDescent="0.25">
      <c r="A554" t="s">
        <v>14</v>
      </c>
      <c r="B554" t="s">
        <v>1149</v>
      </c>
      <c r="C554" t="s">
        <v>16</v>
      </c>
      <c r="D554" t="s">
        <v>1150</v>
      </c>
      <c r="E554" s="5" t="s">
        <v>12</v>
      </c>
      <c r="F554" s="5" t="e">
        <f>VLOOKUP(B554,'Türkkep Jira'!B:F,5,0)</f>
        <v>#N/A</v>
      </c>
      <c r="G554" t="str">
        <f>IF(IFERROR(VLOOKUP(B554,'Devam Eden Sprint'!B:B,1,0),"-")=B554,"Devam Eden Sprint","-")</f>
        <v>-</v>
      </c>
      <c r="H554" t="str">
        <f>IF(IFERROR(VLOOKUP(B554,'Gelecek Sprint'!B:B,1,0),"-")=B554,"Gelecek Sprint","-")</f>
        <v>-</v>
      </c>
      <c r="I554" t="str">
        <f t="shared" si="15"/>
        <v>Ürün İş Listesi</v>
      </c>
      <c r="J554" s="5">
        <v>3</v>
      </c>
    </row>
    <row r="555" spans="1:10" x14ac:dyDescent="0.25">
      <c r="A555" t="s">
        <v>14</v>
      </c>
      <c r="B555" t="s">
        <v>1151</v>
      </c>
      <c r="C555" t="s">
        <v>16</v>
      </c>
      <c r="D555" t="s">
        <v>1152</v>
      </c>
      <c r="E555" s="5" t="s">
        <v>12</v>
      </c>
      <c r="F555" s="5" t="e">
        <f>VLOOKUP(B555,'Türkkep Jira'!B:F,5,0)</f>
        <v>#N/A</v>
      </c>
      <c r="G555" t="str">
        <f>IF(IFERROR(VLOOKUP(B555,'Devam Eden Sprint'!B:B,1,0),"-")=B555,"Devam Eden Sprint","-")</f>
        <v>-</v>
      </c>
      <c r="H555" t="str">
        <f>IF(IFERROR(VLOOKUP(B555,'Gelecek Sprint'!B:B,1,0),"-")=B555,"Gelecek Sprint","-")</f>
        <v>-</v>
      </c>
      <c r="I555" t="str">
        <f t="shared" si="15"/>
        <v>Ürün İş Listesi</v>
      </c>
      <c r="J555" s="5">
        <v>3</v>
      </c>
    </row>
    <row r="556" spans="1:10" x14ac:dyDescent="0.25">
      <c r="A556" t="s">
        <v>77</v>
      </c>
      <c r="B556" t="s">
        <v>1153</v>
      </c>
      <c r="C556" t="s">
        <v>16</v>
      </c>
      <c r="D556" t="s">
        <v>1154</v>
      </c>
      <c r="E556" s="5" t="s">
        <v>59</v>
      </c>
      <c r="F556" s="5" t="e">
        <f>VLOOKUP(B556,'Türkkep Jira'!B:F,5,0)</f>
        <v>#N/A</v>
      </c>
      <c r="G556" t="str">
        <f>IF(IFERROR(VLOOKUP(B556,'Devam Eden Sprint'!B:B,1,0),"-")=B556,"Devam Eden Sprint","-")</f>
        <v>-</v>
      </c>
      <c r="H556" t="str">
        <f>IF(IFERROR(VLOOKUP(B556,'Gelecek Sprint'!B:B,1,0),"-")=B556,"Gelecek Sprint","-")</f>
        <v>-</v>
      </c>
      <c r="I556" t="str">
        <f t="shared" si="15"/>
        <v>Ürün İş Listesi</v>
      </c>
      <c r="J556" s="5">
        <v>2</v>
      </c>
    </row>
    <row r="557" spans="1:10" x14ac:dyDescent="0.25">
      <c r="A557" t="s">
        <v>77</v>
      </c>
      <c r="B557" t="s">
        <v>1155</v>
      </c>
      <c r="C557" t="s">
        <v>16</v>
      </c>
      <c r="D557" t="s">
        <v>1156</v>
      </c>
      <c r="E557" s="5" t="s">
        <v>56</v>
      </c>
      <c r="F557" s="5" t="e">
        <f>VLOOKUP(B557,'Türkkep Jira'!B:F,5,0)</f>
        <v>#N/A</v>
      </c>
      <c r="G557" t="str">
        <f>IF(IFERROR(VLOOKUP(B557,'Devam Eden Sprint'!B:B,1,0),"-")=B557,"Devam Eden Sprint","-")</f>
        <v>-</v>
      </c>
      <c r="H557" t="str">
        <f>IF(IFERROR(VLOOKUP(B557,'Gelecek Sprint'!B:B,1,0),"-")=B557,"Gelecek Sprint","-")</f>
        <v>-</v>
      </c>
      <c r="I557" t="str">
        <f t="shared" si="15"/>
        <v>Ürün İş Listesi</v>
      </c>
      <c r="J557" s="5">
        <v>2</v>
      </c>
    </row>
    <row r="558" spans="1:10" x14ac:dyDescent="0.25">
      <c r="A558" t="s">
        <v>77</v>
      </c>
      <c r="B558" t="s">
        <v>1157</v>
      </c>
      <c r="C558" t="s">
        <v>16</v>
      </c>
      <c r="D558" t="s">
        <v>1158</v>
      </c>
      <c r="E558" s="5" t="s">
        <v>56</v>
      </c>
      <c r="F558" s="5" t="e">
        <f>VLOOKUP(B558,'Türkkep Jira'!B:F,5,0)</f>
        <v>#N/A</v>
      </c>
      <c r="G558" t="str">
        <f>IF(IFERROR(VLOOKUP(B558,'Devam Eden Sprint'!B:B,1,0),"-")=B558,"Devam Eden Sprint","-")</f>
        <v>-</v>
      </c>
      <c r="H558" t="str">
        <f>IF(IFERROR(VLOOKUP(B558,'Gelecek Sprint'!B:B,1,0),"-")=B558,"Gelecek Sprint","-")</f>
        <v>-</v>
      </c>
      <c r="I558" t="str">
        <f t="shared" si="15"/>
        <v>Ürün İş Listesi</v>
      </c>
      <c r="J558" s="5">
        <v>2</v>
      </c>
    </row>
    <row r="559" spans="1:10" x14ac:dyDescent="0.25">
      <c r="A559" t="s">
        <v>77</v>
      </c>
      <c r="B559" t="s">
        <v>1159</v>
      </c>
      <c r="C559" t="s">
        <v>16</v>
      </c>
      <c r="D559" t="s">
        <v>1160</v>
      </c>
      <c r="E559" s="5" t="s">
        <v>56</v>
      </c>
      <c r="F559" s="5" t="e">
        <f>VLOOKUP(B559,'Türkkep Jira'!B:F,5,0)</f>
        <v>#N/A</v>
      </c>
      <c r="G559" t="str">
        <f>IF(IFERROR(VLOOKUP(B559,'Devam Eden Sprint'!B:B,1,0),"-")=B559,"Devam Eden Sprint","-")</f>
        <v>-</v>
      </c>
      <c r="H559" t="str">
        <f>IF(IFERROR(VLOOKUP(B559,'Gelecek Sprint'!B:B,1,0),"-")=B559,"Gelecek Sprint","-")</f>
        <v>-</v>
      </c>
      <c r="I559" t="str">
        <f t="shared" si="15"/>
        <v>Ürün İş Listesi</v>
      </c>
      <c r="J559" s="5">
        <v>2</v>
      </c>
    </row>
    <row r="560" spans="1:10" x14ac:dyDescent="0.25">
      <c r="A560" t="s">
        <v>14</v>
      </c>
      <c r="B560" t="s">
        <v>1161</v>
      </c>
      <c r="C560" t="s">
        <v>16</v>
      </c>
      <c r="D560" t="s">
        <v>1162</v>
      </c>
      <c r="E560" s="5" t="s">
        <v>56</v>
      </c>
      <c r="F560" s="5" t="e">
        <f>VLOOKUP(B560,'Türkkep Jira'!B:F,5,0)</f>
        <v>#N/A</v>
      </c>
      <c r="G560" t="str">
        <f>IF(IFERROR(VLOOKUP(B560,'Devam Eden Sprint'!B:B,1,0),"-")=B560,"Devam Eden Sprint","-")</f>
        <v>-</v>
      </c>
      <c r="H560" t="str">
        <f>IF(IFERROR(VLOOKUP(B560,'Gelecek Sprint'!B:B,1,0),"-")=B560,"Gelecek Sprint","-")</f>
        <v>-</v>
      </c>
      <c r="I560" t="str">
        <f t="shared" si="15"/>
        <v>Ürün İş Listesi</v>
      </c>
      <c r="J560" s="5">
        <v>8</v>
      </c>
    </row>
    <row r="561" spans="1:10" x14ac:dyDescent="0.25">
      <c r="A561" t="s">
        <v>14</v>
      </c>
      <c r="B561" t="s">
        <v>1163</v>
      </c>
      <c r="C561" t="s">
        <v>16</v>
      </c>
      <c r="D561" t="s">
        <v>1164</v>
      </c>
      <c r="E561" s="5" t="s">
        <v>44</v>
      </c>
      <c r="F561" s="5" t="e">
        <f>VLOOKUP(B561,'Türkkep Jira'!B:F,5,0)</f>
        <v>#N/A</v>
      </c>
      <c r="G561" t="str">
        <f>IF(IFERROR(VLOOKUP(B561,'Devam Eden Sprint'!B:B,1,0),"-")=B561,"Devam Eden Sprint","-")</f>
        <v>-</v>
      </c>
      <c r="H561" t="str">
        <f>IF(IFERROR(VLOOKUP(B561,'Gelecek Sprint'!B:B,1,0),"-")=B561,"Gelecek Sprint","-")</f>
        <v>-</v>
      </c>
      <c r="I561" t="str">
        <f t="shared" si="15"/>
        <v>Ürün İş Listesi</v>
      </c>
      <c r="J561" s="5">
        <v>3</v>
      </c>
    </row>
    <row r="562" spans="1:10" x14ac:dyDescent="0.25">
      <c r="A562" t="s">
        <v>14</v>
      </c>
      <c r="B562" t="s">
        <v>1165</v>
      </c>
      <c r="C562" t="s">
        <v>16</v>
      </c>
      <c r="D562" t="s">
        <v>1166</v>
      </c>
      <c r="E562" s="5" t="s">
        <v>44</v>
      </c>
      <c r="F562" s="5" t="e">
        <f>VLOOKUP(B562,'Türkkep Jira'!B:F,5,0)</f>
        <v>#N/A</v>
      </c>
      <c r="G562" t="str">
        <f>IF(IFERROR(VLOOKUP(B562,'Devam Eden Sprint'!B:B,1,0),"-")=B562,"Devam Eden Sprint","-")</f>
        <v>-</v>
      </c>
      <c r="H562" t="str">
        <f>IF(IFERROR(VLOOKUP(B562,'Gelecek Sprint'!B:B,1,0),"-")=B562,"Gelecek Sprint","-")</f>
        <v>-</v>
      </c>
      <c r="I562" t="str">
        <f t="shared" si="15"/>
        <v>Ürün İş Listesi</v>
      </c>
      <c r="J562" s="5">
        <v>3</v>
      </c>
    </row>
    <row r="563" spans="1:10" x14ac:dyDescent="0.25">
      <c r="A563" t="s">
        <v>14</v>
      </c>
      <c r="B563" t="s">
        <v>1167</v>
      </c>
      <c r="C563" t="s">
        <v>16</v>
      </c>
      <c r="D563" t="s">
        <v>1168</v>
      </c>
      <c r="E563" s="5" t="s">
        <v>44</v>
      </c>
      <c r="F563" s="5" t="e">
        <f>VLOOKUP(B563,'Türkkep Jira'!B:F,5,0)</f>
        <v>#N/A</v>
      </c>
      <c r="G563" t="str">
        <f>IF(IFERROR(VLOOKUP(B563,'Devam Eden Sprint'!B:B,1,0),"-")=B563,"Devam Eden Sprint","-")</f>
        <v>-</v>
      </c>
      <c r="H563" t="str">
        <f>IF(IFERROR(VLOOKUP(B563,'Gelecek Sprint'!B:B,1,0),"-")=B563,"Gelecek Sprint","-")</f>
        <v>-</v>
      </c>
      <c r="I563" t="str">
        <f t="shared" si="15"/>
        <v>Ürün İş Listesi</v>
      </c>
      <c r="J563" s="5">
        <v>3</v>
      </c>
    </row>
    <row r="564" spans="1:10" x14ac:dyDescent="0.25">
      <c r="A564" t="s">
        <v>14</v>
      </c>
      <c r="B564" t="s">
        <v>1169</v>
      </c>
      <c r="C564" t="s">
        <v>16</v>
      </c>
      <c r="D564" t="s">
        <v>1170</v>
      </c>
      <c r="E564" s="5" t="s">
        <v>12</v>
      </c>
      <c r="F564" s="5" t="e">
        <f>VLOOKUP(B564,'Türkkep Jira'!B:F,5,0)</f>
        <v>#N/A</v>
      </c>
      <c r="G564" t="str">
        <f>IF(IFERROR(VLOOKUP(B564,'Devam Eden Sprint'!B:B,1,0),"-")=B564,"Devam Eden Sprint","-")</f>
        <v>-</v>
      </c>
      <c r="H564" t="str">
        <f>IF(IFERROR(VLOOKUP(B564,'Gelecek Sprint'!B:B,1,0),"-")=B564,"Gelecek Sprint","-")</f>
        <v>-</v>
      </c>
      <c r="I564" t="str">
        <f t="shared" si="15"/>
        <v>Ürün İş Listesi</v>
      </c>
      <c r="J564" s="5">
        <v>1</v>
      </c>
    </row>
    <row r="565" spans="1:10" x14ac:dyDescent="0.25">
      <c r="A565" t="s">
        <v>14</v>
      </c>
      <c r="B565" t="s">
        <v>1171</v>
      </c>
      <c r="C565" t="s">
        <v>16</v>
      </c>
      <c r="D565" t="s">
        <v>1172</v>
      </c>
      <c r="E565" s="5" t="s">
        <v>12</v>
      </c>
      <c r="F565" s="5" t="e">
        <f>VLOOKUP(B565,'Türkkep Jira'!B:F,5,0)</f>
        <v>#N/A</v>
      </c>
      <c r="G565" t="str">
        <f>IF(IFERROR(VLOOKUP(B565,'Devam Eden Sprint'!B:B,1,0),"-")=B565,"Devam Eden Sprint","-")</f>
        <v>-</v>
      </c>
      <c r="H565" t="str">
        <f>IF(IFERROR(VLOOKUP(B565,'Gelecek Sprint'!B:B,1,0),"-")=B565,"Gelecek Sprint","-")</f>
        <v>-</v>
      </c>
      <c r="I565" t="str">
        <f t="shared" si="15"/>
        <v>Ürün İş Listesi</v>
      </c>
      <c r="J565" s="5">
        <v>1</v>
      </c>
    </row>
    <row r="566" spans="1:10" x14ac:dyDescent="0.25">
      <c r="A566" t="s">
        <v>14</v>
      </c>
      <c r="B566" t="s">
        <v>1173</v>
      </c>
      <c r="C566" t="s">
        <v>16</v>
      </c>
      <c r="D566" t="s">
        <v>1174</v>
      </c>
      <c r="E566" s="5" t="s">
        <v>12</v>
      </c>
      <c r="F566" s="5" t="e">
        <f>VLOOKUP(B566,'Türkkep Jira'!B:F,5,0)</f>
        <v>#N/A</v>
      </c>
      <c r="G566" t="str">
        <f>IF(IFERROR(VLOOKUP(B566,'Devam Eden Sprint'!B:B,1,0),"-")=B566,"Devam Eden Sprint","-")</f>
        <v>-</v>
      </c>
      <c r="H566" t="str">
        <f>IF(IFERROR(VLOOKUP(B566,'Gelecek Sprint'!B:B,1,0),"-")=B566,"Gelecek Sprint","-")</f>
        <v>-</v>
      </c>
      <c r="I566" t="str">
        <f t="shared" si="15"/>
        <v>Ürün İş Listesi</v>
      </c>
      <c r="J566" s="5">
        <v>1</v>
      </c>
    </row>
    <row r="567" spans="1:10" x14ac:dyDescent="0.25">
      <c r="A567" t="s">
        <v>14</v>
      </c>
      <c r="B567" t="s">
        <v>1175</v>
      </c>
      <c r="C567" t="s">
        <v>16</v>
      </c>
      <c r="D567" t="s">
        <v>1176</v>
      </c>
      <c r="E567" s="5" t="s">
        <v>12</v>
      </c>
      <c r="F567" s="5" t="e">
        <f>VLOOKUP(B567,'Türkkep Jira'!B:F,5,0)</f>
        <v>#N/A</v>
      </c>
      <c r="G567" t="str">
        <f>IF(IFERROR(VLOOKUP(B567,'Devam Eden Sprint'!B:B,1,0),"-")=B567,"Devam Eden Sprint","-")</f>
        <v>-</v>
      </c>
      <c r="H567" t="str">
        <f>IF(IFERROR(VLOOKUP(B567,'Gelecek Sprint'!B:B,1,0),"-")=B567,"Gelecek Sprint","-")</f>
        <v>-</v>
      </c>
      <c r="I567" t="str">
        <f t="shared" si="15"/>
        <v>Ürün İş Listesi</v>
      </c>
      <c r="J567" s="5">
        <v>5</v>
      </c>
    </row>
    <row r="568" spans="1:10" x14ac:dyDescent="0.25">
      <c r="A568" t="s">
        <v>77</v>
      </c>
      <c r="B568" t="s">
        <v>1177</v>
      </c>
      <c r="C568" t="s">
        <v>16</v>
      </c>
      <c r="D568" t="s">
        <v>1178</v>
      </c>
      <c r="E568" s="5" t="s">
        <v>41</v>
      </c>
      <c r="F568" s="5" t="e">
        <f>VLOOKUP(B568,'Türkkep Jira'!B:F,5,0)</f>
        <v>#N/A</v>
      </c>
      <c r="G568" t="str">
        <f>IF(IFERROR(VLOOKUP(B568,'Devam Eden Sprint'!B:B,1,0),"-")=B568,"Devam Eden Sprint","-")</f>
        <v>-</v>
      </c>
      <c r="H568" t="str">
        <f>IF(IFERROR(VLOOKUP(B568,'Gelecek Sprint'!B:B,1,0),"-")=B568,"Gelecek Sprint","-")</f>
        <v>-</v>
      </c>
      <c r="I568" t="str">
        <f t="shared" si="15"/>
        <v>Ürün İş Listesi</v>
      </c>
      <c r="J568" s="5">
        <v>5</v>
      </c>
    </row>
    <row r="569" spans="1:10" x14ac:dyDescent="0.25">
      <c r="A569" t="s">
        <v>77</v>
      </c>
      <c r="B569" t="s">
        <v>1179</v>
      </c>
      <c r="C569" t="s">
        <v>16</v>
      </c>
      <c r="D569" t="s">
        <v>1180</v>
      </c>
      <c r="E569" s="5" t="s">
        <v>41</v>
      </c>
      <c r="F569" s="5" t="e">
        <f>VLOOKUP(B569,'Türkkep Jira'!B:F,5,0)</f>
        <v>#N/A</v>
      </c>
      <c r="G569" t="str">
        <f>IF(IFERROR(VLOOKUP(B569,'Devam Eden Sprint'!B:B,1,0),"-")=B569,"Devam Eden Sprint","-")</f>
        <v>-</v>
      </c>
      <c r="H569" t="str">
        <f>IF(IFERROR(VLOOKUP(B569,'Gelecek Sprint'!B:B,1,0),"-")=B569,"Gelecek Sprint","-")</f>
        <v>-</v>
      </c>
      <c r="I569" t="str">
        <f t="shared" si="15"/>
        <v>Ürün İş Listesi</v>
      </c>
      <c r="J569" s="5">
        <v>2</v>
      </c>
    </row>
    <row r="570" spans="1:10" x14ac:dyDescent="0.25">
      <c r="A570" t="s">
        <v>14</v>
      </c>
      <c r="B570" t="s">
        <v>1181</v>
      </c>
      <c r="C570" t="s">
        <v>16</v>
      </c>
      <c r="D570" t="s">
        <v>1182</v>
      </c>
      <c r="E570" s="5" t="s">
        <v>53</v>
      </c>
      <c r="F570" s="5" t="e">
        <f>VLOOKUP(B570,'Türkkep Jira'!B:F,5,0)</f>
        <v>#N/A</v>
      </c>
      <c r="G570" t="str">
        <f>IF(IFERROR(VLOOKUP(B570,'Devam Eden Sprint'!B:B,1,0),"-")=B570,"Devam Eden Sprint","-")</f>
        <v>-</v>
      </c>
      <c r="H570" t="str">
        <f>IF(IFERROR(VLOOKUP(B570,'Gelecek Sprint'!B:B,1,0),"-")=B570,"Gelecek Sprint","-")</f>
        <v>-</v>
      </c>
      <c r="I570" t="str">
        <f t="shared" si="15"/>
        <v>Ürün İş Listesi</v>
      </c>
      <c r="J570" s="5">
        <v>2</v>
      </c>
    </row>
    <row r="571" spans="1:10" x14ac:dyDescent="0.25">
      <c r="A571" t="s">
        <v>14</v>
      </c>
      <c r="B571" t="s">
        <v>1183</v>
      </c>
      <c r="C571" t="s">
        <v>16</v>
      </c>
      <c r="D571" t="s">
        <v>1184</v>
      </c>
      <c r="E571" s="5" t="s">
        <v>53</v>
      </c>
      <c r="F571" s="5" t="e">
        <f>VLOOKUP(B571,'Türkkep Jira'!B:F,5,0)</f>
        <v>#N/A</v>
      </c>
      <c r="G571" t="str">
        <f>IF(IFERROR(VLOOKUP(B571,'Devam Eden Sprint'!B:B,1,0),"-")=B571,"Devam Eden Sprint","-")</f>
        <v>-</v>
      </c>
      <c r="H571" t="str">
        <f>IF(IFERROR(VLOOKUP(B571,'Gelecek Sprint'!B:B,1,0),"-")=B571,"Gelecek Sprint","-")</f>
        <v>-</v>
      </c>
      <c r="I571" t="str">
        <f t="shared" si="15"/>
        <v>Ürün İş Listesi</v>
      </c>
      <c r="J571" s="5">
        <v>2</v>
      </c>
    </row>
    <row r="572" spans="1:10" x14ac:dyDescent="0.25">
      <c r="A572" t="s">
        <v>77</v>
      </c>
      <c r="B572" t="s">
        <v>1185</v>
      </c>
      <c r="C572" t="s">
        <v>16</v>
      </c>
      <c r="D572" t="s">
        <v>1186</v>
      </c>
      <c r="E572" s="5" t="s">
        <v>56</v>
      </c>
      <c r="F572" s="5" t="e">
        <f>VLOOKUP(B572,'Türkkep Jira'!B:F,5,0)</f>
        <v>#N/A</v>
      </c>
      <c r="G572" t="str">
        <f>IF(IFERROR(VLOOKUP(B572,'Devam Eden Sprint'!B:B,1,0),"-")=B572,"Devam Eden Sprint","-")</f>
        <v>-</v>
      </c>
      <c r="H572" t="str">
        <f>IF(IFERROR(VLOOKUP(B572,'Gelecek Sprint'!B:B,1,0),"-")=B572,"Gelecek Sprint","-")</f>
        <v>-</v>
      </c>
      <c r="I572" t="str">
        <f t="shared" si="15"/>
        <v>Ürün İş Listesi</v>
      </c>
      <c r="J572" s="5">
        <v>2</v>
      </c>
    </row>
    <row r="573" spans="1:10" x14ac:dyDescent="0.25">
      <c r="A573" t="s">
        <v>14</v>
      </c>
      <c r="B573" t="s">
        <v>1187</v>
      </c>
      <c r="C573" t="s">
        <v>16</v>
      </c>
      <c r="D573" t="s">
        <v>1188</v>
      </c>
      <c r="E573" s="5" t="s">
        <v>56</v>
      </c>
      <c r="F573" s="5" t="e">
        <f>VLOOKUP(B573,'Türkkep Jira'!B:F,5,0)</f>
        <v>#N/A</v>
      </c>
      <c r="G573" t="str">
        <f>IF(IFERROR(VLOOKUP(B573,'Devam Eden Sprint'!B:B,1,0),"-")=B573,"Devam Eden Sprint","-")</f>
        <v>-</v>
      </c>
      <c r="H573" t="str">
        <f>IF(IFERROR(VLOOKUP(B573,'Gelecek Sprint'!B:B,1,0),"-")=B573,"Gelecek Sprint","-")</f>
        <v>-</v>
      </c>
      <c r="I573" t="str">
        <f t="shared" si="15"/>
        <v>Ürün İş Listesi</v>
      </c>
      <c r="J573" s="5">
        <v>5</v>
      </c>
    </row>
    <row r="574" spans="1:10" x14ac:dyDescent="0.25">
      <c r="A574" t="s">
        <v>77</v>
      </c>
      <c r="B574" t="s">
        <v>1189</v>
      </c>
      <c r="C574" t="s">
        <v>16</v>
      </c>
      <c r="D574" t="s">
        <v>1190</v>
      </c>
      <c r="E574" s="5" t="s">
        <v>56</v>
      </c>
      <c r="F574" s="5" t="e">
        <f>VLOOKUP(B574,'Türkkep Jira'!B:F,5,0)</f>
        <v>#N/A</v>
      </c>
      <c r="G574" t="str">
        <f>IF(IFERROR(VLOOKUP(B574,'Devam Eden Sprint'!B:B,1,0),"-")=B574,"Devam Eden Sprint","-")</f>
        <v>-</v>
      </c>
      <c r="H574" t="str">
        <f>IF(IFERROR(VLOOKUP(B574,'Gelecek Sprint'!B:B,1,0),"-")=B574,"Gelecek Sprint","-")</f>
        <v>-</v>
      </c>
      <c r="I574" t="str">
        <f t="shared" si="15"/>
        <v>Ürün İş Listesi</v>
      </c>
      <c r="J574" s="5">
        <v>3</v>
      </c>
    </row>
    <row r="575" spans="1:10" x14ac:dyDescent="0.25">
      <c r="A575" t="s">
        <v>77</v>
      </c>
      <c r="B575" t="s">
        <v>1191</v>
      </c>
      <c r="C575" t="s">
        <v>16</v>
      </c>
      <c r="D575" t="s">
        <v>1192</v>
      </c>
      <c r="E575" s="5" t="s">
        <v>44</v>
      </c>
      <c r="F575" s="5" t="e">
        <f>VLOOKUP(B575,'Türkkep Jira'!B:F,5,0)</f>
        <v>#N/A</v>
      </c>
      <c r="G575" t="str">
        <f>IF(IFERROR(VLOOKUP(B575,'Devam Eden Sprint'!B:B,1,0),"-")=B575,"Devam Eden Sprint","-")</f>
        <v>-</v>
      </c>
      <c r="H575" t="str">
        <f>IF(IFERROR(VLOOKUP(B575,'Gelecek Sprint'!B:B,1,0),"-")=B575,"Gelecek Sprint","-")</f>
        <v>-</v>
      </c>
      <c r="I575" t="str">
        <f t="shared" si="15"/>
        <v>Ürün İş Listesi</v>
      </c>
      <c r="J575" s="5">
        <v>2</v>
      </c>
    </row>
    <row r="576" spans="1:10" x14ac:dyDescent="0.25">
      <c r="A576" t="s">
        <v>14</v>
      </c>
      <c r="B576" t="s">
        <v>1193</v>
      </c>
      <c r="C576" t="s">
        <v>16</v>
      </c>
      <c r="D576" t="s">
        <v>1194</v>
      </c>
      <c r="E576" s="5" t="s">
        <v>12</v>
      </c>
      <c r="F576" s="5" t="e">
        <f>VLOOKUP(B576,'Türkkep Jira'!B:F,5,0)</f>
        <v>#N/A</v>
      </c>
      <c r="G576" t="str">
        <f>IF(IFERROR(VLOOKUP(B576,'Devam Eden Sprint'!B:B,1,0),"-")=B576,"Devam Eden Sprint","-")</f>
        <v>-</v>
      </c>
      <c r="H576" t="str">
        <f>IF(IFERROR(VLOOKUP(B576,'Gelecek Sprint'!B:B,1,0),"-")=B576,"Gelecek Sprint","-")</f>
        <v>-</v>
      </c>
      <c r="I576" t="str">
        <f t="shared" si="15"/>
        <v>Ürün İş Listesi</v>
      </c>
      <c r="J576" s="5">
        <v>5</v>
      </c>
    </row>
    <row r="577" spans="1:10" x14ac:dyDescent="0.25">
      <c r="A577" t="s">
        <v>14</v>
      </c>
      <c r="B577" t="s">
        <v>1195</v>
      </c>
      <c r="C577" t="s">
        <v>16</v>
      </c>
      <c r="D577" t="s">
        <v>1196</v>
      </c>
      <c r="E577" s="5" t="s">
        <v>53</v>
      </c>
      <c r="F577" s="5" t="e">
        <f>VLOOKUP(B577,'Türkkep Jira'!B:F,5,0)</f>
        <v>#N/A</v>
      </c>
      <c r="G577" t="str">
        <f>IF(IFERROR(VLOOKUP(B577,'Devam Eden Sprint'!B:B,1,0),"-")=B577,"Devam Eden Sprint","-")</f>
        <v>-</v>
      </c>
      <c r="H577" t="str">
        <f>IF(IFERROR(VLOOKUP(B577,'Gelecek Sprint'!B:B,1,0),"-")=B577,"Gelecek Sprint","-")</f>
        <v>-</v>
      </c>
      <c r="I577" t="str">
        <f t="shared" si="15"/>
        <v>Ürün İş Listesi</v>
      </c>
      <c r="J577" s="5">
        <v>3</v>
      </c>
    </row>
    <row r="578" spans="1:10" x14ac:dyDescent="0.25">
      <c r="A578" t="s">
        <v>14</v>
      </c>
      <c r="B578" t="s">
        <v>1197</v>
      </c>
      <c r="C578" t="s">
        <v>16</v>
      </c>
      <c r="D578" t="s">
        <v>1198</v>
      </c>
      <c r="E578" s="5" t="s">
        <v>533</v>
      </c>
      <c r="F578" s="5" t="e">
        <f>VLOOKUP(B578,'Türkkep Jira'!B:F,5,0)</f>
        <v>#N/A</v>
      </c>
      <c r="G578" t="str">
        <f>IF(IFERROR(VLOOKUP(B578,'Devam Eden Sprint'!B:B,1,0),"-")=B578,"Devam Eden Sprint","-")</f>
        <v>-</v>
      </c>
      <c r="H578" t="str">
        <f>IF(IFERROR(VLOOKUP(B578,'Gelecek Sprint'!B:B,1,0),"-")=B578,"Gelecek Sprint","-")</f>
        <v>-</v>
      </c>
      <c r="I578" t="str">
        <f t="shared" si="15"/>
        <v>Ürün İş Listesi</v>
      </c>
      <c r="J578" s="5">
        <v>1</v>
      </c>
    </row>
    <row r="579" spans="1:10" x14ac:dyDescent="0.25">
      <c r="A579" t="s">
        <v>77</v>
      </c>
      <c r="B579" t="s">
        <v>1199</v>
      </c>
      <c r="C579" t="s">
        <v>16</v>
      </c>
      <c r="D579" t="s">
        <v>1200</v>
      </c>
      <c r="E579" s="5" t="s">
        <v>59</v>
      </c>
      <c r="F579" s="5" t="e">
        <f>VLOOKUP(B579,'Türkkep Jira'!B:F,5,0)</f>
        <v>#N/A</v>
      </c>
      <c r="G579" t="str">
        <f>IF(IFERROR(VLOOKUP(B579,'Devam Eden Sprint'!B:B,1,0),"-")=B579,"Devam Eden Sprint","-")</f>
        <v>-</v>
      </c>
      <c r="H579" t="str">
        <f>IF(IFERROR(VLOOKUP(B579,'Gelecek Sprint'!B:B,1,0),"-")=B579,"Gelecek Sprint","-")</f>
        <v>-</v>
      </c>
      <c r="I579" t="str">
        <f t="shared" si="15"/>
        <v>Ürün İş Listesi</v>
      </c>
      <c r="J579" s="5">
        <v>1</v>
      </c>
    </row>
    <row r="580" spans="1:10" x14ac:dyDescent="0.25">
      <c r="A580" t="s">
        <v>14</v>
      </c>
      <c r="B580" t="s">
        <v>1201</v>
      </c>
      <c r="C580" t="s">
        <v>16</v>
      </c>
      <c r="D580" t="s">
        <v>1202</v>
      </c>
      <c r="E580" s="5" t="s">
        <v>59</v>
      </c>
      <c r="F580" s="5" t="e">
        <f>VLOOKUP(B580,'Türkkep Jira'!B:F,5,0)</f>
        <v>#N/A</v>
      </c>
      <c r="G580" t="str">
        <f>IF(IFERROR(VLOOKUP(B580,'Devam Eden Sprint'!B:B,1,0),"-")=B580,"Devam Eden Sprint","-")</f>
        <v>-</v>
      </c>
      <c r="H580" t="str">
        <f>IF(IFERROR(VLOOKUP(B580,'Gelecek Sprint'!B:B,1,0),"-")=B580,"Gelecek Sprint","-")</f>
        <v>-</v>
      </c>
      <c r="I580" t="str">
        <f t="shared" si="15"/>
        <v>Ürün İş Listesi</v>
      </c>
      <c r="J580" s="5">
        <v>5</v>
      </c>
    </row>
    <row r="581" spans="1:10" x14ac:dyDescent="0.25">
      <c r="A581" t="s">
        <v>14</v>
      </c>
      <c r="B581" t="s">
        <v>1203</v>
      </c>
      <c r="C581" t="s">
        <v>16</v>
      </c>
      <c r="D581" t="s">
        <v>1204</v>
      </c>
      <c r="E581" s="5" t="s">
        <v>56</v>
      </c>
      <c r="F581" s="5" t="e">
        <f>VLOOKUP(B581,'Türkkep Jira'!B:F,5,0)</f>
        <v>#N/A</v>
      </c>
      <c r="G581" t="str">
        <f>IF(IFERROR(VLOOKUP(B581,'Devam Eden Sprint'!B:B,1,0),"-")=B581,"Devam Eden Sprint","-")</f>
        <v>-</v>
      </c>
      <c r="H581" t="str">
        <f>IF(IFERROR(VLOOKUP(B581,'Gelecek Sprint'!B:B,1,0),"-")=B581,"Gelecek Sprint","-")</f>
        <v>-</v>
      </c>
      <c r="I581" t="str">
        <f t="shared" si="15"/>
        <v>Ürün İş Listesi</v>
      </c>
      <c r="J581" s="5">
        <v>1</v>
      </c>
    </row>
    <row r="582" spans="1:10" x14ac:dyDescent="0.25">
      <c r="A582" t="s">
        <v>14</v>
      </c>
      <c r="B582" t="s">
        <v>1205</v>
      </c>
      <c r="C582" t="s">
        <v>16</v>
      </c>
      <c r="D582" t="s">
        <v>1206</v>
      </c>
      <c r="E582" s="5" t="s">
        <v>56</v>
      </c>
      <c r="F582" s="5" t="e">
        <f>VLOOKUP(B582,'Türkkep Jira'!B:F,5,0)</f>
        <v>#N/A</v>
      </c>
      <c r="G582" t="str">
        <f>IF(IFERROR(VLOOKUP(B582,'Devam Eden Sprint'!B:B,1,0),"-")=B582,"Devam Eden Sprint","-")</f>
        <v>-</v>
      </c>
      <c r="H582" t="str">
        <f>IF(IFERROR(VLOOKUP(B582,'Gelecek Sprint'!B:B,1,0),"-")=B582,"Gelecek Sprint","-")</f>
        <v>-</v>
      </c>
      <c r="I582" t="str">
        <f t="shared" si="15"/>
        <v>Ürün İş Listesi</v>
      </c>
      <c r="J582" s="5">
        <v>2</v>
      </c>
    </row>
    <row r="583" spans="1:10" x14ac:dyDescent="0.25">
      <c r="A583" t="s">
        <v>14</v>
      </c>
      <c r="B583" t="s">
        <v>1207</v>
      </c>
      <c r="C583" t="s">
        <v>16</v>
      </c>
      <c r="D583" t="s">
        <v>1208</v>
      </c>
      <c r="E583" s="5" t="s">
        <v>50</v>
      </c>
      <c r="F583" s="5" t="e">
        <f>VLOOKUP(B583,'Türkkep Jira'!B:F,5,0)</f>
        <v>#N/A</v>
      </c>
      <c r="G583" t="str">
        <f>IF(IFERROR(VLOOKUP(B583,'Devam Eden Sprint'!B:B,1,0),"-")=B583,"Devam Eden Sprint","-")</f>
        <v>-</v>
      </c>
      <c r="H583" t="str">
        <f>IF(IFERROR(VLOOKUP(B583,'Gelecek Sprint'!B:B,1,0),"-")=B583,"Gelecek Sprint","-")</f>
        <v>-</v>
      </c>
      <c r="I583" t="str">
        <f t="shared" si="15"/>
        <v>Ürün İş Listesi</v>
      </c>
      <c r="J583" s="5">
        <v>3</v>
      </c>
    </row>
    <row r="584" spans="1:10" x14ac:dyDescent="0.25">
      <c r="A584" t="s">
        <v>14</v>
      </c>
      <c r="B584" t="s">
        <v>1209</v>
      </c>
      <c r="C584" t="s">
        <v>16</v>
      </c>
      <c r="D584" t="s">
        <v>747</v>
      </c>
      <c r="E584" s="5" t="s">
        <v>12</v>
      </c>
      <c r="F584" s="5" t="e">
        <f>VLOOKUP(B584,'Türkkep Jira'!B:F,5,0)</f>
        <v>#N/A</v>
      </c>
      <c r="G584" t="str">
        <f>IF(IFERROR(VLOOKUP(B584,'Devam Eden Sprint'!B:B,1,0),"-")=B584,"Devam Eden Sprint","-")</f>
        <v>-</v>
      </c>
      <c r="H584" t="str">
        <f>IF(IFERROR(VLOOKUP(B584,'Gelecek Sprint'!B:B,1,0),"-")=B584,"Gelecek Sprint","-")</f>
        <v>-</v>
      </c>
      <c r="I584" t="str">
        <f t="shared" si="15"/>
        <v>Ürün İş Listesi</v>
      </c>
      <c r="J584" s="5">
        <v>5</v>
      </c>
    </row>
    <row r="585" spans="1:10" x14ac:dyDescent="0.25">
      <c r="A585" t="s">
        <v>14</v>
      </c>
      <c r="B585" t="s">
        <v>1210</v>
      </c>
      <c r="C585" t="s">
        <v>16</v>
      </c>
      <c r="D585" t="s">
        <v>1211</v>
      </c>
      <c r="E585" s="5" t="s">
        <v>12</v>
      </c>
      <c r="F585" s="5" t="e">
        <f>VLOOKUP(B585,'Türkkep Jira'!B:F,5,0)</f>
        <v>#N/A</v>
      </c>
      <c r="G585" t="str">
        <f>IF(IFERROR(VLOOKUP(B585,'Devam Eden Sprint'!B:B,1,0),"-")=B585,"Devam Eden Sprint","-")</f>
        <v>-</v>
      </c>
      <c r="H585" t="str">
        <f>IF(IFERROR(VLOOKUP(B585,'Gelecek Sprint'!B:B,1,0),"-")=B585,"Gelecek Sprint","-")</f>
        <v>-</v>
      </c>
      <c r="I585" t="str">
        <f t="shared" si="15"/>
        <v>Ürün İş Listesi</v>
      </c>
      <c r="J585" s="5">
        <v>1</v>
      </c>
    </row>
    <row r="586" spans="1:10" x14ac:dyDescent="0.25">
      <c r="A586" t="s">
        <v>14</v>
      </c>
      <c r="B586" t="s">
        <v>1212</v>
      </c>
      <c r="C586" t="s">
        <v>16</v>
      </c>
      <c r="D586" t="s">
        <v>1213</v>
      </c>
      <c r="E586" s="5" t="s">
        <v>12</v>
      </c>
      <c r="F586" s="5" t="e">
        <f>VLOOKUP(B586,'Türkkep Jira'!B:F,5,0)</f>
        <v>#N/A</v>
      </c>
      <c r="G586" t="str">
        <f>IF(IFERROR(VLOOKUP(B586,'Devam Eden Sprint'!B:B,1,0),"-")=B586,"Devam Eden Sprint","-")</f>
        <v>-</v>
      </c>
      <c r="H586" t="str">
        <f>IF(IFERROR(VLOOKUP(B586,'Gelecek Sprint'!B:B,1,0),"-")=B586,"Gelecek Sprint","-")</f>
        <v>-</v>
      </c>
      <c r="I586" t="str">
        <f t="shared" si="15"/>
        <v>Ürün İş Listesi</v>
      </c>
      <c r="J586" s="5">
        <v>2</v>
      </c>
    </row>
    <row r="587" spans="1:10" x14ac:dyDescent="0.25">
      <c r="A587" t="s">
        <v>14</v>
      </c>
      <c r="B587" t="s">
        <v>1214</v>
      </c>
      <c r="C587" t="s">
        <v>16</v>
      </c>
      <c r="D587" t="s">
        <v>1215</v>
      </c>
      <c r="E587" s="5" t="s">
        <v>53</v>
      </c>
      <c r="F587" s="5" t="e">
        <f>VLOOKUP(B587,'Türkkep Jira'!B:F,5,0)</f>
        <v>#N/A</v>
      </c>
      <c r="G587" t="str">
        <f>IF(IFERROR(VLOOKUP(B587,'Devam Eden Sprint'!B:B,1,0),"-")=B587,"Devam Eden Sprint","-")</f>
        <v>-</v>
      </c>
      <c r="H587" t="str">
        <f>IF(IFERROR(VLOOKUP(B587,'Gelecek Sprint'!B:B,1,0),"-")=B587,"Gelecek Sprint","-")</f>
        <v>-</v>
      </c>
      <c r="I587" t="str">
        <f t="shared" si="15"/>
        <v>Ürün İş Listesi</v>
      </c>
      <c r="J587" s="5">
        <v>1</v>
      </c>
    </row>
    <row r="588" spans="1:10" x14ac:dyDescent="0.25">
      <c r="A588" t="s">
        <v>14</v>
      </c>
      <c r="B588" t="s">
        <v>1216</v>
      </c>
      <c r="C588" t="s">
        <v>16</v>
      </c>
      <c r="D588" t="s">
        <v>1217</v>
      </c>
      <c r="E588" s="5" t="s">
        <v>53</v>
      </c>
      <c r="F588" s="5" t="e">
        <f>VLOOKUP(B588,'Türkkep Jira'!B:F,5,0)</f>
        <v>#N/A</v>
      </c>
      <c r="G588" t="str">
        <f>IF(IFERROR(VLOOKUP(B588,'Devam Eden Sprint'!B:B,1,0),"-")=B588,"Devam Eden Sprint","-")</f>
        <v>-</v>
      </c>
      <c r="H588" t="str">
        <f>IF(IFERROR(VLOOKUP(B588,'Gelecek Sprint'!B:B,1,0),"-")=B588,"Gelecek Sprint","-")</f>
        <v>-</v>
      </c>
      <c r="I588" t="str">
        <f t="shared" si="15"/>
        <v>Ürün İş Listesi</v>
      </c>
      <c r="J588" s="5">
        <v>1</v>
      </c>
    </row>
    <row r="589" spans="1:10" x14ac:dyDescent="0.25">
      <c r="A589" t="s">
        <v>14</v>
      </c>
      <c r="B589" t="s">
        <v>1218</v>
      </c>
      <c r="C589" t="s">
        <v>16</v>
      </c>
      <c r="D589" t="s">
        <v>1219</v>
      </c>
      <c r="E589" s="5" t="s">
        <v>53</v>
      </c>
      <c r="F589" s="5" t="e">
        <f>VLOOKUP(B589,'Türkkep Jira'!B:F,5,0)</f>
        <v>#N/A</v>
      </c>
      <c r="G589" t="str">
        <f>IF(IFERROR(VLOOKUP(B589,'Devam Eden Sprint'!B:B,1,0),"-")=B589,"Devam Eden Sprint","-")</f>
        <v>-</v>
      </c>
      <c r="H589" t="str">
        <f>IF(IFERROR(VLOOKUP(B589,'Gelecek Sprint'!B:B,1,0),"-")=B589,"Gelecek Sprint","-")</f>
        <v>-</v>
      </c>
      <c r="I589" t="str">
        <f t="shared" si="15"/>
        <v>Ürün İş Listesi</v>
      </c>
      <c r="J589" s="5">
        <v>1</v>
      </c>
    </row>
    <row r="590" spans="1:10" x14ac:dyDescent="0.25">
      <c r="A590" t="s">
        <v>14</v>
      </c>
      <c r="B590" t="s">
        <v>1220</v>
      </c>
      <c r="C590" t="s">
        <v>16</v>
      </c>
      <c r="D590" t="s">
        <v>1221</v>
      </c>
      <c r="E590" s="5" t="s">
        <v>53</v>
      </c>
      <c r="F590" s="5" t="e">
        <f>VLOOKUP(B590,'Türkkep Jira'!B:F,5,0)</f>
        <v>#N/A</v>
      </c>
      <c r="G590" t="str">
        <f>IF(IFERROR(VLOOKUP(B590,'Devam Eden Sprint'!B:B,1,0),"-")=B590,"Devam Eden Sprint","-")</f>
        <v>-</v>
      </c>
      <c r="H590" t="str">
        <f>IF(IFERROR(VLOOKUP(B590,'Gelecek Sprint'!B:B,1,0),"-")=B590,"Gelecek Sprint","-")</f>
        <v>-</v>
      </c>
      <c r="I590" t="str">
        <f t="shared" si="15"/>
        <v>Ürün İş Listesi</v>
      </c>
      <c r="J590" s="5">
        <v>3</v>
      </c>
    </row>
    <row r="591" spans="1:10" x14ac:dyDescent="0.25">
      <c r="A591" t="s">
        <v>14</v>
      </c>
      <c r="B591" t="s">
        <v>1222</v>
      </c>
      <c r="C591" t="s">
        <v>16</v>
      </c>
      <c r="D591" t="s">
        <v>1223</v>
      </c>
      <c r="E591" s="5" t="s">
        <v>53</v>
      </c>
      <c r="F591" s="5" t="e">
        <f>VLOOKUP(B591,'Türkkep Jira'!B:F,5,0)</f>
        <v>#N/A</v>
      </c>
      <c r="G591" t="str">
        <f>IF(IFERROR(VLOOKUP(B591,'Devam Eden Sprint'!B:B,1,0),"-")=B591,"Devam Eden Sprint","-")</f>
        <v>-</v>
      </c>
      <c r="H591" t="str">
        <f>IF(IFERROR(VLOOKUP(B591,'Gelecek Sprint'!B:B,1,0),"-")=B591,"Gelecek Sprint","-")</f>
        <v>-</v>
      </c>
      <c r="I591" t="str">
        <f t="shared" si="15"/>
        <v>Ürün İş Listesi</v>
      </c>
      <c r="J591" s="5">
        <v>2</v>
      </c>
    </row>
    <row r="592" spans="1:10" x14ac:dyDescent="0.25">
      <c r="A592" t="s">
        <v>14</v>
      </c>
      <c r="B592" t="s">
        <v>1224</v>
      </c>
      <c r="C592" t="s">
        <v>16</v>
      </c>
      <c r="D592" t="s">
        <v>1225</v>
      </c>
      <c r="E592" s="5" t="s">
        <v>127</v>
      </c>
      <c r="F592" s="5" t="e">
        <f>VLOOKUP(B592,'Türkkep Jira'!B:F,5,0)</f>
        <v>#N/A</v>
      </c>
      <c r="G592" t="str">
        <f>IF(IFERROR(VLOOKUP(B592,'Devam Eden Sprint'!B:B,1,0),"-")=B592,"Devam Eden Sprint","-")</f>
        <v>-</v>
      </c>
      <c r="H592" t="str">
        <f>IF(IFERROR(VLOOKUP(B592,'Gelecek Sprint'!B:B,1,0),"-")=B592,"Gelecek Sprint","-")</f>
        <v>-</v>
      </c>
      <c r="I592" t="str">
        <f t="shared" si="15"/>
        <v>Ürün İş Listesi</v>
      </c>
      <c r="J592" s="5">
        <v>3</v>
      </c>
    </row>
    <row r="593" spans="1:10" x14ac:dyDescent="0.25">
      <c r="A593" t="s">
        <v>14</v>
      </c>
      <c r="B593" t="s">
        <v>1226</v>
      </c>
      <c r="C593" t="s">
        <v>16</v>
      </c>
      <c r="D593" t="s">
        <v>1227</v>
      </c>
      <c r="E593" s="5" t="s">
        <v>53</v>
      </c>
      <c r="F593" s="5" t="e">
        <f>VLOOKUP(B593,'Türkkep Jira'!B:F,5,0)</f>
        <v>#N/A</v>
      </c>
      <c r="G593" t="str">
        <f>IF(IFERROR(VLOOKUP(B593,'Devam Eden Sprint'!B:B,1,0),"-")=B593,"Devam Eden Sprint","-")</f>
        <v>-</v>
      </c>
      <c r="H593" t="str">
        <f>IF(IFERROR(VLOOKUP(B593,'Gelecek Sprint'!B:B,1,0),"-")=B593,"Gelecek Sprint","-")</f>
        <v>-</v>
      </c>
      <c r="I593" t="str">
        <f t="shared" si="15"/>
        <v>Ürün İş Listesi</v>
      </c>
      <c r="J593" s="5">
        <v>5</v>
      </c>
    </row>
    <row r="594" spans="1:10" x14ac:dyDescent="0.25">
      <c r="A594" t="s">
        <v>14</v>
      </c>
      <c r="B594" t="s">
        <v>1228</v>
      </c>
      <c r="C594" t="s">
        <v>16</v>
      </c>
      <c r="D594" t="s">
        <v>1229</v>
      </c>
      <c r="E594" s="5" t="s">
        <v>53</v>
      </c>
      <c r="F594" s="5" t="e">
        <f>VLOOKUP(B594,'Türkkep Jira'!B:F,5,0)</f>
        <v>#N/A</v>
      </c>
      <c r="G594" t="str">
        <f>IF(IFERROR(VLOOKUP(B594,'Devam Eden Sprint'!B:B,1,0),"-")=B594,"Devam Eden Sprint","-")</f>
        <v>-</v>
      </c>
      <c r="H594" t="str">
        <f>IF(IFERROR(VLOOKUP(B594,'Gelecek Sprint'!B:B,1,0),"-")=B594,"Gelecek Sprint","-")</f>
        <v>-</v>
      </c>
      <c r="I594" t="str">
        <f t="shared" si="15"/>
        <v>Ürün İş Listesi</v>
      </c>
      <c r="J594" s="5">
        <v>3</v>
      </c>
    </row>
    <row r="595" spans="1:10" x14ac:dyDescent="0.25">
      <c r="A595" t="s">
        <v>14</v>
      </c>
      <c r="B595" t="s">
        <v>1230</v>
      </c>
      <c r="C595" t="s">
        <v>10</v>
      </c>
      <c r="D595" t="s">
        <v>1231</v>
      </c>
      <c r="E595" s="5" t="s">
        <v>53</v>
      </c>
      <c r="F595" s="5" t="e">
        <f>VLOOKUP(B595,'Türkkep Jira'!B:F,5,0)</f>
        <v>#N/A</v>
      </c>
      <c r="G595" t="str">
        <f>IF(IFERROR(VLOOKUP(B595,'Devam Eden Sprint'!B:B,1,0),"-")=B595,"Devam Eden Sprint","-")</f>
        <v>-</v>
      </c>
      <c r="H595" t="str">
        <f>IF(IFERROR(VLOOKUP(B595,'Gelecek Sprint'!B:B,1,0),"-")=B595,"Gelecek Sprint","-")</f>
        <v>-</v>
      </c>
      <c r="I595" t="str">
        <f t="shared" si="15"/>
        <v>Ürün İş Listesi</v>
      </c>
    </row>
    <row r="596" spans="1:10" x14ac:dyDescent="0.25">
      <c r="A596" t="s">
        <v>77</v>
      </c>
      <c r="B596" t="s">
        <v>1232</v>
      </c>
      <c r="C596" t="s">
        <v>16</v>
      </c>
      <c r="D596" t="s">
        <v>1233</v>
      </c>
      <c r="E596" s="5" t="s">
        <v>542</v>
      </c>
      <c r="F596" s="5" t="e">
        <f>VLOOKUP(B596,'Türkkep Jira'!B:F,5,0)</f>
        <v>#N/A</v>
      </c>
      <c r="G596" t="str">
        <f>IF(IFERROR(VLOOKUP(B596,'Devam Eden Sprint'!B:B,1,0),"-")=B596,"Devam Eden Sprint","-")</f>
        <v>-</v>
      </c>
      <c r="H596" t="str">
        <f>IF(IFERROR(VLOOKUP(B596,'Gelecek Sprint'!B:B,1,0),"-")=B596,"Gelecek Sprint","-")</f>
        <v>-</v>
      </c>
      <c r="I596" t="str">
        <f t="shared" si="15"/>
        <v>Ürün İş Listesi</v>
      </c>
    </row>
    <row r="597" spans="1:10" x14ac:dyDescent="0.25">
      <c r="A597" t="s">
        <v>14</v>
      </c>
      <c r="B597" t="s">
        <v>1234</v>
      </c>
      <c r="C597" t="s">
        <v>16</v>
      </c>
      <c r="D597" t="s">
        <v>1235</v>
      </c>
      <c r="E597" s="5" t="s">
        <v>56</v>
      </c>
      <c r="F597" s="5" t="e">
        <f>VLOOKUP(B597,'Türkkep Jira'!B:F,5,0)</f>
        <v>#N/A</v>
      </c>
      <c r="G597" t="str">
        <f>IF(IFERROR(VLOOKUP(B597,'Devam Eden Sprint'!B:B,1,0),"-")=B597,"Devam Eden Sprint","-")</f>
        <v>-</v>
      </c>
      <c r="H597" t="str">
        <f>IF(IFERROR(VLOOKUP(B597,'Gelecek Sprint'!B:B,1,0),"-")=B597,"Gelecek Sprint","-")</f>
        <v>-</v>
      </c>
      <c r="I597" t="str">
        <f t="shared" si="15"/>
        <v>Ürün İş Listesi</v>
      </c>
      <c r="J597" s="5">
        <v>5</v>
      </c>
    </row>
    <row r="598" spans="1:10" x14ac:dyDescent="0.25">
      <c r="A598" t="s">
        <v>14</v>
      </c>
      <c r="B598" t="s">
        <v>1236</v>
      </c>
      <c r="C598" t="s">
        <v>16</v>
      </c>
      <c r="D598" t="s">
        <v>1237</v>
      </c>
      <c r="E598" s="5" t="s">
        <v>41</v>
      </c>
      <c r="F598" s="5" t="e">
        <f>VLOOKUP(B598,'Türkkep Jira'!B:F,5,0)</f>
        <v>#N/A</v>
      </c>
      <c r="G598" t="str">
        <f>IF(IFERROR(VLOOKUP(B598,'Devam Eden Sprint'!B:B,1,0),"-")=B598,"Devam Eden Sprint","-")</f>
        <v>-</v>
      </c>
      <c r="H598" t="str">
        <f>IF(IFERROR(VLOOKUP(B598,'Gelecek Sprint'!B:B,1,0),"-")=B598,"Gelecek Sprint","-")</f>
        <v>-</v>
      </c>
      <c r="I598" t="str">
        <f t="shared" si="15"/>
        <v>Ürün İş Listesi</v>
      </c>
      <c r="J598" s="5">
        <v>2</v>
      </c>
    </row>
    <row r="599" spans="1:10" x14ac:dyDescent="0.25">
      <c r="A599" t="s">
        <v>14</v>
      </c>
      <c r="B599" t="s">
        <v>1238</v>
      </c>
      <c r="C599" t="s">
        <v>16</v>
      </c>
      <c r="D599" t="s">
        <v>1239</v>
      </c>
      <c r="E599" s="5" t="s">
        <v>41</v>
      </c>
      <c r="F599" s="5" t="e">
        <f>VLOOKUP(B599,'Türkkep Jira'!B:F,5,0)</f>
        <v>#N/A</v>
      </c>
      <c r="G599" t="str">
        <f>IF(IFERROR(VLOOKUP(B599,'Devam Eden Sprint'!B:B,1,0),"-")=B599,"Devam Eden Sprint","-")</f>
        <v>-</v>
      </c>
      <c r="H599" t="str">
        <f>IF(IFERROR(VLOOKUP(B599,'Gelecek Sprint'!B:B,1,0),"-")=B599,"Gelecek Sprint","-")</f>
        <v>-</v>
      </c>
      <c r="I599" t="str">
        <f t="shared" si="15"/>
        <v>Ürün İş Listesi</v>
      </c>
      <c r="J599" s="5">
        <v>3</v>
      </c>
    </row>
    <row r="600" spans="1:10" x14ac:dyDescent="0.25">
      <c r="A600" t="s">
        <v>14</v>
      </c>
      <c r="B600" t="s">
        <v>1240</v>
      </c>
      <c r="C600" t="s">
        <v>16</v>
      </c>
      <c r="D600" t="s">
        <v>1241</v>
      </c>
      <c r="E600" s="5" t="s">
        <v>41</v>
      </c>
      <c r="F600" s="5" t="e">
        <f>VLOOKUP(B600,'Türkkep Jira'!B:F,5,0)</f>
        <v>#N/A</v>
      </c>
      <c r="G600" t="str">
        <f>IF(IFERROR(VLOOKUP(B600,'Devam Eden Sprint'!B:B,1,0),"-")=B600,"Devam Eden Sprint","-")</f>
        <v>-</v>
      </c>
      <c r="H600" t="str">
        <f>IF(IFERROR(VLOOKUP(B600,'Gelecek Sprint'!B:B,1,0),"-")=B600,"Gelecek Sprint","-")</f>
        <v>-</v>
      </c>
      <c r="I600" t="str">
        <f t="shared" si="15"/>
        <v>Ürün İş Listesi</v>
      </c>
    </row>
    <row r="601" spans="1:10" x14ac:dyDescent="0.25">
      <c r="A601" t="s">
        <v>14</v>
      </c>
      <c r="B601" t="s">
        <v>1242</v>
      </c>
      <c r="C601" t="s">
        <v>10</v>
      </c>
      <c r="D601" t="s">
        <v>1243</v>
      </c>
      <c r="E601" s="5" t="s">
        <v>41</v>
      </c>
      <c r="F601" s="5" t="e">
        <f>VLOOKUP(B601,'Türkkep Jira'!B:F,5,0)</f>
        <v>#N/A</v>
      </c>
      <c r="G601" t="str">
        <f>IF(IFERROR(VLOOKUP(B601,'Devam Eden Sprint'!B:B,1,0),"-")=B601,"Devam Eden Sprint","-")</f>
        <v>-</v>
      </c>
      <c r="H601" t="str">
        <f>IF(IFERROR(VLOOKUP(B601,'Gelecek Sprint'!B:B,1,0),"-")=B601,"Gelecek Sprint","-")</f>
        <v>-</v>
      </c>
      <c r="I601" t="str">
        <f t="shared" si="15"/>
        <v>Ürün İş Listesi</v>
      </c>
    </row>
    <row r="602" spans="1:10" x14ac:dyDescent="0.25">
      <c r="A602" t="s">
        <v>14</v>
      </c>
      <c r="B602" t="s">
        <v>1244</v>
      </c>
      <c r="C602" t="s">
        <v>16</v>
      </c>
      <c r="D602" t="s">
        <v>1245</v>
      </c>
      <c r="E602" s="5" t="s">
        <v>41</v>
      </c>
      <c r="F602" s="5" t="e">
        <f>VLOOKUP(B602,'Türkkep Jira'!B:F,5,0)</f>
        <v>#N/A</v>
      </c>
      <c r="G602" t="str">
        <f>IF(IFERROR(VLOOKUP(B602,'Devam Eden Sprint'!B:B,1,0),"-")=B602,"Devam Eden Sprint","-")</f>
        <v>-</v>
      </c>
      <c r="H602" t="str">
        <f>IF(IFERROR(VLOOKUP(B602,'Gelecek Sprint'!B:B,1,0),"-")=B602,"Gelecek Sprint","-")</f>
        <v>-</v>
      </c>
      <c r="I602" t="str">
        <f t="shared" si="15"/>
        <v>Ürün İş Listesi</v>
      </c>
      <c r="J602" s="5">
        <v>1</v>
      </c>
    </row>
    <row r="603" spans="1:10" x14ac:dyDescent="0.25">
      <c r="A603" t="s">
        <v>14</v>
      </c>
      <c r="B603" t="s">
        <v>1246</v>
      </c>
      <c r="C603" t="s">
        <v>16</v>
      </c>
      <c r="D603" t="s">
        <v>1247</v>
      </c>
      <c r="E603" s="5" t="s">
        <v>41</v>
      </c>
      <c r="F603" s="5" t="e">
        <f>VLOOKUP(B603,'Türkkep Jira'!B:F,5,0)</f>
        <v>#N/A</v>
      </c>
      <c r="G603" t="str">
        <f>IF(IFERROR(VLOOKUP(B603,'Devam Eden Sprint'!B:B,1,0),"-")=B603,"Devam Eden Sprint","-")</f>
        <v>-</v>
      </c>
      <c r="H603" t="str">
        <f>IF(IFERROR(VLOOKUP(B603,'Gelecek Sprint'!B:B,1,0),"-")=B603,"Gelecek Sprint","-")</f>
        <v>-</v>
      </c>
      <c r="I603" t="str">
        <f t="shared" si="15"/>
        <v>Ürün İş Listesi</v>
      </c>
      <c r="J603" s="5">
        <v>3</v>
      </c>
    </row>
    <row r="604" spans="1:10" x14ac:dyDescent="0.25">
      <c r="A604" t="s">
        <v>77</v>
      </c>
      <c r="B604" t="s">
        <v>1248</v>
      </c>
      <c r="C604" t="s">
        <v>16</v>
      </c>
      <c r="D604" t="s">
        <v>1249</v>
      </c>
      <c r="E604" s="5" t="s">
        <v>41</v>
      </c>
      <c r="F604" s="5" t="e">
        <f>VLOOKUP(B604,'Türkkep Jira'!B:F,5,0)</f>
        <v>#N/A</v>
      </c>
      <c r="G604" t="str">
        <f>IF(IFERROR(VLOOKUP(B604,'Devam Eden Sprint'!B:B,1,0),"-")=B604,"Devam Eden Sprint","-")</f>
        <v>-</v>
      </c>
      <c r="H604" t="str">
        <f>IF(IFERROR(VLOOKUP(B604,'Gelecek Sprint'!B:B,1,0),"-")=B604,"Gelecek Sprint","-")</f>
        <v>-</v>
      </c>
      <c r="I604" t="str">
        <f t="shared" si="15"/>
        <v>Ürün İş Listesi</v>
      </c>
      <c r="J604" s="5">
        <v>2</v>
      </c>
    </row>
    <row r="605" spans="1:10" x14ac:dyDescent="0.25">
      <c r="A605" t="s">
        <v>14</v>
      </c>
      <c r="B605" t="s">
        <v>1250</v>
      </c>
      <c r="C605" t="s">
        <v>16</v>
      </c>
      <c r="D605" t="s">
        <v>1251</v>
      </c>
      <c r="E605" s="5" t="s">
        <v>41</v>
      </c>
      <c r="F605" s="5" t="e">
        <f>VLOOKUP(B605,'Türkkep Jira'!B:F,5,0)</f>
        <v>#N/A</v>
      </c>
      <c r="G605" t="str">
        <f>IF(IFERROR(VLOOKUP(B605,'Devam Eden Sprint'!B:B,1,0),"-")=B605,"Devam Eden Sprint","-")</f>
        <v>-</v>
      </c>
      <c r="H605" t="str">
        <f>IF(IFERROR(VLOOKUP(B605,'Gelecek Sprint'!B:B,1,0),"-")=B605,"Gelecek Sprint","-")</f>
        <v>-</v>
      </c>
      <c r="I605" t="str">
        <f t="shared" si="15"/>
        <v>Ürün İş Listesi</v>
      </c>
      <c r="J605" s="5">
        <v>5</v>
      </c>
    </row>
    <row r="606" spans="1:10" x14ac:dyDescent="0.25">
      <c r="A606" t="s">
        <v>14</v>
      </c>
      <c r="B606" t="s">
        <v>1252</v>
      </c>
      <c r="C606" t="s">
        <v>16</v>
      </c>
      <c r="D606" t="s">
        <v>1253</v>
      </c>
      <c r="E606" s="5" t="s">
        <v>38</v>
      </c>
      <c r="F606" s="5" t="e">
        <f>VLOOKUP(B606,'Türkkep Jira'!B:F,5,0)</f>
        <v>#N/A</v>
      </c>
      <c r="G606" t="str">
        <f>IF(IFERROR(VLOOKUP(B606,'Devam Eden Sprint'!B:B,1,0),"-")=B606,"Devam Eden Sprint","-")</f>
        <v>-</v>
      </c>
      <c r="H606" t="str">
        <f>IF(IFERROR(VLOOKUP(B606,'Gelecek Sprint'!B:B,1,0),"-")=B606,"Gelecek Sprint","-")</f>
        <v>-</v>
      </c>
      <c r="I606" t="str">
        <f t="shared" si="15"/>
        <v>Ürün İş Listesi</v>
      </c>
      <c r="J606" s="5">
        <v>2</v>
      </c>
    </row>
    <row r="607" spans="1:10" x14ac:dyDescent="0.25">
      <c r="A607" t="s">
        <v>14</v>
      </c>
      <c r="B607" t="s">
        <v>1254</v>
      </c>
      <c r="C607" t="s">
        <v>16</v>
      </c>
      <c r="D607" t="s">
        <v>1255</v>
      </c>
      <c r="E607" s="5" t="s">
        <v>991</v>
      </c>
      <c r="F607" s="5" t="e">
        <f>VLOOKUP(B607,'Türkkep Jira'!B:F,5,0)</f>
        <v>#N/A</v>
      </c>
      <c r="G607" t="str">
        <f>IF(IFERROR(VLOOKUP(B607,'Devam Eden Sprint'!B:B,1,0),"-")=B607,"Devam Eden Sprint","-")</f>
        <v>-</v>
      </c>
      <c r="H607" t="str">
        <f>IF(IFERROR(VLOOKUP(B607,'Gelecek Sprint'!B:B,1,0),"-")=B607,"Gelecek Sprint","-")</f>
        <v>-</v>
      </c>
      <c r="I607" t="str">
        <f t="shared" si="15"/>
        <v>Ürün İş Listesi</v>
      </c>
    </row>
    <row r="608" spans="1:10" x14ac:dyDescent="0.25">
      <c r="A608" t="s">
        <v>14</v>
      </c>
      <c r="B608" t="s">
        <v>1256</v>
      </c>
      <c r="C608" t="s">
        <v>16</v>
      </c>
      <c r="D608" t="s">
        <v>1257</v>
      </c>
      <c r="E608" s="5" t="s">
        <v>991</v>
      </c>
      <c r="F608" s="5" t="e">
        <f>VLOOKUP(B608,'Türkkep Jira'!B:F,5,0)</f>
        <v>#N/A</v>
      </c>
      <c r="G608" t="str">
        <f>IF(IFERROR(VLOOKUP(B608,'Devam Eden Sprint'!B:B,1,0),"-")=B608,"Devam Eden Sprint","-")</f>
        <v>-</v>
      </c>
      <c r="H608" t="str">
        <f>IF(IFERROR(VLOOKUP(B608,'Gelecek Sprint'!B:B,1,0),"-")=B608,"Gelecek Sprint","-")</f>
        <v>-</v>
      </c>
      <c r="I608" t="str">
        <f t="shared" si="15"/>
        <v>Ürün İş Listesi</v>
      </c>
    </row>
    <row r="609" spans="1:10" x14ac:dyDescent="0.25">
      <c r="A609" t="s">
        <v>14</v>
      </c>
      <c r="B609" t="s">
        <v>1258</v>
      </c>
      <c r="C609" t="s">
        <v>16</v>
      </c>
      <c r="D609" t="s">
        <v>1259</v>
      </c>
      <c r="E609" s="5" t="s">
        <v>991</v>
      </c>
      <c r="F609" s="5" t="e">
        <f>VLOOKUP(B609,'Türkkep Jira'!B:F,5,0)</f>
        <v>#N/A</v>
      </c>
      <c r="G609" t="str">
        <f>IF(IFERROR(VLOOKUP(B609,'Devam Eden Sprint'!B:B,1,0),"-")=B609,"Devam Eden Sprint","-")</f>
        <v>-</v>
      </c>
      <c r="H609" t="str">
        <f>IF(IFERROR(VLOOKUP(B609,'Gelecek Sprint'!B:B,1,0),"-")=B609,"Gelecek Sprint","-")</f>
        <v>-</v>
      </c>
      <c r="I609" t="str">
        <f t="shared" si="15"/>
        <v>Ürün İş Listesi</v>
      </c>
    </row>
    <row r="610" spans="1:10" x14ac:dyDescent="0.25">
      <c r="A610" t="s">
        <v>14</v>
      </c>
      <c r="B610" t="s">
        <v>1260</v>
      </c>
      <c r="C610" t="s">
        <v>16</v>
      </c>
      <c r="D610" t="s">
        <v>1261</v>
      </c>
      <c r="E610" s="5" t="s">
        <v>991</v>
      </c>
      <c r="F610" s="5" t="e">
        <f>VLOOKUP(B610,'Türkkep Jira'!B:F,5,0)</f>
        <v>#N/A</v>
      </c>
      <c r="G610" t="str">
        <f>IF(IFERROR(VLOOKUP(B610,'Devam Eden Sprint'!B:B,1,0),"-")=B610,"Devam Eden Sprint","-")</f>
        <v>-</v>
      </c>
      <c r="H610" t="str">
        <f>IF(IFERROR(VLOOKUP(B610,'Gelecek Sprint'!B:B,1,0),"-")=B610,"Gelecek Sprint","-")</f>
        <v>-</v>
      </c>
      <c r="I610" t="str">
        <f t="shared" si="15"/>
        <v>Ürün İş Listesi</v>
      </c>
    </row>
    <row r="611" spans="1:10" x14ac:dyDescent="0.25">
      <c r="A611" t="s">
        <v>14</v>
      </c>
      <c r="B611" t="s">
        <v>1262</v>
      </c>
      <c r="C611" t="s">
        <v>16</v>
      </c>
      <c r="D611" t="s">
        <v>1263</v>
      </c>
      <c r="E611" s="5" t="s">
        <v>991</v>
      </c>
      <c r="F611" s="5" t="e">
        <f>VLOOKUP(B611,'Türkkep Jira'!B:F,5,0)</f>
        <v>#N/A</v>
      </c>
      <c r="G611" t="str">
        <f>IF(IFERROR(VLOOKUP(B611,'Devam Eden Sprint'!B:B,1,0),"-")=B611,"Devam Eden Sprint","-")</f>
        <v>-</v>
      </c>
      <c r="H611" t="str">
        <f>IF(IFERROR(VLOOKUP(B611,'Gelecek Sprint'!B:B,1,0),"-")=B611,"Gelecek Sprint","-")</f>
        <v>-</v>
      </c>
      <c r="I611" t="str">
        <f t="shared" si="15"/>
        <v>Ürün İş Listesi</v>
      </c>
    </row>
    <row r="612" spans="1:10" x14ac:dyDescent="0.25">
      <c r="A612" t="s">
        <v>14</v>
      </c>
      <c r="B612" t="s">
        <v>1264</v>
      </c>
      <c r="C612" t="s">
        <v>16</v>
      </c>
      <c r="D612" t="s">
        <v>1265</v>
      </c>
      <c r="E612" s="5" t="s">
        <v>991</v>
      </c>
      <c r="F612" s="5" t="e">
        <f>VLOOKUP(B612,'Türkkep Jira'!B:F,5,0)</f>
        <v>#N/A</v>
      </c>
      <c r="G612" t="str">
        <f>IF(IFERROR(VLOOKUP(B612,'Devam Eden Sprint'!B:B,1,0),"-")=B612,"Devam Eden Sprint","-")</f>
        <v>-</v>
      </c>
      <c r="H612" t="str">
        <f>IF(IFERROR(VLOOKUP(B612,'Gelecek Sprint'!B:B,1,0),"-")=B612,"Gelecek Sprint","-")</f>
        <v>-</v>
      </c>
      <c r="I612" t="str">
        <f t="shared" si="15"/>
        <v>Ürün İş Listesi</v>
      </c>
    </row>
    <row r="613" spans="1:10" x14ac:dyDescent="0.25">
      <c r="A613" t="s">
        <v>14</v>
      </c>
      <c r="B613" t="s">
        <v>1266</v>
      </c>
      <c r="C613" t="s">
        <v>16</v>
      </c>
      <c r="D613" t="s">
        <v>1267</v>
      </c>
      <c r="E613" s="5" t="s">
        <v>991</v>
      </c>
      <c r="F613" s="5" t="e">
        <f>VLOOKUP(B613,'Türkkep Jira'!B:F,5,0)</f>
        <v>#N/A</v>
      </c>
      <c r="G613" t="str">
        <f>IF(IFERROR(VLOOKUP(B613,'Devam Eden Sprint'!B:B,1,0),"-")=B613,"Devam Eden Sprint","-")</f>
        <v>-</v>
      </c>
      <c r="H613" t="str">
        <f>IF(IFERROR(VLOOKUP(B613,'Gelecek Sprint'!B:B,1,0),"-")=B613,"Gelecek Sprint","-")</f>
        <v>-</v>
      </c>
      <c r="I613" t="str">
        <f t="shared" si="15"/>
        <v>Ürün İş Listesi</v>
      </c>
    </row>
    <row r="614" spans="1:10" x14ac:dyDescent="0.25">
      <c r="A614" t="s">
        <v>14</v>
      </c>
      <c r="B614" t="s">
        <v>1268</v>
      </c>
      <c r="C614" t="s">
        <v>16</v>
      </c>
      <c r="D614" t="s">
        <v>1269</v>
      </c>
      <c r="E614" s="5" t="s">
        <v>991</v>
      </c>
      <c r="F614" s="5" t="e">
        <f>VLOOKUP(B614,'Türkkep Jira'!B:F,5,0)</f>
        <v>#N/A</v>
      </c>
      <c r="G614" t="str">
        <f>IF(IFERROR(VLOOKUP(B614,'Devam Eden Sprint'!B:B,1,0),"-")=B614,"Devam Eden Sprint","-")</f>
        <v>-</v>
      </c>
      <c r="H614" t="str">
        <f>IF(IFERROR(VLOOKUP(B614,'Gelecek Sprint'!B:B,1,0),"-")=B614,"Gelecek Sprint","-")</f>
        <v>-</v>
      </c>
      <c r="I614" t="str">
        <f t="shared" si="15"/>
        <v>Ürün İş Listesi</v>
      </c>
    </row>
    <row r="615" spans="1:10" x14ac:dyDescent="0.25">
      <c r="A615" t="s">
        <v>14</v>
      </c>
      <c r="B615" t="s">
        <v>1270</v>
      </c>
      <c r="C615" t="s">
        <v>16</v>
      </c>
      <c r="D615" t="s">
        <v>1271</v>
      </c>
      <c r="E615" s="5" t="s">
        <v>991</v>
      </c>
      <c r="F615" s="5" t="e">
        <f>VLOOKUP(B615,'Türkkep Jira'!B:F,5,0)</f>
        <v>#N/A</v>
      </c>
      <c r="G615" t="str">
        <f>IF(IFERROR(VLOOKUP(B615,'Devam Eden Sprint'!B:B,1,0),"-")=B615,"Devam Eden Sprint","-")</f>
        <v>-</v>
      </c>
      <c r="H615" t="str">
        <f>IF(IFERROR(VLOOKUP(B615,'Gelecek Sprint'!B:B,1,0),"-")=B615,"Gelecek Sprint","-")</f>
        <v>-</v>
      </c>
      <c r="I615" t="str">
        <f t="shared" si="15"/>
        <v>Ürün İş Listesi</v>
      </c>
    </row>
    <row r="616" spans="1:10" x14ac:dyDescent="0.25">
      <c r="A616" t="s">
        <v>14</v>
      </c>
      <c r="B616" t="s">
        <v>1272</v>
      </c>
      <c r="C616" t="s">
        <v>16</v>
      </c>
      <c r="D616" t="s">
        <v>1273</v>
      </c>
      <c r="E616" s="5" t="s">
        <v>991</v>
      </c>
      <c r="F616" s="5" t="e">
        <f>VLOOKUP(B616,'Türkkep Jira'!B:F,5,0)</f>
        <v>#N/A</v>
      </c>
      <c r="G616" t="str">
        <f>IF(IFERROR(VLOOKUP(B616,'Devam Eden Sprint'!B:B,1,0),"-")=B616,"Devam Eden Sprint","-")</f>
        <v>-</v>
      </c>
      <c r="H616" t="str">
        <f>IF(IFERROR(VLOOKUP(B616,'Gelecek Sprint'!B:B,1,0),"-")=B616,"Gelecek Sprint","-")</f>
        <v>-</v>
      </c>
      <c r="I616" t="str">
        <f t="shared" si="15"/>
        <v>Ürün İş Listesi</v>
      </c>
    </row>
    <row r="617" spans="1:10" x14ac:dyDescent="0.25">
      <c r="A617" t="s">
        <v>14</v>
      </c>
      <c r="B617" t="s">
        <v>1274</v>
      </c>
      <c r="C617" t="s">
        <v>16</v>
      </c>
      <c r="D617" t="s">
        <v>1275</v>
      </c>
      <c r="E617" s="5" t="s">
        <v>991</v>
      </c>
      <c r="F617" s="5" t="e">
        <f>VLOOKUP(B617,'Türkkep Jira'!B:F,5,0)</f>
        <v>#N/A</v>
      </c>
      <c r="G617" t="str">
        <f>IF(IFERROR(VLOOKUP(B617,'Devam Eden Sprint'!B:B,1,0),"-")=B617,"Devam Eden Sprint","-")</f>
        <v>-</v>
      </c>
      <c r="H617" t="str">
        <f>IF(IFERROR(VLOOKUP(B617,'Gelecek Sprint'!B:B,1,0),"-")=B617,"Gelecek Sprint","-")</f>
        <v>-</v>
      </c>
      <c r="I617" t="str">
        <f t="shared" ref="I617:I658" si="16">IFERROR(IF(AND(G617="Devam Eden Sprint",H617="Gelecek Sprint"),"Devam Eden ve Gelecek Sprint",IF(G617="Devam Eden Sprint","Devam Eden Sprint",IF(H617="Gelecek Sprint","Gelecek Sprint","Ürün İş Listesi"))),"Ürün İş Listesi")</f>
        <v>Ürün İş Listesi</v>
      </c>
    </row>
    <row r="618" spans="1:10" x14ac:dyDescent="0.25">
      <c r="A618" t="s">
        <v>14</v>
      </c>
      <c r="B618" t="s">
        <v>1276</v>
      </c>
      <c r="C618" t="s">
        <v>16</v>
      </c>
      <c r="D618" t="s">
        <v>1277</v>
      </c>
      <c r="E618" s="5" t="s">
        <v>991</v>
      </c>
      <c r="F618" s="5" t="e">
        <f>VLOOKUP(B618,'Türkkep Jira'!B:F,5,0)</f>
        <v>#N/A</v>
      </c>
      <c r="G618" t="str">
        <f>IF(IFERROR(VLOOKUP(B618,'Devam Eden Sprint'!B:B,1,0),"-")=B618,"Devam Eden Sprint","-")</f>
        <v>-</v>
      </c>
      <c r="H618" t="str">
        <f>IF(IFERROR(VLOOKUP(B618,'Gelecek Sprint'!B:B,1,0),"-")=B618,"Gelecek Sprint","-")</f>
        <v>-</v>
      </c>
      <c r="I618" t="str">
        <f t="shared" si="16"/>
        <v>Ürün İş Listesi</v>
      </c>
    </row>
    <row r="619" spans="1:10" x14ac:dyDescent="0.25">
      <c r="A619" t="s">
        <v>14</v>
      </c>
      <c r="B619" t="s">
        <v>1278</v>
      </c>
      <c r="C619" t="s">
        <v>16</v>
      </c>
      <c r="D619" t="s">
        <v>1279</v>
      </c>
      <c r="E619" s="5" t="s">
        <v>991</v>
      </c>
      <c r="F619" s="5" t="e">
        <f>VLOOKUP(B619,'Türkkep Jira'!B:F,5,0)</f>
        <v>#N/A</v>
      </c>
      <c r="G619" t="str">
        <f>IF(IFERROR(VLOOKUP(B619,'Devam Eden Sprint'!B:B,1,0),"-")=B619,"Devam Eden Sprint","-")</f>
        <v>-</v>
      </c>
      <c r="H619" t="str">
        <f>IF(IFERROR(VLOOKUP(B619,'Gelecek Sprint'!B:B,1,0),"-")=B619,"Gelecek Sprint","-")</f>
        <v>-</v>
      </c>
      <c r="I619" t="str">
        <f t="shared" si="16"/>
        <v>Ürün İş Listesi</v>
      </c>
    </row>
    <row r="620" spans="1:10" x14ac:dyDescent="0.25">
      <c r="A620" t="s">
        <v>14</v>
      </c>
      <c r="B620" t="s">
        <v>1280</v>
      </c>
      <c r="C620" t="s">
        <v>16</v>
      </c>
      <c r="D620" t="s">
        <v>1281</v>
      </c>
      <c r="E620" s="5" t="s">
        <v>991</v>
      </c>
      <c r="F620" s="5" t="e">
        <f>VLOOKUP(B620,'Türkkep Jira'!B:F,5,0)</f>
        <v>#N/A</v>
      </c>
      <c r="G620" t="str">
        <f>IF(IFERROR(VLOOKUP(B620,'Devam Eden Sprint'!B:B,1,0),"-")=B620,"Devam Eden Sprint","-")</f>
        <v>-</v>
      </c>
      <c r="H620" t="str">
        <f>IF(IFERROR(VLOOKUP(B620,'Gelecek Sprint'!B:B,1,0),"-")=B620,"Gelecek Sprint","-")</f>
        <v>-</v>
      </c>
      <c r="I620" t="str">
        <f t="shared" si="16"/>
        <v>Ürün İş Listesi</v>
      </c>
    </row>
    <row r="621" spans="1:10" x14ac:dyDescent="0.25">
      <c r="A621" t="s">
        <v>14</v>
      </c>
      <c r="B621" t="s">
        <v>1282</v>
      </c>
      <c r="C621" t="s">
        <v>16</v>
      </c>
      <c r="D621" t="s">
        <v>1283</v>
      </c>
      <c r="E621" s="5" t="s">
        <v>991</v>
      </c>
      <c r="F621" s="5" t="e">
        <f>VLOOKUP(B621,'Türkkep Jira'!B:F,5,0)</f>
        <v>#N/A</v>
      </c>
      <c r="G621" t="str">
        <f>IF(IFERROR(VLOOKUP(B621,'Devam Eden Sprint'!B:B,1,0),"-")=B621,"Devam Eden Sprint","-")</f>
        <v>-</v>
      </c>
      <c r="H621" t="str">
        <f>IF(IFERROR(VLOOKUP(B621,'Gelecek Sprint'!B:B,1,0),"-")=B621,"Gelecek Sprint","-")</f>
        <v>-</v>
      </c>
      <c r="I621" t="str">
        <f t="shared" si="16"/>
        <v>Ürün İş Listesi</v>
      </c>
    </row>
    <row r="622" spans="1:10" x14ac:dyDescent="0.25">
      <c r="A622" t="s">
        <v>14</v>
      </c>
      <c r="B622" t="s">
        <v>1284</v>
      </c>
      <c r="C622" t="s">
        <v>16</v>
      </c>
      <c r="D622" t="s">
        <v>1285</v>
      </c>
      <c r="E622" s="5" t="s">
        <v>991</v>
      </c>
      <c r="F622" s="5" t="e">
        <f>VLOOKUP(B622,'Türkkep Jira'!B:F,5,0)</f>
        <v>#N/A</v>
      </c>
      <c r="G622" t="str">
        <f>IF(IFERROR(VLOOKUP(B622,'Devam Eden Sprint'!B:B,1,0),"-")=B622,"Devam Eden Sprint","-")</f>
        <v>-</v>
      </c>
      <c r="H622" t="str">
        <f>IF(IFERROR(VLOOKUP(B622,'Gelecek Sprint'!B:B,1,0),"-")=B622,"Gelecek Sprint","-")</f>
        <v>-</v>
      </c>
      <c r="I622" t="str">
        <f t="shared" si="16"/>
        <v>Ürün İş Listesi</v>
      </c>
    </row>
    <row r="623" spans="1:10" x14ac:dyDescent="0.25">
      <c r="A623" t="s">
        <v>14</v>
      </c>
      <c r="B623" t="s">
        <v>1286</v>
      </c>
      <c r="C623" t="s">
        <v>16</v>
      </c>
      <c r="D623" t="s">
        <v>1287</v>
      </c>
      <c r="E623" s="5" t="s">
        <v>127</v>
      </c>
      <c r="F623" s="5" t="e">
        <f>VLOOKUP(B623,'Türkkep Jira'!B:F,5,0)</f>
        <v>#N/A</v>
      </c>
      <c r="G623" t="str">
        <f>IF(IFERROR(VLOOKUP(B623,'Devam Eden Sprint'!B:B,1,0),"-")=B623,"Devam Eden Sprint","-")</f>
        <v>-</v>
      </c>
      <c r="H623" t="str">
        <f>IF(IFERROR(VLOOKUP(B623,'Gelecek Sprint'!B:B,1,0),"-")=B623,"Gelecek Sprint","-")</f>
        <v>-</v>
      </c>
      <c r="I623" t="str">
        <f t="shared" si="16"/>
        <v>Ürün İş Listesi</v>
      </c>
      <c r="J623" s="5">
        <v>3</v>
      </c>
    </row>
    <row r="624" spans="1:10" x14ac:dyDescent="0.25">
      <c r="A624" t="s">
        <v>14</v>
      </c>
      <c r="B624" t="s">
        <v>1288</v>
      </c>
      <c r="C624" t="s">
        <v>16</v>
      </c>
      <c r="D624" t="s">
        <v>1289</v>
      </c>
      <c r="E624" s="5" t="s">
        <v>127</v>
      </c>
      <c r="F624" s="5" t="e">
        <f>VLOOKUP(B624,'Türkkep Jira'!B:F,5,0)</f>
        <v>#N/A</v>
      </c>
      <c r="G624" t="str">
        <f>IF(IFERROR(VLOOKUP(B624,'Devam Eden Sprint'!B:B,1,0),"-")=B624,"Devam Eden Sprint","-")</f>
        <v>-</v>
      </c>
      <c r="H624" t="str">
        <f>IF(IFERROR(VLOOKUP(B624,'Gelecek Sprint'!B:B,1,0),"-")=B624,"Gelecek Sprint","-")</f>
        <v>-</v>
      </c>
      <c r="I624" t="str">
        <f t="shared" si="16"/>
        <v>Ürün İş Listesi</v>
      </c>
      <c r="J624" s="5">
        <v>3</v>
      </c>
    </row>
    <row r="625" spans="1:10" x14ac:dyDescent="0.25">
      <c r="A625" t="s">
        <v>14</v>
      </c>
      <c r="B625" t="s">
        <v>1290</v>
      </c>
      <c r="C625" t="s">
        <v>16</v>
      </c>
      <c r="D625" t="s">
        <v>1291</v>
      </c>
      <c r="E625" s="5" t="s">
        <v>136</v>
      </c>
      <c r="F625" s="5" t="e">
        <f>VLOOKUP(B625,'Türkkep Jira'!B:F,5,0)</f>
        <v>#N/A</v>
      </c>
      <c r="G625" t="str">
        <f>IF(IFERROR(VLOOKUP(B625,'Devam Eden Sprint'!B:B,1,0),"-")=B625,"Devam Eden Sprint","-")</f>
        <v>-</v>
      </c>
      <c r="H625" t="str">
        <f>IF(IFERROR(VLOOKUP(B625,'Gelecek Sprint'!B:B,1,0),"-")=B625,"Gelecek Sprint","-")</f>
        <v>-</v>
      </c>
      <c r="I625" t="str">
        <f t="shared" si="16"/>
        <v>Ürün İş Listesi</v>
      </c>
      <c r="J625" s="5">
        <v>3</v>
      </c>
    </row>
    <row r="626" spans="1:10" x14ac:dyDescent="0.25">
      <c r="A626" t="s">
        <v>14</v>
      </c>
      <c r="B626" t="s">
        <v>1292</v>
      </c>
      <c r="C626" t="s">
        <v>16</v>
      </c>
      <c r="D626" t="s">
        <v>1293</v>
      </c>
      <c r="E626" s="5" t="s">
        <v>1294</v>
      </c>
      <c r="F626" s="5" t="e">
        <f>VLOOKUP(B626,'Türkkep Jira'!B:F,5,0)</f>
        <v>#N/A</v>
      </c>
      <c r="G626" t="str">
        <f>IF(IFERROR(VLOOKUP(B626,'Devam Eden Sprint'!B:B,1,0),"-")=B626,"Devam Eden Sprint","-")</f>
        <v>-</v>
      </c>
      <c r="H626" t="str">
        <f>IF(IFERROR(VLOOKUP(B626,'Gelecek Sprint'!B:B,1,0),"-")=B626,"Gelecek Sprint","-")</f>
        <v>-</v>
      </c>
      <c r="I626" t="str">
        <f t="shared" si="16"/>
        <v>Ürün İş Listesi</v>
      </c>
      <c r="J626" s="5">
        <v>3</v>
      </c>
    </row>
    <row r="627" spans="1:10" x14ac:dyDescent="0.25">
      <c r="A627" t="s">
        <v>14</v>
      </c>
      <c r="B627" t="s">
        <v>1295</v>
      </c>
      <c r="C627" t="s">
        <v>16</v>
      </c>
      <c r="D627" t="s">
        <v>1296</v>
      </c>
      <c r="E627" s="5" t="s">
        <v>50</v>
      </c>
      <c r="F627" s="5" t="e">
        <f>VLOOKUP(B627,'Türkkep Jira'!B:F,5,0)</f>
        <v>#N/A</v>
      </c>
      <c r="G627" t="str">
        <f>IF(IFERROR(VLOOKUP(B627,'Devam Eden Sprint'!B:B,1,0),"-")=B627,"Devam Eden Sprint","-")</f>
        <v>-</v>
      </c>
      <c r="H627" t="str">
        <f>IF(IFERROR(VLOOKUP(B627,'Gelecek Sprint'!B:B,1,0),"-")=B627,"Gelecek Sprint","-")</f>
        <v>-</v>
      </c>
      <c r="I627" t="str">
        <f t="shared" si="16"/>
        <v>Ürün İş Listesi</v>
      </c>
      <c r="J627" s="5">
        <v>3</v>
      </c>
    </row>
    <row r="628" spans="1:10" x14ac:dyDescent="0.25">
      <c r="A628" t="s">
        <v>14</v>
      </c>
      <c r="B628" t="s">
        <v>1297</v>
      </c>
      <c r="C628" t="s">
        <v>16</v>
      </c>
      <c r="D628" t="s">
        <v>1298</v>
      </c>
      <c r="E628" s="5" t="s">
        <v>50</v>
      </c>
      <c r="F628" s="5" t="e">
        <f>VLOOKUP(B628,'Türkkep Jira'!B:F,5,0)</f>
        <v>#N/A</v>
      </c>
      <c r="G628" t="str">
        <f>IF(IFERROR(VLOOKUP(B628,'Devam Eden Sprint'!B:B,1,0),"-")=B628,"Devam Eden Sprint","-")</f>
        <v>-</v>
      </c>
      <c r="H628" t="str">
        <f>IF(IFERROR(VLOOKUP(B628,'Gelecek Sprint'!B:B,1,0),"-")=B628,"Gelecek Sprint","-")</f>
        <v>-</v>
      </c>
      <c r="I628" t="str">
        <f t="shared" si="16"/>
        <v>Ürün İş Listesi</v>
      </c>
      <c r="J628" s="5">
        <v>3</v>
      </c>
    </row>
    <row r="629" spans="1:10" x14ac:dyDescent="0.25">
      <c r="A629" t="s">
        <v>14</v>
      </c>
      <c r="B629" t="s">
        <v>1299</v>
      </c>
      <c r="C629" t="s">
        <v>16</v>
      </c>
      <c r="D629" t="s">
        <v>1300</v>
      </c>
      <c r="E629" s="5" t="s">
        <v>56</v>
      </c>
      <c r="F629" s="5" t="e">
        <f>VLOOKUP(B629,'Türkkep Jira'!B:F,5,0)</f>
        <v>#N/A</v>
      </c>
      <c r="G629" t="str">
        <f>IF(IFERROR(VLOOKUP(B629,'Devam Eden Sprint'!B:B,1,0),"-")=B629,"Devam Eden Sprint","-")</f>
        <v>-</v>
      </c>
      <c r="H629" t="str">
        <f>IF(IFERROR(VLOOKUP(B629,'Gelecek Sprint'!B:B,1,0),"-")=B629,"Gelecek Sprint","-")</f>
        <v>-</v>
      </c>
      <c r="I629" t="str">
        <f t="shared" si="16"/>
        <v>Ürün İş Listesi</v>
      </c>
      <c r="J629" s="5">
        <v>1</v>
      </c>
    </row>
    <row r="630" spans="1:10" x14ac:dyDescent="0.25">
      <c r="A630" t="s">
        <v>14</v>
      </c>
      <c r="B630" t="s">
        <v>1301</v>
      </c>
      <c r="C630" t="s">
        <v>16</v>
      </c>
      <c r="D630" t="s">
        <v>1302</v>
      </c>
      <c r="E630" s="5" t="s">
        <v>56</v>
      </c>
      <c r="F630" s="5" t="e">
        <f>VLOOKUP(B630,'Türkkep Jira'!B:F,5,0)</f>
        <v>#N/A</v>
      </c>
      <c r="G630" t="str">
        <f>IF(IFERROR(VLOOKUP(B630,'Devam Eden Sprint'!B:B,1,0),"-")=B630,"Devam Eden Sprint","-")</f>
        <v>-</v>
      </c>
      <c r="H630" t="str">
        <f>IF(IFERROR(VLOOKUP(B630,'Gelecek Sprint'!B:B,1,0),"-")=B630,"Gelecek Sprint","-")</f>
        <v>-</v>
      </c>
      <c r="I630" t="str">
        <f t="shared" si="16"/>
        <v>Ürün İş Listesi</v>
      </c>
      <c r="J630" s="5">
        <v>1</v>
      </c>
    </row>
    <row r="631" spans="1:10" x14ac:dyDescent="0.25">
      <c r="A631" t="s">
        <v>77</v>
      </c>
      <c r="B631" t="s">
        <v>1303</v>
      </c>
      <c r="C631" t="s">
        <v>16</v>
      </c>
      <c r="D631" t="s">
        <v>1304</v>
      </c>
      <c r="E631" s="5" t="s">
        <v>56</v>
      </c>
      <c r="F631" s="5" t="e">
        <f>VLOOKUP(B631,'Türkkep Jira'!B:F,5,0)</f>
        <v>#N/A</v>
      </c>
      <c r="G631" t="str">
        <f>IF(IFERROR(VLOOKUP(B631,'Devam Eden Sprint'!B:B,1,0),"-")=B631,"Devam Eden Sprint","-")</f>
        <v>-</v>
      </c>
      <c r="H631" t="str">
        <f>IF(IFERROR(VLOOKUP(B631,'Gelecek Sprint'!B:B,1,0),"-")=B631,"Gelecek Sprint","-")</f>
        <v>-</v>
      </c>
      <c r="I631" t="str">
        <f t="shared" si="16"/>
        <v>Ürün İş Listesi</v>
      </c>
      <c r="J631" s="5">
        <v>3</v>
      </c>
    </row>
    <row r="632" spans="1:10" x14ac:dyDescent="0.25">
      <c r="A632" t="s">
        <v>77</v>
      </c>
      <c r="B632" t="s">
        <v>1305</v>
      </c>
      <c r="C632" t="s">
        <v>16</v>
      </c>
      <c r="D632" t="s">
        <v>1306</v>
      </c>
      <c r="E632" s="5" t="s">
        <v>56</v>
      </c>
      <c r="F632" s="5" t="e">
        <f>VLOOKUP(B632,'Türkkep Jira'!B:F,5,0)</f>
        <v>#N/A</v>
      </c>
      <c r="G632" t="str">
        <f>IF(IFERROR(VLOOKUP(B632,'Devam Eden Sprint'!B:B,1,0),"-")=B632,"Devam Eden Sprint","-")</f>
        <v>-</v>
      </c>
      <c r="H632" t="str">
        <f>IF(IFERROR(VLOOKUP(B632,'Gelecek Sprint'!B:B,1,0),"-")=B632,"Gelecek Sprint","-")</f>
        <v>-</v>
      </c>
      <c r="I632" t="str">
        <f t="shared" si="16"/>
        <v>Ürün İş Listesi</v>
      </c>
      <c r="J632" s="5">
        <v>3</v>
      </c>
    </row>
    <row r="633" spans="1:10" x14ac:dyDescent="0.25">
      <c r="A633" t="s">
        <v>14</v>
      </c>
      <c r="B633" t="s">
        <v>1307</v>
      </c>
      <c r="C633" t="s">
        <v>16</v>
      </c>
      <c r="D633" t="s">
        <v>1308</v>
      </c>
      <c r="E633" s="5" t="s">
        <v>56</v>
      </c>
      <c r="F633" s="5" t="e">
        <f>VLOOKUP(B633,'Türkkep Jira'!B:F,5,0)</f>
        <v>#N/A</v>
      </c>
      <c r="G633" t="str">
        <f>IF(IFERROR(VLOOKUP(B633,'Devam Eden Sprint'!B:B,1,0),"-")=B633,"Devam Eden Sprint","-")</f>
        <v>-</v>
      </c>
      <c r="H633" t="str">
        <f>IF(IFERROR(VLOOKUP(B633,'Gelecek Sprint'!B:B,1,0),"-")=B633,"Gelecek Sprint","-")</f>
        <v>-</v>
      </c>
      <c r="I633" t="str">
        <f t="shared" si="16"/>
        <v>Ürün İş Listesi</v>
      </c>
      <c r="J633" s="5">
        <v>3</v>
      </c>
    </row>
    <row r="634" spans="1:10" x14ac:dyDescent="0.25">
      <c r="A634" t="s">
        <v>14</v>
      </c>
      <c r="B634" t="s">
        <v>1309</v>
      </c>
      <c r="C634" t="s">
        <v>16</v>
      </c>
      <c r="D634" t="s">
        <v>1298</v>
      </c>
      <c r="E634" s="5" t="s">
        <v>59</v>
      </c>
      <c r="F634" s="5" t="e">
        <f>VLOOKUP(B634,'Türkkep Jira'!B:F,5,0)</f>
        <v>#N/A</v>
      </c>
      <c r="G634" t="str">
        <f>IF(IFERROR(VLOOKUP(B634,'Devam Eden Sprint'!B:B,1,0),"-")=B634,"Devam Eden Sprint","-")</f>
        <v>-</v>
      </c>
      <c r="H634" t="str">
        <f>IF(IFERROR(VLOOKUP(B634,'Gelecek Sprint'!B:B,1,0),"-")=B634,"Gelecek Sprint","-")</f>
        <v>-</v>
      </c>
      <c r="I634" t="str">
        <f t="shared" si="16"/>
        <v>Ürün İş Listesi</v>
      </c>
      <c r="J634" s="5">
        <v>2</v>
      </c>
    </row>
    <row r="635" spans="1:10" x14ac:dyDescent="0.25">
      <c r="A635" t="s">
        <v>14</v>
      </c>
      <c r="B635" t="s">
        <v>1310</v>
      </c>
      <c r="C635" t="s">
        <v>16</v>
      </c>
      <c r="D635" t="s">
        <v>1311</v>
      </c>
      <c r="E635" s="5" t="s">
        <v>59</v>
      </c>
      <c r="F635" s="5" t="e">
        <f>VLOOKUP(B635,'Türkkep Jira'!B:F,5,0)</f>
        <v>#N/A</v>
      </c>
      <c r="G635" t="str">
        <f>IF(IFERROR(VLOOKUP(B635,'Devam Eden Sprint'!B:B,1,0),"-")=B635,"Devam Eden Sprint","-")</f>
        <v>-</v>
      </c>
      <c r="H635" t="str">
        <f>IF(IFERROR(VLOOKUP(B635,'Gelecek Sprint'!B:B,1,0),"-")=B635,"Gelecek Sprint","-")</f>
        <v>-</v>
      </c>
      <c r="I635" t="str">
        <f t="shared" si="16"/>
        <v>Ürün İş Listesi</v>
      </c>
      <c r="J635" s="5">
        <v>3</v>
      </c>
    </row>
    <row r="636" spans="1:10" x14ac:dyDescent="0.25">
      <c r="A636" t="s">
        <v>14</v>
      </c>
      <c r="B636" t="s">
        <v>1312</v>
      </c>
      <c r="C636" t="s">
        <v>16</v>
      </c>
      <c r="D636" t="s">
        <v>1293</v>
      </c>
      <c r="E636" s="5" t="s">
        <v>59</v>
      </c>
      <c r="F636" s="5" t="e">
        <f>VLOOKUP(B636,'Türkkep Jira'!B:F,5,0)</f>
        <v>#N/A</v>
      </c>
      <c r="G636" t="str">
        <f>IF(IFERROR(VLOOKUP(B636,'Devam Eden Sprint'!B:B,1,0),"-")=B636,"Devam Eden Sprint","-")</f>
        <v>-</v>
      </c>
      <c r="H636" t="str">
        <f>IF(IFERROR(VLOOKUP(B636,'Gelecek Sprint'!B:B,1,0),"-")=B636,"Gelecek Sprint","-")</f>
        <v>-</v>
      </c>
      <c r="I636" t="str">
        <f t="shared" si="16"/>
        <v>Ürün İş Listesi</v>
      </c>
      <c r="J636" s="5">
        <v>3</v>
      </c>
    </row>
    <row r="637" spans="1:10" x14ac:dyDescent="0.25">
      <c r="A637" t="s">
        <v>14</v>
      </c>
      <c r="B637" t="s">
        <v>1313</v>
      </c>
      <c r="C637" t="s">
        <v>16</v>
      </c>
      <c r="D637" t="s">
        <v>1314</v>
      </c>
      <c r="E637" s="5" t="s">
        <v>12</v>
      </c>
      <c r="F637" s="5" t="e">
        <f>VLOOKUP(B637,'Türkkep Jira'!B:F,5,0)</f>
        <v>#N/A</v>
      </c>
      <c r="G637" t="str">
        <f>IF(IFERROR(VLOOKUP(B637,'Devam Eden Sprint'!B:B,1,0),"-")=B637,"Devam Eden Sprint","-")</f>
        <v>-</v>
      </c>
      <c r="H637" t="str">
        <f>IF(IFERROR(VLOOKUP(B637,'Gelecek Sprint'!B:B,1,0),"-")=B637,"Gelecek Sprint","-")</f>
        <v>-</v>
      </c>
      <c r="I637" t="str">
        <f t="shared" si="16"/>
        <v>Ürün İş Listesi</v>
      </c>
      <c r="J637" s="5">
        <v>3</v>
      </c>
    </row>
    <row r="638" spans="1:10" x14ac:dyDescent="0.25">
      <c r="A638" t="s">
        <v>14</v>
      </c>
      <c r="B638" t="s">
        <v>1315</v>
      </c>
      <c r="C638" t="s">
        <v>16</v>
      </c>
      <c r="D638" t="s">
        <v>1316</v>
      </c>
      <c r="E638" s="5" t="s">
        <v>12</v>
      </c>
      <c r="F638" s="5" t="e">
        <f>VLOOKUP(B638,'Türkkep Jira'!B:F,5,0)</f>
        <v>#N/A</v>
      </c>
      <c r="G638" t="str">
        <f>IF(IFERROR(VLOOKUP(B638,'Devam Eden Sprint'!B:B,1,0),"-")=B638,"Devam Eden Sprint","-")</f>
        <v>-</v>
      </c>
      <c r="H638" t="str">
        <f>IF(IFERROR(VLOOKUP(B638,'Gelecek Sprint'!B:B,1,0),"-")=B638,"Gelecek Sprint","-")</f>
        <v>-</v>
      </c>
      <c r="I638" t="str">
        <f t="shared" si="16"/>
        <v>Ürün İş Listesi</v>
      </c>
      <c r="J638" s="5">
        <v>2</v>
      </c>
    </row>
    <row r="639" spans="1:10" x14ac:dyDescent="0.25">
      <c r="A639" t="s">
        <v>14</v>
      </c>
      <c r="B639" t="s">
        <v>1317</v>
      </c>
      <c r="C639" t="s">
        <v>10</v>
      </c>
      <c r="D639" t="s">
        <v>1318</v>
      </c>
      <c r="E639" s="5" t="s">
        <v>12</v>
      </c>
      <c r="F639" s="5" t="e">
        <f>VLOOKUP(B639,'Türkkep Jira'!B:F,5,0)</f>
        <v>#N/A</v>
      </c>
      <c r="G639" t="str">
        <f>IF(IFERROR(VLOOKUP(B639,'Devam Eden Sprint'!B:B,1,0),"-")=B639,"Devam Eden Sprint","-")</f>
        <v>-</v>
      </c>
      <c r="H639" t="str">
        <f>IF(IFERROR(VLOOKUP(B639,'Gelecek Sprint'!B:B,1,0),"-")=B639,"Gelecek Sprint","-")</f>
        <v>-</v>
      </c>
      <c r="I639" t="str">
        <f t="shared" si="16"/>
        <v>Ürün İş Listesi</v>
      </c>
      <c r="J639" s="5">
        <v>3</v>
      </c>
    </row>
    <row r="640" spans="1:10" x14ac:dyDescent="0.25">
      <c r="A640" t="s">
        <v>14</v>
      </c>
      <c r="B640" t="s">
        <v>1319</v>
      </c>
      <c r="C640" t="s">
        <v>16</v>
      </c>
      <c r="D640" t="s">
        <v>1320</v>
      </c>
      <c r="E640" s="5" t="s">
        <v>12</v>
      </c>
      <c r="F640" s="5" t="e">
        <f>VLOOKUP(B640,'Türkkep Jira'!B:F,5,0)</f>
        <v>#N/A</v>
      </c>
      <c r="G640" t="str">
        <f>IF(IFERROR(VLOOKUP(B640,'Devam Eden Sprint'!B:B,1,0),"-")=B640,"Devam Eden Sprint","-")</f>
        <v>-</v>
      </c>
      <c r="H640" t="str">
        <f>IF(IFERROR(VLOOKUP(B640,'Gelecek Sprint'!B:B,1,0),"-")=B640,"Gelecek Sprint","-")</f>
        <v>-</v>
      </c>
      <c r="I640" t="str">
        <f t="shared" si="16"/>
        <v>Ürün İş Listesi</v>
      </c>
      <c r="J640" s="5">
        <v>2</v>
      </c>
    </row>
    <row r="641" spans="1:10" x14ac:dyDescent="0.25">
      <c r="A641" t="s">
        <v>14</v>
      </c>
      <c r="B641" t="s">
        <v>1321</v>
      </c>
      <c r="C641" t="s">
        <v>16</v>
      </c>
      <c r="D641" t="s">
        <v>1322</v>
      </c>
      <c r="E641" s="5" t="s">
        <v>12</v>
      </c>
      <c r="F641" s="5" t="e">
        <f>VLOOKUP(B641,'Türkkep Jira'!B:F,5,0)</f>
        <v>#N/A</v>
      </c>
      <c r="G641" t="str">
        <f>IF(IFERROR(VLOOKUP(B641,'Devam Eden Sprint'!B:B,1,0),"-")=B641,"Devam Eden Sprint","-")</f>
        <v>-</v>
      </c>
      <c r="H641" t="str">
        <f>IF(IFERROR(VLOOKUP(B641,'Gelecek Sprint'!B:B,1,0),"-")=B641,"Gelecek Sprint","-")</f>
        <v>-</v>
      </c>
      <c r="I641" t="str">
        <f t="shared" si="16"/>
        <v>Ürün İş Listesi</v>
      </c>
      <c r="J641" s="5">
        <v>2</v>
      </c>
    </row>
    <row r="642" spans="1:10" x14ac:dyDescent="0.25">
      <c r="A642" t="s">
        <v>14</v>
      </c>
      <c r="B642" t="s">
        <v>1323</v>
      </c>
      <c r="C642" t="s">
        <v>16</v>
      </c>
      <c r="D642" t="s">
        <v>1324</v>
      </c>
      <c r="E642" s="5" t="s">
        <v>41</v>
      </c>
      <c r="F642" s="5" t="e">
        <f>VLOOKUP(B642,'Türkkep Jira'!B:F,5,0)</f>
        <v>#N/A</v>
      </c>
      <c r="G642" t="str">
        <f>IF(IFERROR(VLOOKUP(B642,'Devam Eden Sprint'!B:B,1,0),"-")=B642,"Devam Eden Sprint","-")</f>
        <v>-</v>
      </c>
      <c r="H642" t="str">
        <f>IF(IFERROR(VLOOKUP(B642,'Gelecek Sprint'!B:B,1,0),"-")=B642,"Gelecek Sprint","-")</f>
        <v>-</v>
      </c>
      <c r="I642" t="str">
        <f t="shared" si="16"/>
        <v>Ürün İş Listesi</v>
      </c>
      <c r="J642" s="5">
        <v>2</v>
      </c>
    </row>
    <row r="643" spans="1:10" x14ac:dyDescent="0.25">
      <c r="A643" t="s">
        <v>14</v>
      </c>
      <c r="B643" t="s">
        <v>1325</v>
      </c>
      <c r="C643" t="s">
        <v>16</v>
      </c>
      <c r="D643" t="s">
        <v>1326</v>
      </c>
      <c r="E643" s="5" t="s">
        <v>41</v>
      </c>
      <c r="F643" s="5" t="e">
        <f>VLOOKUP(B643,'Türkkep Jira'!B:F,5,0)</f>
        <v>#N/A</v>
      </c>
      <c r="G643" t="str">
        <f>IF(IFERROR(VLOOKUP(B643,'Devam Eden Sprint'!B:B,1,0),"-")=B643,"Devam Eden Sprint","-")</f>
        <v>-</v>
      </c>
      <c r="H643" t="str">
        <f>IF(IFERROR(VLOOKUP(B643,'Gelecek Sprint'!B:B,1,0),"-")=B643,"Gelecek Sprint","-")</f>
        <v>-</v>
      </c>
      <c r="I643" t="str">
        <f t="shared" si="16"/>
        <v>Ürün İş Listesi</v>
      </c>
      <c r="J643" s="5">
        <v>2</v>
      </c>
    </row>
    <row r="644" spans="1:10" x14ac:dyDescent="0.25">
      <c r="A644" t="s">
        <v>14</v>
      </c>
      <c r="B644" t="s">
        <v>1327</v>
      </c>
      <c r="C644" t="s">
        <v>16</v>
      </c>
      <c r="D644" t="s">
        <v>1328</v>
      </c>
      <c r="E644" s="5" t="s">
        <v>41</v>
      </c>
      <c r="F644" s="5" t="e">
        <f>VLOOKUP(B644,'Türkkep Jira'!B:F,5,0)</f>
        <v>#N/A</v>
      </c>
      <c r="G644" t="str">
        <f>IF(IFERROR(VLOOKUP(B644,'Devam Eden Sprint'!B:B,1,0),"-")=B644,"Devam Eden Sprint","-")</f>
        <v>-</v>
      </c>
      <c r="H644" t="str">
        <f>IF(IFERROR(VLOOKUP(B644,'Gelecek Sprint'!B:B,1,0),"-")=B644,"Gelecek Sprint","-")</f>
        <v>-</v>
      </c>
      <c r="I644" t="str">
        <f t="shared" si="16"/>
        <v>Ürün İş Listesi</v>
      </c>
      <c r="J644" s="5">
        <v>3</v>
      </c>
    </row>
    <row r="645" spans="1:10" x14ac:dyDescent="0.25">
      <c r="A645" t="s">
        <v>14</v>
      </c>
      <c r="B645" t="s">
        <v>1329</v>
      </c>
      <c r="C645" t="s">
        <v>16</v>
      </c>
      <c r="D645" t="s">
        <v>1330</v>
      </c>
      <c r="E645" s="5" t="s">
        <v>41</v>
      </c>
      <c r="F645" s="5" t="e">
        <f>VLOOKUP(B645,'Türkkep Jira'!B:F,5,0)</f>
        <v>#N/A</v>
      </c>
      <c r="G645" t="str">
        <f>IF(IFERROR(VLOOKUP(B645,'Devam Eden Sprint'!B:B,1,0),"-")=B645,"Devam Eden Sprint","-")</f>
        <v>-</v>
      </c>
      <c r="H645" t="str">
        <f>IF(IFERROR(VLOOKUP(B645,'Gelecek Sprint'!B:B,1,0),"-")=B645,"Gelecek Sprint","-")</f>
        <v>-</v>
      </c>
      <c r="I645" t="str">
        <f t="shared" si="16"/>
        <v>Ürün İş Listesi</v>
      </c>
      <c r="J645" s="5">
        <v>3</v>
      </c>
    </row>
    <row r="646" spans="1:10" x14ac:dyDescent="0.25">
      <c r="A646" t="s">
        <v>14</v>
      </c>
      <c r="B646" t="s">
        <v>1331</v>
      </c>
      <c r="C646" t="s">
        <v>16</v>
      </c>
      <c r="D646" t="s">
        <v>1332</v>
      </c>
      <c r="E646" s="5" t="s">
        <v>41</v>
      </c>
      <c r="F646" s="5" t="e">
        <f>VLOOKUP(B646,'Türkkep Jira'!B:F,5,0)</f>
        <v>#N/A</v>
      </c>
      <c r="G646" t="str">
        <f>IF(IFERROR(VLOOKUP(B646,'Devam Eden Sprint'!B:B,1,0),"-")=B646,"Devam Eden Sprint","-")</f>
        <v>-</v>
      </c>
      <c r="H646" t="str">
        <f>IF(IFERROR(VLOOKUP(B646,'Gelecek Sprint'!B:B,1,0),"-")=B646,"Gelecek Sprint","-")</f>
        <v>-</v>
      </c>
      <c r="I646" t="str">
        <f t="shared" si="16"/>
        <v>Ürün İş Listesi</v>
      </c>
      <c r="J646" s="5">
        <v>5</v>
      </c>
    </row>
    <row r="647" spans="1:10" x14ac:dyDescent="0.25">
      <c r="A647" t="s">
        <v>14</v>
      </c>
      <c r="B647" t="s">
        <v>1333</v>
      </c>
      <c r="C647" t="s">
        <v>16</v>
      </c>
      <c r="D647" t="s">
        <v>1334</v>
      </c>
      <c r="E647" s="5" t="s">
        <v>38</v>
      </c>
      <c r="F647" s="5" t="e">
        <f>VLOOKUP(B647,'Türkkep Jira'!B:F,5,0)</f>
        <v>#N/A</v>
      </c>
      <c r="G647" t="str">
        <f>IF(IFERROR(VLOOKUP(B647,'Devam Eden Sprint'!B:B,1,0),"-")=B647,"Devam Eden Sprint","-")</f>
        <v>-</v>
      </c>
      <c r="H647" t="str">
        <f>IF(IFERROR(VLOOKUP(B647,'Gelecek Sprint'!B:B,1,0),"-")=B647,"Gelecek Sprint","-")</f>
        <v>-</v>
      </c>
      <c r="I647" t="str">
        <f t="shared" si="16"/>
        <v>Ürün İş Listesi</v>
      </c>
      <c r="J647" s="5">
        <v>2</v>
      </c>
    </row>
    <row r="648" spans="1:10" x14ac:dyDescent="0.25">
      <c r="A648" t="s">
        <v>77</v>
      </c>
      <c r="B648" t="s">
        <v>1335</v>
      </c>
      <c r="C648" t="s">
        <v>16</v>
      </c>
      <c r="D648" t="s">
        <v>1336</v>
      </c>
      <c r="E648" s="5" t="s">
        <v>56</v>
      </c>
      <c r="F648" s="5" t="e">
        <f>VLOOKUP(B648,'Türkkep Jira'!B:F,5,0)</f>
        <v>#N/A</v>
      </c>
      <c r="G648" t="str">
        <f>IF(IFERROR(VLOOKUP(B648,'Devam Eden Sprint'!B:B,1,0),"-")=B648,"Devam Eden Sprint","-")</f>
        <v>-</v>
      </c>
      <c r="H648" t="str">
        <f>IF(IFERROR(VLOOKUP(B648,'Gelecek Sprint'!B:B,1,0),"-")=B648,"Gelecek Sprint","-")</f>
        <v>-</v>
      </c>
      <c r="I648" t="str">
        <f t="shared" si="16"/>
        <v>Ürün İş Listesi</v>
      </c>
      <c r="J648" s="5">
        <v>3</v>
      </c>
    </row>
    <row r="649" spans="1:10" x14ac:dyDescent="0.25">
      <c r="A649" t="s">
        <v>77</v>
      </c>
      <c r="B649" t="s">
        <v>1337</v>
      </c>
      <c r="C649" t="s">
        <v>16</v>
      </c>
      <c r="D649" t="s">
        <v>1338</v>
      </c>
      <c r="E649" s="5" t="s">
        <v>56</v>
      </c>
      <c r="F649" s="5" t="e">
        <f>VLOOKUP(B649,'Türkkep Jira'!B:F,5,0)</f>
        <v>#N/A</v>
      </c>
      <c r="G649" t="str">
        <f>IF(IFERROR(VLOOKUP(B649,'Devam Eden Sprint'!B:B,1,0),"-")=B649,"Devam Eden Sprint","-")</f>
        <v>-</v>
      </c>
      <c r="H649" t="str">
        <f>IF(IFERROR(VLOOKUP(B649,'Gelecek Sprint'!B:B,1,0),"-")=B649,"Gelecek Sprint","-")</f>
        <v>-</v>
      </c>
      <c r="I649" t="str">
        <f t="shared" si="16"/>
        <v>Ürün İş Listesi</v>
      </c>
      <c r="J649" s="5">
        <v>3</v>
      </c>
    </row>
    <row r="650" spans="1:10" x14ac:dyDescent="0.25">
      <c r="A650" t="s">
        <v>77</v>
      </c>
      <c r="B650" t="s">
        <v>1339</v>
      </c>
      <c r="C650" t="s">
        <v>16</v>
      </c>
      <c r="D650" t="s">
        <v>1340</v>
      </c>
      <c r="E650" s="5" t="s">
        <v>56</v>
      </c>
      <c r="F650" s="5" t="e">
        <f>VLOOKUP(B650,'Türkkep Jira'!B:F,5,0)</f>
        <v>#N/A</v>
      </c>
      <c r="G650" t="str">
        <f>IF(IFERROR(VLOOKUP(B650,'Devam Eden Sprint'!B:B,1,0),"-")=B650,"Devam Eden Sprint","-")</f>
        <v>-</v>
      </c>
      <c r="H650" t="str">
        <f>IF(IFERROR(VLOOKUP(B650,'Gelecek Sprint'!B:B,1,0),"-")=B650,"Gelecek Sprint","-")</f>
        <v>-</v>
      </c>
      <c r="I650" t="str">
        <f t="shared" si="16"/>
        <v>Ürün İş Listesi</v>
      </c>
      <c r="J650" s="5">
        <v>2</v>
      </c>
    </row>
    <row r="651" spans="1:10" x14ac:dyDescent="0.25">
      <c r="A651" t="s">
        <v>14</v>
      </c>
      <c r="B651" t="s">
        <v>1341</v>
      </c>
      <c r="C651" t="s">
        <v>16</v>
      </c>
      <c r="D651" t="s">
        <v>1342</v>
      </c>
      <c r="E651" s="5" t="s">
        <v>12</v>
      </c>
      <c r="F651" s="5" t="e">
        <f>VLOOKUP(B651,'Türkkep Jira'!B:F,5,0)</f>
        <v>#N/A</v>
      </c>
      <c r="G651" t="str">
        <f>IF(IFERROR(VLOOKUP(B651,'Devam Eden Sprint'!B:B,1,0),"-")=B651,"Devam Eden Sprint","-")</f>
        <v>-</v>
      </c>
      <c r="H651" t="str">
        <f>IF(IFERROR(VLOOKUP(B651,'Gelecek Sprint'!B:B,1,0),"-")=B651,"Gelecek Sprint","-")</f>
        <v>-</v>
      </c>
      <c r="I651" t="str">
        <f t="shared" si="16"/>
        <v>Ürün İş Listesi</v>
      </c>
      <c r="J651" s="5">
        <v>1</v>
      </c>
    </row>
    <row r="652" spans="1:10" x14ac:dyDescent="0.25">
      <c r="A652" t="s">
        <v>14</v>
      </c>
      <c r="B652" t="s">
        <v>1343</v>
      </c>
      <c r="C652" t="s">
        <v>16</v>
      </c>
      <c r="D652" t="s">
        <v>1344</v>
      </c>
      <c r="E652" s="5" t="s">
        <v>12</v>
      </c>
      <c r="F652" s="5" t="e">
        <f>VLOOKUP(B652,'Türkkep Jira'!B:F,5,0)</f>
        <v>#N/A</v>
      </c>
      <c r="G652" t="str">
        <f>IF(IFERROR(VLOOKUP(B652,'Devam Eden Sprint'!B:B,1,0),"-")=B652,"Devam Eden Sprint","-")</f>
        <v>-</v>
      </c>
      <c r="H652" t="str">
        <f>IF(IFERROR(VLOOKUP(B652,'Gelecek Sprint'!B:B,1,0),"-")=B652,"Gelecek Sprint","-")</f>
        <v>-</v>
      </c>
      <c r="I652" t="str">
        <f t="shared" si="16"/>
        <v>Ürün İş Listesi</v>
      </c>
      <c r="J652" s="5">
        <v>1</v>
      </c>
    </row>
    <row r="653" spans="1:10" x14ac:dyDescent="0.25">
      <c r="A653" t="s">
        <v>14</v>
      </c>
      <c r="B653" t="s">
        <v>1345</v>
      </c>
      <c r="C653" t="s">
        <v>16</v>
      </c>
      <c r="D653" t="s">
        <v>1346</v>
      </c>
      <c r="E653" s="5" t="s">
        <v>12</v>
      </c>
      <c r="F653" s="5" t="e">
        <f>VLOOKUP(B653,'Türkkep Jira'!B:F,5,0)</f>
        <v>#N/A</v>
      </c>
      <c r="G653" t="str">
        <f>IF(IFERROR(VLOOKUP(B653,'Devam Eden Sprint'!B:B,1,0),"-")=B653,"Devam Eden Sprint","-")</f>
        <v>-</v>
      </c>
      <c r="H653" t="str">
        <f>IF(IFERROR(VLOOKUP(B653,'Gelecek Sprint'!B:B,1,0),"-")=B653,"Gelecek Sprint","-")</f>
        <v>-</v>
      </c>
      <c r="I653" t="str">
        <f t="shared" si="16"/>
        <v>Ürün İş Listesi</v>
      </c>
      <c r="J653" s="5">
        <v>1</v>
      </c>
    </row>
    <row r="654" spans="1:10" x14ac:dyDescent="0.25">
      <c r="A654" t="s">
        <v>14</v>
      </c>
      <c r="B654" t="s">
        <v>1347</v>
      </c>
      <c r="C654" t="s">
        <v>16</v>
      </c>
      <c r="D654" t="s">
        <v>1348</v>
      </c>
      <c r="E654" s="5" t="s">
        <v>12</v>
      </c>
      <c r="F654" s="5" t="e">
        <f>VLOOKUP(B654,'Türkkep Jira'!B:F,5,0)</f>
        <v>#N/A</v>
      </c>
      <c r="G654" t="str">
        <f>IF(IFERROR(VLOOKUP(B654,'Devam Eden Sprint'!B:B,1,0),"-")=B654,"Devam Eden Sprint","-")</f>
        <v>-</v>
      </c>
      <c r="H654" t="str">
        <f>IF(IFERROR(VLOOKUP(B654,'Gelecek Sprint'!B:B,1,0),"-")=B654,"Gelecek Sprint","-")</f>
        <v>-</v>
      </c>
      <c r="I654" t="str">
        <f t="shared" si="16"/>
        <v>Ürün İş Listesi</v>
      </c>
      <c r="J654" s="5">
        <v>2</v>
      </c>
    </row>
    <row r="655" spans="1:10" x14ac:dyDescent="0.25">
      <c r="A655" t="s">
        <v>14</v>
      </c>
      <c r="B655" t="s">
        <v>1349</v>
      </c>
      <c r="C655" t="s">
        <v>16</v>
      </c>
      <c r="D655" t="s">
        <v>1350</v>
      </c>
      <c r="E655" s="5" t="s">
        <v>12</v>
      </c>
      <c r="F655" s="5" t="e">
        <f>VLOOKUP(B655,'Türkkep Jira'!B:F,5,0)</f>
        <v>#N/A</v>
      </c>
      <c r="G655" t="str">
        <f>IF(IFERROR(VLOOKUP(B655,'Devam Eden Sprint'!B:B,1,0),"-")=B655,"Devam Eden Sprint","-")</f>
        <v>-</v>
      </c>
      <c r="H655" t="str">
        <f>IF(IFERROR(VLOOKUP(B655,'Gelecek Sprint'!B:B,1,0),"-")=B655,"Gelecek Sprint","-")</f>
        <v>-</v>
      </c>
      <c r="I655" t="str">
        <f t="shared" si="16"/>
        <v>Ürün İş Listesi</v>
      </c>
      <c r="J655" s="5">
        <v>2</v>
      </c>
    </row>
    <row r="656" spans="1:10" x14ac:dyDescent="0.25">
      <c r="A656" t="s">
        <v>14</v>
      </c>
      <c r="B656" t="s">
        <v>1351</v>
      </c>
      <c r="C656" t="s">
        <v>16</v>
      </c>
      <c r="D656" t="s">
        <v>1352</v>
      </c>
      <c r="E656" s="5" t="s">
        <v>12</v>
      </c>
      <c r="F656" s="5" t="e">
        <f>VLOOKUP(B656,'Türkkep Jira'!B:F,5,0)</f>
        <v>#N/A</v>
      </c>
      <c r="G656" t="str">
        <f>IF(IFERROR(VLOOKUP(B656,'Devam Eden Sprint'!B:B,1,0),"-")=B656,"Devam Eden Sprint","-")</f>
        <v>-</v>
      </c>
      <c r="H656" t="str">
        <f>IF(IFERROR(VLOOKUP(B656,'Gelecek Sprint'!B:B,1,0),"-")=B656,"Gelecek Sprint","-")</f>
        <v>-</v>
      </c>
      <c r="I656" t="str">
        <f t="shared" si="16"/>
        <v>Ürün İş Listesi</v>
      </c>
      <c r="J656" s="5">
        <v>2</v>
      </c>
    </row>
    <row r="657" spans="1:10" x14ac:dyDescent="0.25">
      <c r="A657" t="s">
        <v>14</v>
      </c>
      <c r="B657" t="s">
        <v>1353</v>
      </c>
      <c r="C657" t="s">
        <v>16</v>
      </c>
      <c r="D657" t="s">
        <v>1354</v>
      </c>
      <c r="E657" s="5" t="s">
        <v>455</v>
      </c>
      <c r="F657" s="5" t="e">
        <f>VLOOKUP(B657,'Türkkep Jira'!B:F,5,0)</f>
        <v>#N/A</v>
      </c>
      <c r="G657" t="str">
        <f>IF(IFERROR(VLOOKUP(B657,'Devam Eden Sprint'!B:B,1,0),"-")=B657,"Devam Eden Sprint","-")</f>
        <v>-</v>
      </c>
      <c r="H657" t="str">
        <f>IF(IFERROR(VLOOKUP(B657,'Gelecek Sprint'!B:B,1,0),"-")=B657,"Gelecek Sprint","-")</f>
        <v>-</v>
      </c>
      <c r="I657" t="str">
        <f t="shared" si="16"/>
        <v>Ürün İş Listesi</v>
      </c>
      <c r="J657" s="5">
        <v>3</v>
      </c>
    </row>
    <row r="658" spans="1:10" x14ac:dyDescent="0.25">
      <c r="A658" t="s">
        <v>14</v>
      </c>
      <c r="B658" t="s">
        <v>1355</v>
      </c>
      <c r="C658" t="s">
        <v>16</v>
      </c>
      <c r="D658" t="s">
        <v>1354</v>
      </c>
      <c r="E658" s="5" t="s">
        <v>1356</v>
      </c>
      <c r="F658" s="5" t="e">
        <f>VLOOKUP(B658,'Türkkep Jira'!B:F,5,0)</f>
        <v>#N/A</v>
      </c>
      <c r="G658" t="str">
        <f>IF(IFERROR(VLOOKUP(B658,'Devam Eden Sprint'!B:B,1,0),"-")=B658,"Devam Eden Sprint","-")</f>
        <v>-</v>
      </c>
      <c r="H658" t="str">
        <f>IF(IFERROR(VLOOKUP(B658,'Gelecek Sprint'!B:B,1,0),"-")=B658,"Gelecek Sprint","-")</f>
        <v>-</v>
      </c>
      <c r="I658" t="str">
        <f t="shared" si="16"/>
        <v>Ürün İş Listesi</v>
      </c>
      <c r="J658" s="5">
        <v>3</v>
      </c>
    </row>
    <row r="659" spans="1:10" x14ac:dyDescent="0.25">
      <c r="A659" t="s">
        <v>14</v>
      </c>
      <c r="B659" t="s">
        <v>1357</v>
      </c>
      <c r="C659" t="s">
        <v>16</v>
      </c>
      <c r="D659" t="s">
        <v>1358</v>
      </c>
      <c r="E659" s="5" t="s">
        <v>133</v>
      </c>
      <c r="F659" s="5" t="e">
        <f>VLOOKUP(B659,'Türkkep Jira'!B:F,5,0)</f>
        <v>#N/A</v>
      </c>
      <c r="G659" t="str">
        <f>IF(IFERROR(VLOOKUP(B659,'Devam Eden Sprint'!B:B,1,0),"-")=B659,"Devam Eden Sprint","-")</f>
        <v>-</v>
      </c>
      <c r="H659" t="str">
        <f>IF(IFERROR(VLOOKUP(B659,'Gelecek Sprint'!B:B,1,0),"-")=B659,"Gelecek Sprint","-")</f>
        <v>-</v>
      </c>
      <c r="I659" t="str">
        <f>IFERROR(IF(AND(G659="Devam Eden Sprint",H659="Gelecek Sprint"),"Devam Eden ve Gelecek Sprint",IF(G659="Devam Eden Sprint","Devam Eden Sprint",IF(H659="Gelecek Sprint","Gelecek Sprint","Ürün İş Listesi"))),"Ürün İş Listesi")</f>
        <v>Ürün İş Listesi</v>
      </c>
      <c r="J659" s="5">
        <v>2</v>
      </c>
    </row>
    <row r="660" spans="1:10" x14ac:dyDescent="0.25">
      <c r="A660" t="s">
        <v>14</v>
      </c>
      <c r="B660" t="s">
        <v>1359</v>
      </c>
      <c r="C660" t="s">
        <v>16</v>
      </c>
      <c r="D660" t="s">
        <v>1360</v>
      </c>
      <c r="E660" s="5" t="s">
        <v>136</v>
      </c>
      <c r="F660" s="5" t="e">
        <f>VLOOKUP(B660,'Türkkep Jira'!B:F,5,0)</f>
        <v>#N/A</v>
      </c>
      <c r="G660" t="str">
        <f>IF(IFERROR(VLOOKUP(B660,'Devam Eden Sprint'!B:B,1,0),"-")=B660,"Devam Eden Sprint","-")</f>
        <v>-</v>
      </c>
      <c r="H660" t="str">
        <f>IF(IFERROR(VLOOKUP(B660,'Gelecek Sprint'!B:B,1,0),"-")=B660,"Gelecek Sprint","-")</f>
        <v>-</v>
      </c>
      <c r="I660" t="str">
        <f t="shared" ref="I660:I723" si="17">IFERROR(IF(AND(G660="Devam Eden Sprint",H660="Gelecek Sprint"),"Devam Eden ve Gelecek Sprint",IF(G660="Devam Eden Sprint","Devam Eden Sprint",IF(H660="Gelecek Sprint","Gelecek Sprint","Ürün İş Listesi"))),"Ürün İş Listesi")</f>
        <v>Ürün İş Listesi</v>
      </c>
      <c r="J660" s="5">
        <v>2</v>
      </c>
    </row>
    <row r="661" spans="1:10" x14ac:dyDescent="0.25">
      <c r="A661" t="s">
        <v>14</v>
      </c>
      <c r="B661" t="s">
        <v>1361</v>
      </c>
      <c r="C661" t="s">
        <v>16</v>
      </c>
      <c r="D661" t="s">
        <v>1362</v>
      </c>
      <c r="E661" s="5" t="s">
        <v>41</v>
      </c>
      <c r="F661" s="5" t="e">
        <f>VLOOKUP(B661,'Türkkep Jira'!B:F,5,0)</f>
        <v>#N/A</v>
      </c>
      <c r="G661" t="str">
        <f>IF(IFERROR(VLOOKUP(B661,'Devam Eden Sprint'!B:B,1,0),"-")=B661,"Devam Eden Sprint","-")</f>
        <v>-</v>
      </c>
      <c r="H661" t="str">
        <f>IF(IFERROR(VLOOKUP(B661,'Gelecek Sprint'!B:B,1,0),"-")=B661,"Gelecek Sprint","-")</f>
        <v>-</v>
      </c>
      <c r="I661" t="str">
        <f t="shared" si="17"/>
        <v>Ürün İş Listesi</v>
      </c>
      <c r="J661" s="5">
        <v>1</v>
      </c>
    </row>
    <row r="662" spans="1:10" x14ac:dyDescent="0.25">
      <c r="A662" t="s">
        <v>14</v>
      </c>
      <c r="B662" t="s">
        <v>1363</v>
      </c>
      <c r="C662" t="s">
        <v>16</v>
      </c>
      <c r="D662" t="s">
        <v>1364</v>
      </c>
      <c r="E662" s="5" t="s">
        <v>41</v>
      </c>
      <c r="F662" s="5" t="e">
        <f>VLOOKUP(B662,'Türkkep Jira'!B:F,5,0)</f>
        <v>#N/A</v>
      </c>
      <c r="G662" t="str">
        <f>IF(IFERROR(VLOOKUP(B662,'Devam Eden Sprint'!B:B,1,0),"-")=B662,"Devam Eden Sprint","-")</f>
        <v>-</v>
      </c>
      <c r="H662" t="str">
        <f>IF(IFERROR(VLOOKUP(B662,'Gelecek Sprint'!B:B,1,0),"-")=B662,"Gelecek Sprint","-")</f>
        <v>-</v>
      </c>
      <c r="I662" t="str">
        <f t="shared" si="17"/>
        <v>Ürün İş Listesi</v>
      </c>
      <c r="J662" s="5">
        <v>3</v>
      </c>
    </row>
    <row r="663" spans="1:10" x14ac:dyDescent="0.25">
      <c r="A663" t="s">
        <v>14</v>
      </c>
      <c r="B663" t="s">
        <v>1365</v>
      </c>
      <c r="C663" t="s">
        <v>10</v>
      </c>
      <c r="D663" t="s">
        <v>1366</v>
      </c>
      <c r="E663" s="5" t="s">
        <v>41</v>
      </c>
      <c r="F663" s="5" t="e">
        <f>VLOOKUP(B663,'Türkkep Jira'!B:F,5,0)</f>
        <v>#N/A</v>
      </c>
      <c r="G663" t="str">
        <f>IF(IFERROR(VLOOKUP(B663,'Devam Eden Sprint'!B:B,1,0),"-")=B663,"Devam Eden Sprint","-")</f>
        <v>-</v>
      </c>
      <c r="H663" t="str">
        <f>IF(IFERROR(VLOOKUP(B663,'Gelecek Sprint'!B:B,1,0),"-")=B663,"Gelecek Sprint","-")</f>
        <v>-</v>
      </c>
      <c r="I663" t="str">
        <f t="shared" si="17"/>
        <v>Ürün İş Listesi</v>
      </c>
      <c r="J663" s="5">
        <v>2</v>
      </c>
    </row>
    <row r="664" spans="1:10" x14ac:dyDescent="0.25">
      <c r="A664" t="s">
        <v>14</v>
      </c>
      <c r="B664" t="s">
        <v>1367</v>
      </c>
      <c r="C664" t="s">
        <v>10</v>
      </c>
      <c r="D664" t="s">
        <v>1368</v>
      </c>
      <c r="E664" s="5" t="s">
        <v>41</v>
      </c>
      <c r="F664" s="5" t="e">
        <f>VLOOKUP(B664,'Türkkep Jira'!B:F,5,0)</f>
        <v>#N/A</v>
      </c>
      <c r="G664" t="str">
        <f>IF(IFERROR(VLOOKUP(B664,'Devam Eden Sprint'!B:B,1,0),"-")=B664,"Devam Eden Sprint","-")</f>
        <v>-</v>
      </c>
      <c r="H664" t="str">
        <f>IF(IFERROR(VLOOKUP(B664,'Gelecek Sprint'!B:B,1,0),"-")=B664,"Gelecek Sprint","-")</f>
        <v>-</v>
      </c>
      <c r="I664" t="str">
        <f t="shared" si="17"/>
        <v>Ürün İş Listesi</v>
      </c>
      <c r="J664" s="5">
        <v>2</v>
      </c>
    </row>
    <row r="665" spans="1:10" x14ac:dyDescent="0.25">
      <c r="A665" t="s">
        <v>14</v>
      </c>
      <c r="B665" t="s">
        <v>1369</v>
      </c>
      <c r="C665" t="s">
        <v>16</v>
      </c>
      <c r="D665" t="s">
        <v>1358</v>
      </c>
      <c r="E665" s="5" t="s">
        <v>41</v>
      </c>
      <c r="F665" s="5" t="e">
        <f>VLOOKUP(B665,'Türkkep Jira'!B:F,5,0)</f>
        <v>#N/A</v>
      </c>
      <c r="G665" t="str">
        <f>IF(IFERROR(VLOOKUP(B665,'Devam Eden Sprint'!B:B,1,0),"-")=B665,"Devam Eden Sprint","-")</f>
        <v>-</v>
      </c>
      <c r="H665" t="str">
        <f>IF(IFERROR(VLOOKUP(B665,'Gelecek Sprint'!B:B,1,0),"-")=B665,"Gelecek Sprint","-")</f>
        <v>-</v>
      </c>
      <c r="I665" t="str">
        <f>IFERROR(IF(AND(G665="Devam Eden Sprint",H665="Gelecek Sprint"),"Devam Eden ve Gelecek Sprint",IF(G665="Devam Eden Sprint","Devam Eden Sprint",IF(H665="Gelecek Sprint","Gelecek Sprint","Ürün İş Listesi"))),"Ürün İş Listesi")</f>
        <v>Ürün İş Listesi</v>
      </c>
      <c r="J665" s="5">
        <v>3</v>
      </c>
    </row>
    <row r="666" spans="1:10" x14ac:dyDescent="0.25">
      <c r="A666" t="s">
        <v>14</v>
      </c>
      <c r="B666" t="s">
        <v>1370</v>
      </c>
      <c r="C666" t="s">
        <v>16</v>
      </c>
      <c r="D666" t="s">
        <v>1371</v>
      </c>
      <c r="E666" s="5" t="s">
        <v>59</v>
      </c>
      <c r="F666" s="5" t="e">
        <f>VLOOKUP(B666,'Türkkep Jira'!B:F,5,0)</f>
        <v>#N/A</v>
      </c>
      <c r="G666" t="str">
        <f>IF(IFERROR(VLOOKUP(B666,'Devam Eden Sprint'!B:B,1,0),"-")=B666,"Devam Eden Sprint","-")</f>
        <v>-</v>
      </c>
      <c r="H666" t="str">
        <f>IF(IFERROR(VLOOKUP(B666,'Gelecek Sprint'!B:B,1,0),"-")=B666,"Gelecek Sprint","-")</f>
        <v>-</v>
      </c>
      <c r="I666" t="str">
        <f t="shared" si="17"/>
        <v>Ürün İş Listesi</v>
      </c>
      <c r="J666" s="5">
        <v>3</v>
      </c>
    </row>
    <row r="667" spans="1:10" x14ac:dyDescent="0.25">
      <c r="A667" t="s">
        <v>14</v>
      </c>
      <c r="B667" t="s">
        <v>1372</v>
      </c>
      <c r="C667" t="s">
        <v>16</v>
      </c>
      <c r="D667" t="s">
        <v>1373</v>
      </c>
      <c r="E667" s="5" t="s">
        <v>127</v>
      </c>
      <c r="F667" s="5" t="e">
        <f>VLOOKUP(B667,'Türkkep Jira'!B:F,5,0)</f>
        <v>#N/A</v>
      </c>
      <c r="G667" t="str">
        <f>IF(IFERROR(VLOOKUP(B667,'Devam Eden Sprint'!B:B,1,0),"-")=B667,"Devam Eden Sprint","-")</f>
        <v>-</v>
      </c>
      <c r="H667" t="str">
        <f>IF(IFERROR(VLOOKUP(B667,'Gelecek Sprint'!B:B,1,0),"-")=B667,"Gelecek Sprint","-")</f>
        <v>-</v>
      </c>
      <c r="I667" t="str">
        <f t="shared" si="17"/>
        <v>Ürün İş Listesi</v>
      </c>
    </row>
    <row r="668" spans="1:10" x14ac:dyDescent="0.25">
      <c r="A668" t="s">
        <v>14</v>
      </c>
      <c r="B668" t="s">
        <v>1374</v>
      </c>
      <c r="C668" t="s">
        <v>16</v>
      </c>
      <c r="D668" t="s">
        <v>1298</v>
      </c>
      <c r="E668" s="5" t="s">
        <v>59</v>
      </c>
      <c r="F668" s="5" t="e">
        <f>VLOOKUP(B668,'Türkkep Jira'!B:F,5,0)</f>
        <v>#N/A</v>
      </c>
      <c r="G668" t="str">
        <f>IF(IFERROR(VLOOKUP(B668,'Devam Eden Sprint'!B:B,1,0),"-")=B668,"Devam Eden Sprint","-")</f>
        <v>-</v>
      </c>
      <c r="H668" t="str">
        <f>IF(IFERROR(VLOOKUP(B668,'Gelecek Sprint'!B:B,1,0),"-")=B668,"Gelecek Sprint","-")</f>
        <v>-</v>
      </c>
      <c r="I668" t="str">
        <f t="shared" si="17"/>
        <v>Ürün İş Listesi</v>
      </c>
    </row>
    <row r="669" spans="1:10" x14ac:dyDescent="0.25">
      <c r="A669" t="s">
        <v>14</v>
      </c>
      <c r="B669" t="s">
        <v>1375</v>
      </c>
      <c r="C669" t="s">
        <v>16</v>
      </c>
      <c r="D669" t="s">
        <v>1358</v>
      </c>
      <c r="E669" s="5" t="s">
        <v>455</v>
      </c>
      <c r="F669" s="5" t="e">
        <f>VLOOKUP(B669,'Türkkep Jira'!B:F,5,0)</f>
        <v>#N/A</v>
      </c>
      <c r="G669" t="str">
        <f>IF(IFERROR(VLOOKUP(B669,'Devam Eden Sprint'!B:B,1,0),"-")=B669,"Devam Eden Sprint","-")</f>
        <v>-</v>
      </c>
      <c r="H669" t="str">
        <f>IF(IFERROR(VLOOKUP(B669,'Gelecek Sprint'!B:B,1,0),"-")=B669,"Gelecek Sprint","-")</f>
        <v>-</v>
      </c>
      <c r="I669" t="str">
        <f t="shared" si="17"/>
        <v>Ürün İş Listesi</v>
      </c>
      <c r="J669" s="5">
        <v>3</v>
      </c>
    </row>
    <row r="670" spans="1:10" x14ac:dyDescent="0.25">
      <c r="A670" t="s">
        <v>14</v>
      </c>
      <c r="B670" t="s">
        <v>1376</v>
      </c>
      <c r="C670" t="s">
        <v>16</v>
      </c>
      <c r="D670" t="s">
        <v>1377</v>
      </c>
      <c r="E670" s="5" t="s">
        <v>56</v>
      </c>
      <c r="F670" s="5" t="e">
        <f>VLOOKUP(B670,'Türkkep Jira'!B:F,5,0)</f>
        <v>#N/A</v>
      </c>
      <c r="G670" t="str">
        <f>IF(IFERROR(VLOOKUP(B670,'Devam Eden Sprint'!B:B,1,0),"-")=B670,"Devam Eden Sprint","-")</f>
        <v>-</v>
      </c>
      <c r="H670" t="str">
        <f>IF(IFERROR(VLOOKUP(B670,'Gelecek Sprint'!B:B,1,0),"-")=B670,"Gelecek Sprint","-")</f>
        <v>-</v>
      </c>
      <c r="I670" t="str">
        <f t="shared" si="17"/>
        <v>Ürün İş Listesi</v>
      </c>
    </row>
    <row r="671" spans="1:10" x14ac:dyDescent="0.25">
      <c r="A671" t="s">
        <v>14</v>
      </c>
      <c r="B671" t="s">
        <v>1378</v>
      </c>
      <c r="C671" t="s">
        <v>16</v>
      </c>
      <c r="D671" t="s">
        <v>1358</v>
      </c>
      <c r="E671" s="5" t="s">
        <v>53</v>
      </c>
      <c r="F671" s="5" t="e">
        <f>VLOOKUP(B671,'Türkkep Jira'!B:F,5,0)</f>
        <v>#N/A</v>
      </c>
      <c r="G671" t="str">
        <f>IF(IFERROR(VLOOKUP(B671,'Devam Eden Sprint'!B:B,1,0),"-")=B671,"Devam Eden Sprint","-")</f>
        <v>-</v>
      </c>
      <c r="H671" t="str">
        <f>IF(IFERROR(VLOOKUP(B671,'Gelecek Sprint'!B:B,1,0),"-")=B671,"Gelecek Sprint","-")</f>
        <v>-</v>
      </c>
      <c r="I671" t="str">
        <f t="shared" si="17"/>
        <v>Ürün İş Listesi</v>
      </c>
      <c r="J671" s="5">
        <v>3</v>
      </c>
    </row>
    <row r="672" spans="1:10" x14ac:dyDescent="0.25">
      <c r="A672" t="s">
        <v>1379</v>
      </c>
      <c r="B672" t="s">
        <v>1380</v>
      </c>
      <c r="C672" t="s">
        <v>16</v>
      </c>
      <c r="D672" t="s">
        <v>1381</v>
      </c>
      <c r="E672" s="5" t="s">
        <v>50</v>
      </c>
      <c r="F672" s="5" t="e">
        <f>VLOOKUP(B672,'Türkkep Jira'!B:F,5,0)</f>
        <v>#N/A</v>
      </c>
      <c r="G672" t="str">
        <f>IF(IFERROR(VLOOKUP(B672,'Devam Eden Sprint'!B:B,1,0),"-")=B672,"Devam Eden Sprint","-")</f>
        <v>-</v>
      </c>
      <c r="H672" t="str">
        <f>IF(IFERROR(VLOOKUP(B672,'Gelecek Sprint'!B:B,1,0),"-")=B672,"Gelecek Sprint","-")</f>
        <v>-</v>
      </c>
      <c r="I672" t="str">
        <f t="shared" si="17"/>
        <v>Ürün İş Listesi</v>
      </c>
    </row>
    <row r="673" spans="1:10" x14ac:dyDescent="0.25">
      <c r="A673" t="s">
        <v>77</v>
      </c>
      <c r="B673" t="s">
        <v>1382</v>
      </c>
      <c r="C673" t="s">
        <v>16</v>
      </c>
      <c r="D673" t="s">
        <v>1383</v>
      </c>
      <c r="E673" s="5" t="s">
        <v>44</v>
      </c>
      <c r="F673" s="5" t="e">
        <f>VLOOKUP(B673,'Türkkep Jira'!B:F,5,0)</f>
        <v>#N/A</v>
      </c>
      <c r="G673" t="str">
        <f>IF(IFERROR(VLOOKUP(B673,'Devam Eden Sprint'!B:B,1,0),"-")=B673,"Devam Eden Sprint","-")</f>
        <v>-</v>
      </c>
      <c r="H673" t="str">
        <f>IF(IFERROR(VLOOKUP(B673,'Gelecek Sprint'!B:B,1,0),"-")=B673,"Gelecek Sprint","-")</f>
        <v>-</v>
      </c>
      <c r="I673" t="str">
        <f t="shared" si="17"/>
        <v>Ürün İş Listesi</v>
      </c>
    </row>
    <row r="674" spans="1:10" x14ac:dyDescent="0.25">
      <c r="A674" t="s">
        <v>14</v>
      </c>
      <c r="B674" t="s">
        <v>1384</v>
      </c>
      <c r="C674" t="s">
        <v>16</v>
      </c>
      <c r="D674" t="s">
        <v>1385</v>
      </c>
      <c r="E674" s="5" t="s">
        <v>1386</v>
      </c>
      <c r="F674" s="5" t="e">
        <f>VLOOKUP(B674,'Türkkep Jira'!B:F,5,0)</f>
        <v>#N/A</v>
      </c>
      <c r="G674" t="str">
        <f>IF(IFERROR(VLOOKUP(B674,'Devam Eden Sprint'!B:B,1,0),"-")=B674,"Devam Eden Sprint","-")</f>
        <v>-</v>
      </c>
      <c r="H674" t="str">
        <f>IF(IFERROR(VLOOKUP(B674,'Gelecek Sprint'!B:B,1,0),"-")=B674,"Gelecek Sprint","-")</f>
        <v>-</v>
      </c>
      <c r="I674" t="str">
        <f t="shared" si="17"/>
        <v>Ürün İş Listesi</v>
      </c>
      <c r="J674" s="5">
        <v>2</v>
      </c>
    </row>
    <row r="675" spans="1:10" x14ac:dyDescent="0.25">
      <c r="A675" t="s">
        <v>14</v>
      </c>
      <c r="B675" t="s">
        <v>1387</v>
      </c>
      <c r="C675" t="s">
        <v>16</v>
      </c>
      <c r="D675" t="s">
        <v>1388</v>
      </c>
      <c r="E675" s="5" t="s">
        <v>1386</v>
      </c>
      <c r="F675" s="5" t="e">
        <f>VLOOKUP(B675,'Türkkep Jira'!B:F,5,0)</f>
        <v>#N/A</v>
      </c>
      <c r="G675" t="str">
        <f>IF(IFERROR(VLOOKUP(B675,'Devam Eden Sprint'!B:B,1,0),"-")=B675,"Devam Eden Sprint","-")</f>
        <v>-</v>
      </c>
      <c r="H675" t="str">
        <f>IF(IFERROR(VLOOKUP(B675,'Gelecek Sprint'!B:B,1,0),"-")=B675,"Gelecek Sprint","-")</f>
        <v>-</v>
      </c>
      <c r="I675" t="str">
        <f t="shared" si="17"/>
        <v>Ürün İş Listesi</v>
      </c>
      <c r="J675" s="5">
        <v>2</v>
      </c>
    </row>
    <row r="676" spans="1:10" x14ac:dyDescent="0.25">
      <c r="A676" t="s">
        <v>14</v>
      </c>
      <c r="B676" t="s">
        <v>1389</v>
      </c>
      <c r="C676" t="s">
        <v>16</v>
      </c>
      <c r="D676" t="s">
        <v>1390</v>
      </c>
      <c r="E676" s="5" t="s">
        <v>41</v>
      </c>
      <c r="F676" s="5" t="e">
        <f>VLOOKUP(B676,'Türkkep Jira'!B:F,5,0)</f>
        <v>#N/A</v>
      </c>
      <c r="G676" t="str">
        <f>IF(IFERROR(VLOOKUP(B676,'Devam Eden Sprint'!B:B,1,0),"-")=B676,"Devam Eden Sprint","-")</f>
        <v>-</v>
      </c>
      <c r="H676" t="str">
        <f>IF(IFERROR(VLOOKUP(B676,'Gelecek Sprint'!B:B,1,0),"-")=B676,"Gelecek Sprint","-")</f>
        <v>-</v>
      </c>
      <c r="I676" t="str">
        <f t="shared" si="17"/>
        <v>Ürün İş Listesi</v>
      </c>
      <c r="J676" s="5">
        <v>2</v>
      </c>
    </row>
    <row r="677" spans="1:10" x14ac:dyDescent="0.25">
      <c r="A677" t="s">
        <v>14</v>
      </c>
      <c r="B677" t="s">
        <v>1391</v>
      </c>
      <c r="C677" t="s">
        <v>16</v>
      </c>
      <c r="D677" t="s">
        <v>1392</v>
      </c>
      <c r="E677" s="5" t="s">
        <v>41</v>
      </c>
      <c r="F677" s="5" t="e">
        <f>VLOOKUP(B677,'Türkkep Jira'!B:F,5,0)</f>
        <v>#N/A</v>
      </c>
      <c r="G677" t="str">
        <f>IF(IFERROR(VLOOKUP(B677,'Devam Eden Sprint'!B:B,1,0),"-")=B677,"Devam Eden Sprint","-")</f>
        <v>-</v>
      </c>
      <c r="H677" t="str">
        <f>IF(IFERROR(VLOOKUP(B677,'Gelecek Sprint'!B:B,1,0),"-")=B677,"Gelecek Sprint","-")</f>
        <v>-</v>
      </c>
      <c r="I677" t="str">
        <f t="shared" si="17"/>
        <v>Ürün İş Listesi</v>
      </c>
      <c r="J677" s="5">
        <v>3</v>
      </c>
    </row>
    <row r="678" spans="1:10" x14ac:dyDescent="0.25">
      <c r="A678" t="s">
        <v>14</v>
      </c>
      <c r="B678" t="s">
        <v>1393</v>
      </c>
      <c r="C678" t="s">
        <v>16</v>
      </c>
      <c r="D678" t="s">
        <v>1394</v>
      </c>
      <c r="E678" s="5" t="s">
        <v>41</v>
      </c>
      <c r="F678" s="5" t="e">
        <f>VLOOKUP(B678,'Türkkep Jira'!B:F,5,0)</f>
        <v>#N/A</v>
      </c>
      <c r="G678" t="str">
        <f>IF(IFERROR(VLOOKUP(B678,'Devam Eden Sprint'!B:B,1,0),"-")=B678,"Devam Eden Sprint","-")</f>
        <v>-</v>
      </c>
      <c r="H678" t="str">
        <f>IF(IFERROR(VLOOKUP(B678,'Gelecek Sprint'!B:B,1,0),"-")=B678,"Gelecek Sprint","-")</f>
        <v>-</v>
      </c>
      <c r="I678" t="str">
        <f t="shared" si="17"/>
        <v>Ürün İş Listesi</v>
      </c>
      <c r="J678" s="5">
        <v>2</v>
      </c>
    </row>
    <row r="679" spans="1:10" x14ac:dyDescent="0.25">
      <c r="A679" t="s">
        <v>14</v>
      </c>
      <c r="B679" t="s">
        <v>1395</v>
      </c>
      <c r="C679" t="s">
        <v>16</v>
      </c>
      <c r="D679" t="s">
        <v>1396</v>
      </c>
      <c r="E679" s="5" t="s">
        <v>41</v>
      </c>
      <c r="F679" s="5" t="e">
        <f>VLOOKUP(B679,'Türkkep Jira'!B:F,5,0)</f>
        <v>#N/A</v>
      </c>
      <c r="G679" t="str">
        <f>IF(IFERROR(VLOOKUP(B679,'Devam Eden Sprint'!B:B,1,0),"-")=B679,"Devam Eden Sprint","-")</f>
        <v>-</v>
      </c>
      <c r="H679" t="str">
        <f>IF(IFERROR(VLOOKUP(B679,'Gelecek Sprint'!B:B,1,0),"-")=B679,"Gelecek Sprint","-")</f>
        <v>-</v>
      </c>
      <c r="I679" t="str">
        <f t="shared" si="17"/>
        <v>Ürün İş Listesi</v>
      </c>
      <c r="J679" s="5">
        <v>3</v>
      </c>
    </row>
    <row r="680" spans="1:10" x14ac:dyDescent="0.25">
      <c r="A680" t="s">
        <v>14</v>
      </c>
      <c r="B680" t="s">
        <v>1397</v>
      </c>
      <c r="C680" t="s">
        <v>16</v>
      </c>
      <c r="D680" t="s">
        <v>1398</v>
      </c>
      <c r="E680" s="5" t="s">
        <v>41</v>
      </c>
      <c r="F680" s="5" t="e">
        <f>VLOOKUP(B680,'Türkkep Jira'!B:F,5,0)</f>
        <v>#N/A</v>
      </c>
      <c r="G680" t="str">
        <f>IF(IFERROR(VLOOKUP(B680,'Devam Eden Sprint'!B:B,1,0),"-")=B680,"Devam Eden Sprint","-")</f>
        <v>-</v>
      </c>
      <c r="H680" t="str">
        <f>IF(IFERROR(VLOOKUP(B680,'Gelecek Sprint'!B:B,1,0),"-")=B680,"Gelecek Sprint","-")</f>
        <v>-</v>
      </c>
      <c r="I680" t="str">
        <f t="shared" si="17"/>
        <v>Ürün İş Listesi</v>
      </c>
      <c r="J680" s="5">
        <v>2</v>
      </c>
    </row>
    <row r="681" spans="1:10" x14ac:dyDescent="0.25">
      <c r="A681" t="s">
        <v>14</v>
      </c>
      <c r="B681" t="s">
        <v>1399</v>
      </c>
      <c r="C681" t="s">
        <v>16</v>
      </c>
      <c r="D681" t="s">
        <v>1400</v>
      </c>
      <c r="E681" s="5" t="s">
        <v>41</v>
      </c>
      <c r="F681" s="5" t="e">
        <f>VLOOKUP(B681,'Türkkep Jira'!B:F,5,0)</f>
        <v>#N/A</v>
      </c>
      <c r="G681" t="str">
        <f>IF(IFERROR(VLOOKUP(B681,'Devam Eden Sprint'!B:B,1,0),"-")=B681,"Devam Eden Sprint","-")</f>
        <v>-</v>
      </c>
      <c r="H681" t="str">
        <f>IF(IFERROR(VLOOKUP(B681,'Gelecek Sprint'!B:B,1,0),"-")=B681,"Gelecek Sprint","-")</f>
        <v>-</v>
      </c>
      <c r="I681" t="str">
        <f t="shared" si="17"/>
        <v>Ürün İş Listesi</v>
      </c>
    </row>
    <row r="682" spans="1:10" x14ac:dyDescent="0.25">
      <c r="A682" t="s">
        <v>14</v>
      </c>
      <c r="B682" t="s">
        <v>1401</v>
      </c>
      <c r="C682" t="s">
        <v>16</v>
      </c>
      <c r="D682" t="s">
        <v>1402</v>
      </c>
      <c r="E682" s="5" t="s">
        <v>38</v>
      </c>
      <c r="F682" s="5" t="e">
        <f>VLOOKUP(B682,'Türkkep Jira'!B:F,5,0)</f>
        <v>#N/A</v>
      </c>
      <c r="G682" t="str">
        <f>IF(IFERROR(VLOOKUP(B682,'Devam Eden Sprint'!B:B,1,0),"-")=B682,"Devam Eden Sprint","-")</f>
        <v>-</v>
      </c>
      <c r="H682" t="str">
        <f>IF(IFERROR(VLOOKUP(B682,'Gelecek Sprint'!B:B,1,0),"-")=B682,"Gelecek Sprint","-")</f>
        <v>-</v>
      </c>
      <c r="I682" t="str">
        <f t="shared" si="17"/>
        <v>Ürün İş Listesi</v>
      </c>
      <c r="J682" s="5">
        <v>3</v>
      </c>
    </row>
    <row r="683" spans="1:10" x14ac:dyDescent="0.25">
      <c r="A683" t="s">
        <v>14</v>
      </c>
      <c r="B683" t="s">
        <v>1403</v>
      </c>
      <c r="C683" t="s">
        <v>192</v>
      </c>
      <c r="D683" t="s">
        <v>1404</v>
      </c>
      <c r="E683" s="5" t="s">
        <v>38</v>
      </c>
      <c r="F683" s="5" t="e">
        <f>VLOOKUP(B683,'Türkkep Jira'!B:F,5,0)</f>
        <v>#N/A</v>
      </c>
      <c r="G683" t="str">
        <f>IF(IFERROR(VLOOKUP(B683,'Devam Eden Sprint'!B:B,1,0),"-")=B683,"Devam Eden Sprint","-")</f>
        <v>-</v>
      </c>
      <c r="H683" t="str">
        <f>IF(IFERROR(VLOOKUP(B683,'Gelecek Sprint'!B:B,1,0),"-")=B683,"Gelecek Sprint","-")</f>
        <v>-</v>
      </c>
      <c r="I683" t="str">
        <f t="shared" si="17"/>
        <v>Ürün İş Listesi</v>
      </c>
    </row>
    <row r="684" spans="1:10" x14ac:dyDescent="0.25">
      <c r="A684" t="s">
        <v>14</v>
      </c>
      <c r="B684" t="s">
        <v>1405</v>
      </c>
      <c r="C684" t="s">
        <v>16</v>
      </c>
      <c r="D684" t="s">
        <v>1406</v>
      </c>
      <c r="E684" s="5" t="s">
        <v>991</v>
      </c>
      <c r="F684" s="5" t="e">
        <f>VLOOKUP(B684,'Türkkep Jira'!B:F,5,0)</f>
        <v>#N/A</v>
      </c>
      <c r="G684" t="str">
        <f>IF(IFERROR(VLOOKUP(B684,'Devam Eden Sprint'!B:B,1,0),"-")=B684,"Devam Eden Sprint","-")</f>
        <v>-</v>
      </c>
      <c r="H684" t="str">
        <f>IF(IFERROR(VLOOKUP(B684,'Gelecek Sprint'!B:B,1,0),"-")=B684,"Gelecek Sprint","-")</f>
        <v>-</v>
      </c>
      <c r="I684" t="str">
        <f t="shared" si="17"/>
        <v>Ürün İş Listesi</v>
      </c>
    </row>
    <row r="685" spans="1:10" x14ac:dyDescent="0.25">
      <c r="A685" t="s">
        <v>14</v>
      </c>
      <c r="B685" t="s">
        <v>1407</v>
      </c>
      <c r="C685" t="s">
        <v>16</v>
      </c>
      <c r="D685" t="s">
        <v>1408</v>
      </c>
      <c r="E685" s="5" t="s">
        <v>991</v>
      </c>
      <c r="F685" s="5" t="e">
        <f>VLOOKUP(B685,'Türkkep Jira'!B:F,5,0)</f>
        <v>#N/A</v>
      </c>
      <c r="G685" t="str">
        <f>IF(IFERROR(VLOOKUP(B685,'Devam Eden Sprint'!B:B,1,0),"-")=B685,"Devam Eden Sprint","-")</f>
        <v>-</v>
      </c>
      <c r="H685" t="str">
        <f>IF(IFERROR(VLOOKUP(B685,'Gelecek Sprint'!B:B,1,0),"-")=B685,"Gelecek Sprint","-")</f>
        <v>-</v>
      </c>
      <c r="I685" t="str">
        <f t="shared" si="17"/>
        <v>Ürün İş Listesi</v>
      </c>
    </row>
    <row r="686" spans="1:10" x14ac:dyDescent="0.25">
      <c r="A686" t="s">
        <v>14</v>
      </c>
      <c r="B686" t="s">
        <v>1409</v>
      </c>
      <c r="C686" t="s">
        <v>16</v>
      </c>
      <c r="D686" t="s">
        <v>1410</v>
      </c>
      <c r="E686" s="5" t="s">
        <v>991</v>
      </c>
      <c r="F686" s="5" t="e">
        <f>VLOOKUP(B686,'Türkkep Jira'!B:F,5,0)</f>
        <v>#N/A</v>
      </c>
      <c r="G686" t="str">
        <f>IF(IFERROR(VLOOKUP(B686,'Devam Eden Sprint'!B:B,1,0),"-")=B686,"Devam Eden Sprint","-")</f>
        <v>-</v>
      </c>
      <c r="H686" t="str">
        <f>IF(IFERROR(VLOOKUP(B686,'Gelecek Sprint'!B:B,1,0),"-")=B686,"Gelecek Sprint","-")</f>
        <v>-</v>
      </c>
      <c r="I686" t="str">
        <f t="shared" si="17"/>
        <v>Ürün İş Listesi</v>
      </c>
    </row>
    <row r="687" spans="1:10" x14ac:dyDescent="0.25">
      <c r="A687" t="s">
        <v>14</v>
      </c>
      <c r="B687" t="s">
        <v>1411</v>
      </c>
      <c r="C687" t="s">
        <v>16</v>
      </c>
      <c r="D687" t="s">
        <v>1412</v>
      </c>
      <c r="E687" s="5" t="s">
        <v>991</v>
      </c>
      <c r="F687" s="5" t="e">
        <f>VLOOKUP(B687,'Türkkep Jira'!B:F,5,0)</f>
        <v>#N/A</v>
      </c>
      <c r="G687" t="str">
        <f>IF(IFERROR(VLOOKUP(B687,'Devam Eden Sprint'!B:B,1,0),"-")=B687,"Devam Eden Sprint","-")</f>
        <v>-</v>
      </c>
      <c r="H687" t="str">
        <f>IF(IFERROR(VLOOKUP(B687,'Gelecek Sprint'!B:B,1,0),"-")=B687,"Gelecek Sprint","-")</f>
        <v>-</v>
      </c>
      <c r="I687" t="str">
        <f t="shared" si="17"/>
        <v>Ürün İş Listesi</v>
      </c>
    </row>
    <row r="688" spans="1:10" x14ac:dyDescent="0.25">
      <c r="A688" t="s">
        <v>14</v>
      </c>
      <c r="B688" t="s">
        <v>1413</v>
      </c>
      <c r="C688" t="s">
        <v>16</v>
      </c>
      <c r="D688" t="s">
        <v>1414</v>
      </c>
      <c r="E688" s="5" t="s">
        <v>991</v>
      </c>
      <c r="F688" s="5" t="e">
        <f>VLOOKUP(B688,'Türkkep Jira'!B:F,5,0)</f>
        <v>#N/A</v>
      </c>
      <c r="G688" t="str">
        <f>IF(IFERROR(VLOOKUP(B688,'Devam Eden Sprint'!B:B,1,0),"-")=B688,"Devam Eden Sprint","-")</f>
        <v>-</v>
      </c>
      <c r="H688" t="str">
        <f>IF(IFERROR(VLOOKUP(B688,'Gelecek Sprint'!B:B,1,0),"-")=B688,"Gelecek Sprint","-")</f>
        <v>-</v>
      </c>
      <c r="I688" t="str">
        <f t="shared" si="17"/>
        <v>Ürün İş Listesi</v>
      </c>
    </row>
    <row r="689" spans="1:9" x14ac:dyDescent="0.25">
      <c r="A689" t="s">
        <v>14</v>
      </c>
      <c r="B689" t="s">
        <v>1415</v>
      </c>
      <c r="C689" t="s">
        <v>16</v>
      </c>
      <c r="D689" t="s">
        <v>1416</v>
      </c>
      <c r="E689" s="5" t="s">
        <v>991</v>
      </c>
      <c r="F689" s="5" t="e">
        <f>VLOOKUP(B689,'Türkkep Jira'!B:F,5,0)</f>
        <v>#N/A</v>
      </c>
      <c r="G689" t="str">
        <f>IF(IFERROR(VLOOKUP(B689,'Devam Eden Sprint'!B:B,1,0),"-")=B689,"Devam Eden Sprint","-")</f>
        <v>-</v>
      </c>
      <c r="H689" t="str">
        <f>IF(IFERROR(VLOOKUP(B689,'Gelecek Sprint'!B:B,1,0),"-")=B689,"Gelecek Sprint","-")</f>
        <v>-</v>
      </c>
      <c r="I689" t="str">
        <f t="shared" si="17"/>
        <v>Ürün İş Listesi</v>
      </c>
    </row>
    <row r="690" spans="1:9" x14ac:dyDescent="0.25">
      <c r="A690" t="s">
        <v>1379</v>
      </c>
      <c r="B690" t="s">
        <v>1417</v>
      </c>
      <c r="C690" t="s">
        <v>16</v>
      </c>
      <c r="D690" t="s">
        <v>1418</v>
      </c>
      <c r="E690" s="5" t="s">
        <v>991</v>
      </c>
      <c r="F690" s="5" t="e">
        <f>VLOOKUP(B690,'Türkkep Jira'!B:F,5,0)</f>
        <v>#N/A</v>
      </c>
      <c r="G690" t="str">
        <f>IF(IFERROR(VLOOKUP(B690,'Devam Eden Sprint'!B:B,1,0),"-")=B690,"Devam Eden Sprint","-")</f>
        <v>-</v>
      </c>
      <c r="H690" t="str">
        <f>IF(IFERROR(VLOOKUP(B690,'Gelecek Sprint'!B:B,1,0),"-")=B690,"Gelecek Sprint","-")</f>
        <v>-</v>
      </c>
      <c r="I690" t="str">
        <f t="shared" si="17"/>
        <v>Ürün İş Listesi</v>
      </c>
    </row>
    <row r="691" spans="1:9" x14ac:dyDescent="0.25">
      <c r="A691" t="s">
        <v>14</v>
      </c>
      <c r="B691" t="s">
        <v>1419</v>
      </c>
      <c r="C691" t="s">
        <v>16</v>
      </c>
      <c r="D691" t="s">
        <v>1420</v>
      </c>
      <c r="E691" s="5" t="s">
        <v>991</v>
      </c>
      <c r="F691" s="5" t="e">
        <f>VLOOKUP(B691,'Türkkep Jira'!B:F,5,0)</f>
        <v>#N/A</v>
      </c>
      <c r="G691" t="str">
        <f>IF(IFERROR(VLOOKUP(B691,'Devam Eden Sprint'!B:B,1,0),"-")=B691,"Devam Eden Sprint","-")</f>
        <v>-</v>
      </c>
      <c r="H691" t="str">
        <f>IF(IFERROR(VLOOKUP(B691,'Gelecek Sprint'!B:B,1,0),"-")=B691,"Gelecek Sprint","-")</f>
        <v>-</v>
      </c>
      <c r="I691" t="str">
        <f t="shared" si="17"/>
        <v>Ürün İş Listesi</v>
      </c>
    </row>
    <row r="692" spans="1:9" x14ac:dyDescent="0.25">
      <c r="A692" t="s">
        <v>14</v>
      </c>
      <c r="B692" t="s">
        <v>1421</v>
      </c>
      <c r="C692" t="s">
        <v>16</v>
      </c>
      <c r="D692" t="s">
        <v>1422</v>
      </c>
      <c r="E692" s="5" t="s">
        <v>991</v>
      </c>
      <c r="F692" s="5" t="e">
        <f>VLOOKUP(B692,'Türkkep Jira'!B:F,5,0)</f>
        <v>#N/A</v>
      </c>
      <c r="G692" t="str">
        <f>IF(IFERROR(VLOOKUP(B692,'Devam Eden Sprint'!B:B,1,0),"-")=B692,"Devam Eden Sprint","-")</f>
        <v>-</v>
      </c>
      <c r="H692" t="str">
        <f>IF(IFERROR(VLOOKUP(B692,'Gelecek Sprint'!B:B,1,0),"-")=B692,"Gelecek Sprint","-")</f>
        <v>-</v>
      </c>
      <c r="I692" t="str">
        <f t="shared" si="17"/>
        <v>Ürün İş Listesi</v>
      </c>
    </row>
    <row r="693" spans="1:9" x14ac:dyDescent="0.25">
      <c r="A693" t="s">
        <v>14</v>
      </c>
      <c r="B693" t="s">
        <v>1423</v>
      </c>
      <c r="C693" t="s">
        <v>16</v>
      </c>
      <c r="D693" t="s">
        <v>1424</v>
      </c>
      <c r="E693" s="5" t="s">
        <v>991</v>
      </c>
      <c r="F693" s="5" t="e">
        <f>VLOOKUP(B693,'Türkkep Jira'!B:F,5,0)</f>
        <v>#N/A</v>
      </c>
      <c r="G693" t="str">
        <f>IF(IFERROR(VLOOKUP(B693,'Devam Eden Sprint'!B:B,1,0),"-")=B693,"Devam Eden Sprint","-")</f>
        <v>-</v>
      </c>
      <c r="H693" t="str">
        <f>IF(IFERROR(VLOOKUP(B693,'Gelecek Sprint'!B:B,1,0),"-")=B693,"Gelecek Sprint","-")</f>
        <v>-</v>
      </c>
      <c r="I693" t="str">
        <f t="shared" si="17"/>
        <v>Ürün İş Listesi</v>
      </c>
    </row>
    <row r="694" spans="1:9" x14ac:dyDescent="0.25">
      <c r="A694" t="s">
        <v>14</v>
      </c>
      <c r="B694" t="s">
        <v>1425</v>
      </c>
      <c r="C694" t="s">
        <v>16</v>
      </c>
      <c r="D694" t="s">
        <v>1426</v>
      </c>
      <c r="E694" s="5" t="s">
        <v>991</v>
      </c>
      <c r="F694" s="5" t="e">
        <f>VLOOKUP(B694,'Türkkep Jira'!B:F,5,0)</f>
        <v>#N/A</v>
      </c>
      <c r="G694" t="str">
        <f>IF(IFERROR(VLOOKUP(B694,'Devam Eden Sprint'!B:B,1,0),"-")=B694,"Devam Eden Sprint","-")</f>
        <v>-</v>
      </c>
      <c r="H694" t="str">
        <f>IF(IFERROR(VLOOKUP(B694,'Gelecek Sprint'!B:B,1,0),"-")=B694,"Gelecek Sprint","-")</f>
        <v>-</v>
      </c>
      <c r="I694" t="str">
        <f t="shared" si="17"/>
        <v>Ürün İş Listesi</v>
      </c>
    </row>
    <row r="695" spans="1:9" x14ac:dyDescent="0.25">
      <c r="A695" t="s">
        <v>14</v>
      </c>
      <c r="B695" t="s">
        <v>1427</v>
      </c>
      <c r="C695" t="s">
        <v>16</v>
      </c>
      <c r="D695" t="s">
        <v>1428</v>
      </c>
      <c r="E695" s="5" t="s">
        <v>991</v>
      </c>
      <c r="F695" s="5" t="e">
        <f>VLOOKUP(B695,'Türkkep Jira'!B:F,5,0)</f>
        <v>#N/A</v>
      </c>
      <c r="G695" t="str">
        <f>IF(IFERROR(VLOOKUP(B695,'Devam Eden Sprint'!B:B,1,0),"-")=B695,"Devam Eden Sprint","-")</f>
        <v>-</v>
      </c>
      <c r="H695" t="str">
        <f>IF(IFERROR(VLOOKUP(B695,'Gelecek Sprint'!B:B,1,0),"-")=B695,"Gelecek Sprint","-")</f>
        <v>-</v>
      </c>
      <c r="I695" t="str">
        <f t="shared" si="17"/>
        <v>Ürün İş Listesi</v>
      </c>
    </row>
    <row r="696" spans="1:9" x14ac:dyDescent="0.25">
      <c r="A696" t="s">
        <v>14</v>
      </c>
      <c r="B696" t="s">
        <v>1429</v>
      </c>
      <c r="C696" t="s">
        <v>16</v>
      </c>
      <c r="D696" t="s">
        <v>1430</v>
      </c>
      <c r="E696" s="5" t="s">
        <v>991</v>
      </c>
      <c r="F696" s="5" t="e">
        <f>VLOOKUP(B696,'Türkkep Jira'!B:F,5,0)</f>
        <v>#N/A</v>
      </c>
      <c r="G696" t="str">
        <f>IF(IFERROR(VLOOKUP(B696,'Devam Eden Sprint'!B:B,1,0),"-")=B696,"Devam Eden Sprint","-")</f>
        <v>-</v>
      </c>
      <c r="H696" t="str">
        <f>IF(IFERROR(VLOOKUP(B696,'Gelecek Sprint'!B:B,1,0),"-")=B696,"Gelecek Sprint","-")</f>
        <v>-</v>
      </c>
      <c r="I696" t="str">
        <f t="shared" si="17"/>
        <v>Ürün İş Listesi</v>
      </c>
    </row>
    <row r="697" spans="1:9" x14ac:dyDescent="0.25">
      <c r="A697" t="s">
        <v>14</v>
      </c>
      <c r="B697" t="s">
        <v>1431</v>
      </c>
      <c r="C697" t="s">
        <v>16</v>
      </c>
      <c r="D697" t="s">
        <v>1432</v>
      </c>
      <c r="E697" s="5" t="s">
        <v>991</v>
      </c>
      <c r="F697" s="5" t="e">
        <f>VLOOKUP(B697,'Türkkep Jira'!B:F,5,0)</f>
        <v>#N/A</v>
      </c>
      <c r="G697" t="str">
        <f>IF(IFERROR(VLOOKUP(B697,'Devam Eden Sprint'!B:B,1,0),"-")=B697,"Devam Eden Sprint","-")</f>
        <v>-</v>
      </c>
      <c r="H697" t="str">
        <f>IF(IFERROR(VLOOKUP(B697,'Gelecek Sprint'!B:B,1,0),"-")=B697,"Gelecek Sprint","-")</f>
        <v>-</v>
      </c>
      <c r="I697" t="str">
        <f t="shared" si="17"/>
        <v>Ürün İş Listesi</v>
      </c>
    </row>
    <row r="698" spans="1:9" x14ac:dyDescent="0.25">
      <c r="A698" t="s">
        <v>14</v>
      </c>
      <c r="B698" t="s">
        <v>1433</v>
      </c>
      <c r="C698" t="s">
        <v>16</v>
      </c>
      <c r="D698" t="s">
        <v>1434</v>
      </c>
      <c r="E698" s="5" t="s">
        <v>991</v>
      </c>
      <c r="F698" s="5" t="e">
        <f>VLOOKUP(B698,'Türkkep Jira'!B:F,5,0)</f>
        <v>#N/A</v>
      </c>
      <c r="G698" t="str">
        <f>IF(IFERROR(VLOOKUP(B698,'Devam Eden Sprint'!B:B,1,0),"-")=B698,"Devam Eden Sprint","-")</f>
        <v>-</v>
      </c>
      <c r="H698" t="str">
        <f>IF(IFERROR(VLOOKUP(B698,'Gelecek Sprint'!B:B,1,0),"-")=B698,"Gelecek Sprint","-")</f>
        <v>-</v>
      </c>
      <c r="I698" t="str">
        <f t="shared" si="17"/>
        <v>Ürün İş Listesi</v>
      </c>
    </row>
    <row r="699" spans="1:9" x14ac:dyDescent="0.25">
      <c r="A699" t="s">
        <v>14</v>
      </c>
      <c r="B699" t="s">
        <v>1435</v>
      </c>
      <c r="C699" t="s">
        <v>16</v>
      </c>
      <c r="D699" t="s">
        <v>1436</v>
      </c>
      <c r="E699" s="5" t="s">
        <v>991</v>
      </c>
      <c r="F699" s="5" t="e">
        <f>VLOOKUP(B699,'Türkkep Jira'!B:F,5,0)</f>
        <v>#N/A</v>
      </c>
      <c r="G699" t="str">
        <f>IF(IFERROR(VLOOKUP(B699,'Devam Eden Sprint'!B:B,1,0),"-")=B699,"Devam Eden Sprint","-")</f>
        <v>-</v>
      </c>
      <c r="H699" t="str">
        <f>IF(IFERROR(VLOOKUP(B699,'Gelecek Sprint'!B:B,1,0),"-")=B699,"Gelecek Sprint","-")</f>
        <v>-</v>
      </c>
      <c r="I699" t="str">
        <f t="shared" si="17"/>
        <v>Ürün İş Listesi</v>
      </c>
    </row>
    <row r="700" spans="1:9" x14ac:dyDescent="0.25">
      <c r="A700" t="s">
        <v>1379</v>
      </c>
      <c r="B700" t="s">
        <v>1437</v>
      </c>
      <c r="C700" t="s">
        <v>16</v>
      </c>
      <c r="D700" t="s">
        <v>1438</v>
      </c>
      <c r="E700" s="5" t="s">
        <v>991</v>
      </c>
      <c r="F700" s="5" t="e">
        <f>VLOOKUP(B700,'Türkkep Jira'!B:F,5,0)</f>
        <v>#N/A</v>
      </c>
      <c r="G700" t="str">
        <f>IF(IFERROR(VLOOKUP(B700,'Devam Eden Sprint'!B:B,1,0),"-")=B700,"Devam Eden Sprint","-")</f>
        <v>-</v>
      </c>
      <c r="H700" t="str">
        <f>IF(IFERROR(VLOOKUP(B700,'Gelecek Sprint'!B:B,1,0),"-")=B700,"Gelecek Sprint","-")</f>
        <v>-</v>
      </c>
      <c r="I700" t="str">
        <f t="shared" si="17"/>
        <v>Ürün İş Listesi</v>
      </c>
    </row>
    <row r="701" spans="1:9" x14ac:dyDescent="0.25">
      <c r="A701" t="s">
        <v>1379</v>
      </c>
      <c r="B701" t="s">
        <v>1439</v>
      </c>
      <c r="C701" t="s">
        <v>16</v>
      </c>
      <c r="D701" t="s">
        <v>1438</v>
      </c>
      <c r="E701" s="5" t="s">
        <v>991</v>
      </c>
      <c r="F701" s="5" t="e">
        <f>VLOOKUP(B701,'Türkkep Jira'!B:F,5,0)</f>
        <v>#N/A</v>
      </c>
      <c r="G701" t="str">
        <f>IF(IFERROR(VLOOKUP(B701,'Devam Eden Sprint'!B:B,1,0),"-")=B701,"Devam Eden Sprint","-")</f>
        <v>-</v>
      </c>
      <c r="H701" t="str">
        <f>IF(IFERROR(VLOOKUP(B701,'Gelecek Sprint'!B:B,1,0),"-")=B701,"Gelecek Sprint","-")</f>
        <v>-</v>
      </c>
      <c r="I701" t="str">
        <f t="shared" si="17"/>
        <v>Ürün İş Listesi</v>
      </c>
    </row>
    <row r="702" spans="1:9" x14ac:dyDescent="0.25">
      <c r="A702" t="s">
        <v>1379</v>
      </c>
      <c r="B702" t="s">
        <v>1440</v>
      </c>
      <c r="C702" t="s">
        <v>16</v>
      </c>
      <c r="D702" t="s">
        <v>1438</v>
      </c>
      <c r="E702" s="5" t="s">
        <v>991</v>
      </c>
      <c r="F702" s="5" t="e">
        <f>VLOOKUP(B702,'Türkkep Jira'!B:F,5,0)</f>
        <v>#N/A</v>
      </c>
      <c r="G702" t="str">
        <f>IF(IFERROR(VLOOKUP(B702,'Devam Eden Sprint'!B:B,1,0),"-")=B702,"Devam Eden Sprint","-")</f>
        <v>-</v>
      </c>
      <c r="H702" t="str">
        <f>IF(IFERROR(VLOOKUP(B702,'Gelecek Sprint'!B:B,1,0),"-")=B702,"Gelecek Sprint","-")</f>
        <v>-</v>
      </c>
      <c r="I702" t="str">
        <f t="shared" si="17"/>
        <v>Ürün İş Listesi</v>
      </c>
    </row>
    <row r="703" spans="1:9" x14ac:dyDescent="0.25">
      <c r="A703" t="s">
        <v>14</v>
      </c>
      <c r="B703" t="s">
        <v>1441</v>
      </c>
      <c r="C703" t="s">
        <v>16</v>
      </c>
      <c r="D703" t="s">
        <v>1442</v>
      </c>
      <c r="E703" s="5" t="s">
        <v>991</v>
      </c>
      <c r="F703" s="5" t="e">
        <f>VLOOKUP(B703,'Türkkep Jira'!B:F,5,0)</f>
        <v>#N/A</v>
      </c>
      <c r="G703" t="str">
        <f>IF(IFERROR(VLOOKUP(B703,'Devam Eden Sprint'!B:B,1,0),"-")=B703,"Devam Eden Sprint","-")</f>
        <v>-</v>
      </c>
      <c r="H703" t="str">
        <f>IF(IFERROR(VLOOKUP(B703,'Gelecek Sprint'!B:B,1,0),"-")=B703,"Gelecek Sprint","-")</f>
        <v>-</v>
      </c>
      <c r="I703" t="str">
        <f t="shared" si="17"/>
        <v>Ürün İş Listesi</v>
      </c>
    </row>
    <row r="704" spans="1:9" x14ac:dyDescent="0.25">
      <c r="A704" t="s">
        <v>14</v>
      </c>
      <c r="B704" t="s">
        <v>1443</v>
      </c>
      <c r="C704" t="s">
        <v>16</v>
      </c>
      <c r="D704" t="s">
        <v>1444</v>
      </c>
      <c r="E704" s="5" t="s">
        <v>991</v>
      </c>
      <c r="F704" s="5" t="e">
        <f>VLOOKUP(B704,'Türkkep Jira'!B:F,5,0)</f>
        <v>#N/A</v>
      </c>
      <c r="G704" t="str">
        <f>IF(IFERROR(VLOOKUP(B704,'Devam Eden Sprint'!B:B,1,0),"-")=B704,"Devam Eden Sprint","-")</f>
        <v>-</v>
      </c>
      <c r="H704" t="str">
        <f>IF(IFERROR(VLOOKUP(B704,'Gelecek Sprint'!B:B,1,0),"-")=B704,"Gelecek Sprint","-")</f>
        <v>-</v>
      </c>
      <c r="I704" t="str">
        <f t="shared" si="17"/>
        <v>Ürün İş Listesi</v>
      </c>
    </row>
    <row r="705" spans="1:9" x14ac:dyDescent="0.25">
      <c r="A705" t="s">
        <v>14</v>
      </c>
      <c r="B705" t="s">
        <v>1445</v>
      </c>
      <c r="C705" t="s">
        <v>16</v>
      </c>
      <c r="D705" t="s">
        <v>1446</v>
      </c>
      <c r="E705" s="5" t="s">
        <v>991</v>
      </c>
      <c r="F705" s="5" t="e">
        <f>VLOOKUP(B705,'Türkkep Jira'!B:F,5,0)</f>
        <v>#N/A</v>
      </c>
      <c r="G705" t="str">
        <f>IF(IFERROR(VLOOKUP(B705,'Devam Eden Sprint'!B:B,1,0),"-")=B705,"Devam Eden Sprint","-")</f>
        <v>-</v>
      </c>
      <c r="H705" t="str">
        <f>IF(IFERROR(VLOOKUP(B705,'Gelecek Sprint'!B:B,1,0),"-")=B705,"Gelecek Sprint","-")</f>
        <v>-</v>
      </c>
      <c r="I705" t="str">
        <f t="shared" si="17"/>
        <v>Ürün İş Listesi</v>
      </c>
    </row>
    <row r="706" spans="1:9" x14ac:dyDescent="0.25">
      <c r="A706" t="s">
        <v>14</v>
      </c>
      <c r="B706" t="s">
        <v>1447</v>
      </c>
      <c r="C706" t="s">
        <v>16</v>
      </c>
      <c r="D706" t="s">
        <v>1448</v>
      </c>
      <c r="E706" s="5" t="s">
        <v>991</v>
      </c>
      <c r="F706" s="5" t="e">
        <f>VLOOKUP(B706,'Türkkep Jira'!B:F,5,0)</f>
        <v>#N/A</v>
      </c>
      <c r="G706" t="str">
        <f>IF(IFERROR(VLOOKUP(B706,'Devam Eden Sprint'!B:B,1,0),"-")=B706,"Devam Eden Sprint","-")</f>
        <v>-</v>
      </c>
      <c r="H706" t="str">
        <f>IF(IFERROR(VLOOKUP(B706,'Gelecek Sprint'!B:B,1,0),"-")=B706,"Gelecek Sprint","-")</f>
        <v>-</v>
      </c>
      <c r="I706" t="str">
        <f t="shared" si="17"/>
        <v>Ürün İş Listesi</v>
      </c>
    </row>
    <row r="707" spans="1:9" x14ac:dyDescent="0.25">
      <c r="A707" t="s">
        <v>14</v>
      </c>
      <c r="B707" t="s">
        <v>1449</v>
      </c>
      <c r="C707" t="s">
        <v>16</v>
      </c>
      <c r="D707" t="s">
        <v>1450</v>
      </c>
      <c r="E707" s="5" t="s">
        <v>991</v>
      </c>
      <c r="F707" s="5" t="e">
        <f>VLOOKUP(B707,'Türkkep Jira'!B:F,5,0)</f>
        <v>#N/A</v>
      </c>
      <c r="G707" t="str">
        <f>IF(IFERROR(VLOOKUP(B707,'Devam Eden Sprint'!B:B,1,0),"-")=B707,"Devam Eden Sprint","-")</f>
        <v>-</v>
      </c>
      <c r="H707" t="str">
        <f>IF(IFERROR(VLOOKUP(B707,'Gelecek Sprint'!B:B,1,0),"-")=B707,"Gelecek Sprint","-")</f>
        <v>-</v>
      </c>
      <c r="I707" t="str">
        <f t="shared" si="17"/>
        <v>Ürün İş Listesi</v>
      </c>
    </row>
    <row r="708" spans="1:9" x14ac:dyDescent="0.25">
      <c r="A708" t="s">
        <v>14</v>
      </c>
      <c r="B708" t="s">
        <v>1451</v>
      </c>
      <c r="C708" t="s">
        <v>16</v>
      </c>
      <c r="D708" t="s">
        <v>1452</v>
      </c>
      <c r="E708" s="5" t="s">
        <v>991</v>
      </c>
      <c r="F708" s="5" t="e">
        <f>VLOOKUP(B708,'Türkkep Jira'!B:F,5,0)</f>
        <v>#N/A</v>
      </c>
      <c r="G708" t="str">
        <f>IF(IFERROR(VLOOKUP(B708,'Devam Eden Sprint'!B:B,1,0),"-")=B708,"Devam Eden Sprint","-")</f>
        <v>-</v>
      </c>
      <c r="H708" t="str">
        <f>IF(IFERROR(VLOOKUP(B708,'Gelecek Sprint'!B:B,1,0),"-")=B708,"Gelecek Sprint","-")</f>
        <v>-</v>
      </c>
      <c r="I708" t="str">
        <f t="shared" si="17"/>
        <v>Ürün İş Listesi</v>
      </c>
    </row>
    <row r="709" spans="1:9" x14ac:dyDescent="0.25">
      <c r="A709" t="s">
        <v>14</v>
      </c>
      <c r="B709" t="s">
        <v>1453</v>
      </c>
      <c r="C709" t="s">
        <v>16</v>
      </c>
      <c r="D709" t="s">
        <v>1454</v>
      </c>
      <c r="E709" s="5" t="s">
        <v>991</v>
      </c>
      <c r="F709" s="5" t="e">
        <f>VLOOKUP(B709,'Türkkep Jira'!B:F,5,0)</f>
        <v>#N/A</v>
      </c>
      <c r="G709" t="str">
        <f>IF(IFERROR(VLOOKUP(B709,'Devam Eden Sprint'!B:B,1,0),"-")=B709,"Devam Eden Sprint","-")</f>
        <v>-</v>
      </c>
      <c r="H709" t="str">
        <f>IF(IFERROR(VLOOKUP(B709,'Gelecek Sprint'!B:B,1,0),"-")=B709,"Gelecek Sprint","-")</f>
        <v>-</v>
      </c>
      <c r="I709" t="str">
        <f t="shared" si="17"/>
        <v>Ürün İş Listesi</v>
      </c>
    </row>
    <row r="710" spans="1:9" x14ac:dyDescent="0.25">
      <c r="A710" t="s">
        <v>14</v>
      </c>
      <c r="B710" t="s">
        <v>1455</v>
      </c>
      <c r="C710" t="s">
        <v>16</v>
      </c>
      <c r="D710" t="s">
        <v>1456</v>
      </c>
      <c r="E710" s="5" t="s">
        <v>991</v>
      </c>
      <c r="F710" s="5" t="e">
        <f>VLOOKUP(B710,'Türkkep Jira'!B:F,5,0)</f>
        <v>#N/A</v>
      </c>
      <c r="G710" t="str">
        <f>IF(IFERROR(VLOOKUP(B710,'Devam Eden Sprint'!B:B,1,0),"-")=B710,"Devam Eden Sprint","-")</f>
        <v>-</v>
      </c>
      <c r="H710" t="str">
        <f>IF(IFERROR(VLOOKUP(B710,'Gelecek Sprint'!B:B,1,0),"-")=B710,"Gelecek Sprint","-")</f>
        <v>-</v>
      </c>
      <c r="I710" t="str">
        <f t="shared" si="17"/>
        <v>Ürün İş Listesi</v>
      </c>
    </row>
    <row r="711" spans="1:9" x14ac:dyDescent="0.25">
      <c r="A711" t="s">
        <v>14</v>
      </c>
      <c r="B711" t="s">
        <v>1457</v>
      </c>
      <c r="C711" t="s">
        <v>16</v>
      </c>
      <c r="D711" t="s">
        <v>1458</v>
      </c>
      <c r="E711" s="5" t="s">
        <v>991</v>
      </c>
      <c r="F711" s="5" t="e">
        <f>VLOOKUP(B711,'Türkkep Jira'!B:F,5,0)</f>
        <v>#N/A</v>
      </c>
      <c r="G711" t="str">
        <f>IF(IFERROR(VLOOKUP(B711,'Devam Eden Sprint'!B:B,1,0),"-")=B711,"Devam Eden Sprint","-")</f>
        <v>-</v>
      </c>
      <c r="H711" t="str">
        <f>IF(IFERROR(VLOOKUP(B711,'Gelecek Sprint'!B:B,1,0),"-")=B711,"Gelecek Sprint","-")</f>
        <v>-</v>
      </c>
      <c r="I711" t="str">
        <f t="shared" si="17"/>
        <v>Ürün İş Listesi</v>
      </c>
    </row>
    <row r="712" spans="1:9" x14ac:dyDescent="0.25">
      <c r="A712" t="s">
        <v>14</v>
      </c>
      <c r="B712" t="s">
        <v>1459</v>
      </c>
      <c r="C712" t="s">
        <v>16</v>
      </c>
      <c r="D712" t="s">
        <v>1460</v>
      </c>
      <c r="E712" s="5" t="s">
        <v>991</v>
      </c>
      <c r="F712" s="5" t="e">
        <f>VLOOKUP(B712,'Türkkep Jira'!B:F,5,0)</f>
        <v>#N/A</v>
      </c>
      <c r="G712" t="str">
        <f>IF(IFERROR(VLOOKUP(B712,'Devam Eden Sprint'!B:B,1,0),"-")=B712,"Devam Eden Sprint","-")</f>
        <v>-</v>
      </c>
      <c r="H712" t="str">
        <f>IF(IFERROR(VLOOKUP(B712,'Gelecek Sprint'!B:B,1,0),"-")=B712,"Gelecek Sprint","-")</f>
        <v>-</v>
      </c>
      <c r="I712" t="str">
        <f t="shared" si="17"/>
        <v>Ürün İş Listesi</v>
      </c>
    </row>
    <row r="713" spans="1:9" x14ac:dyDescent="0.25">
      <c r="A713" t="s">
        <v>14</v>
      </c>
      <c r="B713" t="s">
        <v>1461</v>
      </c>
      <c r="C713" t="s">
        <v>16</v>
      </c>
      <c r="D713" t="s">
        <v>1462</v>
      </c>
      <c r="E713" s="5" t="s">
        <v>991</v>
      </c>
      <c r="F713" s="5" t="e">
        <f>VLOOKUP(B713,'Türkkep Jira'!B:F,5,0)</f>
        <v>#N/A</v>
      </c>
      <c r="G713" t="str">
        <f>IF(IFERROR(VLOOKUP(B713,'Devam Eden Sprint'!B:B,1,0),"-")=B713,"Devam Eden Sprint","-")</f>
        <v>-</v>
      </c>
      <c r="H713" t="str">
        <f>IF(IFERROR(VLOOKUP(B713,'Gelecek Sprint'!B:B,1,0),"-")=B713,"Gelecek Sprint","-")</f>
        <v>-</v>
      </c>
      <c r="I713" t="str">
        <f t="shared" si="17"/>
        <v>Ürün İş Listesi</v>
      </c>
    </row>
    <row r="714" spans="1:9" x14ac:dyDescent="0.25">
      <c r="A714" t="s">
        <v>14</v>
      </c>
      <c r="B714" t="s">
        <v>1463</v>
      </c>
      <c r="C714" t="s">
        <v>16</v>
      </c>
      <c r="D714" t="s">
        <v>1464</v>
      </c>
      <c r="E714" s="5" t="s">
        <v>991</v>
      </c>
      <c r="F714" s="5" t="e">
        <f>VLOOKUP(B714,'Türkkep Jira'!B:F,5,0)</f>
        <v>#N/A</v>
      </c>
      <c r="G714" t="str">
        <f>IF(IFERROR(VLOOKUP(B714,'Devam Eden Sprint'!B:B,1,0),"-")=B714,"Devam Eden Sprint","-")</f>
        <v>-</v>
      </c>
      <c r="H714" t="str">
        <f>IF(IFERROR(VLOOKUP(B714,'Gelecek Sprint'!B:B,1,0),"-")=B714,"Gelecek Sprint","-")</f>
        <v>-</v>
      </c>
      <c r="I714" t="str">
        <f t="shared" si="17"/>
        <v>Ürün İş Listesi</v>
      </c>
    </row>
    <row r="715" spans="1:9" x14ac:dyDescent="0.25">
      <c r="A715" t="s">
        <v>14</v>
      </c>
      <c r="B715" t="s">
        <v>1465</v>
      </c>
      <c r="C715" t="s">
        <v>16</v>
      </c>
      <c r="D715" t="s">
        <v>1466</v>
      </c>
      <c r="E715" s="5" t="s">
        <v>991</v>
      </c>
      <c r="F715" s="5" t="e">
        <f>VLOOKUP(B715,'Türkkep Jira'!B:F,5,0)</f>
        <v>#N/A</v>
      </c>
      <c r="G715" t="str">
        <f>IF(IFERROR(VLOOKUP(B715,'Devam Eden Sprint'!B:B,1,0),"-")=B715,"Devam Eden Sprint","-")</f>
        <v>-</v>
      </c>
      <c r="H715" t="str">
        <f>IF(IFERROR(VLOOKUP(B715,'Gelecek Sprint'!B:B,1,0),"-")=B715,"Gelecek Sprint","-")</f>
        <v>-</v>
      </c>
      <c r="I715" t="str">
        <f t="shared" si="17"/>
        <v>Ürün İş Listesi</v>
      </c>
    </row>
    <row r="716" spans="1:9" x14ac:dyDescent="0.25">
      <c r="A716" t="s">
        <v>14</v>
      </c>
      <c r="B716" t="s">
        <v>1467</v>
      </c>
      <c r="C716" t="s">
        <v>16</v>
      </c>
      <c r="D716" t="s">
        <v>1468</v>
      </c>
      <c r="E716" s="5" t="s">
        <v>991</v>
      </c>
      <c r="F716" s="5" t="e">
        <f>VLOOKUP(B716,'Türkkep Jira'!B:F,5,0)</f>
        <v>#N/A</v>
      </c>
      <c r="G716" t="str">
        <f>IF(IFERROR(VLOOKUP(B716,'Devam Eden Sprint'!B:B,1,0),"-")=B716,"Devam Eden Sprint","-")</f>
        <v>-</v>
      </c>
      <c r="H716" t="str">
        <f>IF(IFERROR(VLOOKUP(B716,'Gelecek Sprint'!B:B,1,0),"-")=B716,"Gelecek Sprint","-")</f>
        <v>-</v>
      </c>
      <c r="I716" t="str">
        <f t="shared" si="17"/>
        <v>Ürün İş Listesi</v>
      </c>
    </row>
    <row r="717" spans="1:9" x14ac:dyDescent="0.25">
      <c r="A717" t="s">
        <v>14</v>
      </c>
      <c r="B717" t="s">
        <v>1469</v>
      </c>
      <c r="C717" t="s">
        <v>16</v>
      </c>
      <c r="D717" t="s">
        <v>1470</v>
      </c>
      <c r="E717" s="5" t="s">
        <v>991</v>
      </c>
      <c r="F717" s="5" t="e">
        <f>VLOOKUP(B717,'Türkkep Jira'!B:F,5,0)</f>
        <v>#N/A</v>
      </c>
      <c r="G717" t="str">
        <f>IF(IFERROR(VLOOKUP(B717,'Devam Eden Sprint'!B:B,1,0),"-")=B717,"Devam Eden Sprint","-")</f>
        <v>-</v>
      </c>
      <c r="H717" t="str">
        <f>IF(IFERROR(VLOOKUP(B717,'Gelecek Sprint'!B:B,1,0),"-")=B717,"Gelecek Sprint","-")</f>
        <v>-</v>
      </c>
      <c r="I717" t="str">
        <f t="shared" si="17"/>
        <v>Ürün İş Listesi</v>
      </c>
    </row>
    <row r="718" spans="1:9" x14ac:dyDescent="0.25">
      <c r="A718" t="s">
        <v>14</v>
      </c>
      <c r="B718" t="s">
        <v>1471</v>
      </c>
      <c r="C718" t="s">
        <v>16</v>
      </c>
      <c r="D718" t="s">
        <v>1472</v>
      </c>
      <c r="E718" s="5" t="s">
        <v>991</v>
      </c>
      <c r="F718" s="5" t="e">
        <f>VLOOKUP(B718,'Türkkep Jira'!B:F,5,0)</f>
        <v>#N/A</v>
      </c>
      <c r="G718" t="str">
        <f>IF(IFERROR(VLOOKUP(B718,'Devam Eden Sprint'!B:B,1,0),"-")=B718,"Devam Eden Sprint","-")</f>
        <v>-</v>
      </c>
      <c r="H718" t="str">
        <f>IF(IFERROR(VLOOKUP(B718,'Gelecek Sprint'!B:B,1,0),"-")=B718,"Gelecek Sprint","-")</f>
        <v>-</v>
      </c>
      <c r="I718" t="str">
        <f t="shared" si="17"/>
        <v>Ürün İş Listesi</v>
      </c>
    </row>
    <row r="719" spans="1:9" x14ac:dyDescent="0.25">
      <c r="A719" t="s">
        <v>14</v>
      </c>
      <c r="B719" t="s">
        <v>1473</v>
      </c>
      <c r="C719" t="s">
        <v>16</v>
      </c>
      <c r="D719" t="s">
        <v>1474</v>
      </c>
      <c r="E719" s="5" t="s">
        <v>991</v>
      </c>
      <c r="F719" s="5" t="e">
        <f>VLOOKUP(B719,'Türkkep Jira'!B:F,5,0)</f>
        <v>#N/A</v>
      </c>
      <c r="G719" t="str">
        <f>IF(IFERROR(VLOOKUP(B719,'Devam Eden Sprint'!B:B,1,0),"-")=B719,"Devam Eden Sprint","-")</f>
        <v>-</v>
      </c>
      <c r="H719" t="str">
        <f>IF(IFERROR(VLOOKUP(B719,'Gelecek Sprint'!B:B,1,0),"-")=B719,"Gelecek Sprint","-")</f>
        <v>-</v>
      </c>
      <c r="I719" t="str">
        <f t="shared" si="17"/>
        <v>Ürün İş Listesi</v>
      </c>
    </row>
    <row r="720" spans="1:9" x14ac:dyDescent="0.25">
      <c r="A720" t="s">
        <v>14</v>
      </c>
      <c r="B720" t="s">
        <v>1475</v>
      </c>
      <c r="C720" t="s">
        <v>16</v>
      </c>
      <c r="D720" t="s">
        <v>1476</v>
      </c>
      <c r="E720" s="5" t="s">
        <v>991</v>
      </c>
      <c r="F720" s="5" t="e">
        <f>VLOOKUP(B720,'Türkkep Jira'!B:F,5,0)</f>
        <v>#N/A</v>
      </c>
      <c r="G720" t="str">
        <f>IF(IFERROR(VLOOKUP(B720,'Devam Eden Sprint'!B:B,1,0),"-")=B720,"Devam Eden Sprint","-")</f>
        <v>-</v>
      </c>
      <c r="H720" t="str">
        <f>IF(IFERROR(VLOOKUP(B720,'Gelecek Sprint'!B:B,1,0),"-")=B720,"Gelecek Sprint","-")</f>
        <v>-</v>
      </c>
      <c r="I720" t="str">
        <f t="shared" si="17"/>
        <v>Ürün İş Listesi</v>
      </c>
    </row>
    <row r="721" spans="1:10" x14ac:dyDescent="0.25">
      <c r="A721" t="s">
        <v>14</v>
      </c>
      <c r="B721" t="s">
        <v>1477</v>
      </c>
      <c r="C721" t="s">
        <v>16</v>
      </c>
      <c r="D721" t="s">
        <v>1478</v>
      </c>
      <c r="E721" s="5" t="s">
        <v>991</v>
      </c>
      <c r="F721" s="5" t="e">
        <f>VLOOKUP(B721,'Türkkep Jira'!B:F,5,0)</f>
        <v>#N/A</v>
      </c>
      <c r="G721" t="str">
        <f>IF(IFERROR(VLOOKUP(B721,'Devam Eden Sprint'!B:B,1,0),"-")=B721,"Devam Eden Sprint","-")</f>
        <v>-</v>
      </c>
      <c r="H721" t="str">
        <f>IF(IFERROR(VLOOKUP(B721,'Gelecek Sprint'!B:B,1,0),"-")=B721,"Gelecek Sprint","-")</f>
        <v>-</v>
      </c>
      <c r="I721" t="str">
        <f t="shared" si="17"/>
        <v>Ürün İş Listesi</v>
      </c>
    </row>
    <row r="722" spans="1:10" x14ac:dyDescent="0.25">
      <c r="A722" t="s">
        <v>14</v>
      </c>
      <c r="B722" t="s">
        <v>1479</v>
      </c>
      <c r="C722" t="s">
        <v>16</v>
      </c>
      <c r="D722" t="s">
        <v>1480</v>
      </c>
      <c r="E722" s="5" t="s">
        <v>991</v>
      </c>
      <c r="F722" s="5" t="e">
        <f>VLOOKUP(B722,'Türkkep Jira'!B:F,5,0)</f>
        <v>#N/A</v>
      </c>
      <c r="G722" t="str">
        <f>IF(IFERROR(VLOOKUP(B722,'Devam Eden Sprint'!B:B,1,0),"-")=B722,"Devam Eden Sprint","-")</f>
        <v>-</v>
      </c>
      <c r="H722" t="str">
        <f>IF(IFERROR(VLOOKUP(B722,'Gelecek Sprint'!B:B,1,0),"-")=B722,"Gelecek Sprint","-")</f>
        <v>-</v>
      </c>
      <c r="I722" t="str">
        <f t="shared" si="17"/>
        <v>Ürün İş Listesi</v>
      </c>
    </row>
    <row r="723" spans="1:10" x14ac:dyDescent="0.25">
      <c r="A723" t="s">
        <v>14</v>
      </c>
      <c r="B723" t="s">
        <v>1481</v>
      </c>
      <c r="C723" t="s">
        <v>16</v>
      </c>
      <c r="D723" t="s">
        <v>1482</v>
      </c>
      <c r="E723" s="5" t="s">
        <v>991</v>
      </c>
      <c r="F723" s="5" t="e">
        <f>VLOOKUP(B723,'Türkkep Jira'!B:F,5,0)</f>
        <v>#N/A</v>
      </c>
      <c r="G723" t="str">
        <f>IF(IFERROR(VLOOKUP(B723,'Devam Eden Sprint'!B:B,1,0),"-")=B723,"Devam Eden Sprint","-")</f>
        <v>-</v>
      </c>
      <c r="H723" t="str">
        <f>IF(IFERROR(VLOOKUP(B723,'Gelecek Sprint'!B:B,1,0),"-")=B723,"Gelecek Sprint","-")</f>
        <v>-</v>
      </c>
      <c r="I723" t="str">
        <f t="shared" si="17"/>
        <v>Ürün İş Listesi</v>
      </c>
    </row>
    <row r="724" spans="1:10" x14ac:dyDescent="0.25">
      <c r="A724" t="s">
        <v>14</v>
      </c>
      <c r="B724" t="s">
        <v>1483</v>
      </c>
      <c r="C724" t="s">
        <v>16</v>
      </c>
      <c r="D724" t="s">
        <v>1484</v>
      </c>
      <c r="E724" s="5" t="s">
        <v>991</v>
      </c>
      <c r="F724" s="5" t="e">
        <f>VLOOKUP(B724,'Türkkep Jira'!B:F,5,0)</f>
        <v>#N/A</v>
      </c>
      <c r="G724" t="str">
        <f>IF(IFERROR(VLOOKUP(B724,'Devam Eden Sprint'!B:B,1,0),"-")=B724,"Devam Eden Sprint","-")</f>
        <v>-</v>
      </c>
      <c r="H724" t="str">
        <f>IF(IFERROR(VLOOKUP(B724,'Gelecek Sprint'!B:B,1,0),"-")=B724,"Gelecek Sprint","-")</f>
        <v>-</v>
      </c>
      <c r="I724" t="str">
        <f t="shared" ref="I724:I787" si="18">IFERROR(IF(AND(G724="Devam Eden Sprint",H724="Gelecek Sprint"),"Devam Eden ve Gelecek Sprint",IF(G724="Devam Eden Sprint","Devam Eden Sprint",IF(H724="Gelecek Sprint","Gelecek Sprint","Ürün İş Listesi"))),"Ürün İş Listesi")</f>
        <v>Ürün İş Listesi</v>
      </c>
    </row>
    <row r="725" spans="1:10" x14ac:dyDescent="0.25">
      <c r="A725" t="s">
        <v>14</v>
      </c>
      <c r="B725" t="s">
        <v>1485</v>
      </c>
      <c r="C725" t="s">
        <v>16</v>
      </c>
      <c r="D725" t="s">
        <v>1486</v>
      </c>
      <c r="E725" s="5" t="s">
        <v>991</v>
      </c>
      <c r="F725" s="5" t="e">
        <f>VLOOKUP(B725,'Türkkep Jira'!B:F,5,0)</f>
        <v>#N/A</v>
      </c>
      <c r="G725" t="str">
        <f>IF(IFERROR(VLOOKUP(B725,'Devam Eden Sprint'!B:B,1,0),"-")=B725,"Devam Eden Sprint","-")</f>
        <v>-</v>
      </c>
      <c r="H725" t="str">
        <f>IF(IFERROR(VLOOKUP(B725,'Gelecek Sprint'!B:B,1,0),"-")=B725,"Gelecek Sprint","-")</f>
        <v>-</v>
      </c>
      <c r="I725" t="str">
        <f t="shared" si="18"/>
        <v>Ürün İş Listesi</v>
      </c>
    </row>
    <row r="726" spans="1:10" x14ac:dyDescent="0.25">
      <c r="A726" t="s">
        <v>14</v>
      </c>
      <c r="B726" t="s">
        <v>1487</v>
      </c>
      <c r="C726" t="s">
        <v>16</v>
      </c>
      <c r="D726" t="s">
        <v>1488</v>
      </c>
      <c r="E726" s="5" t="s">
        <v>991</v>
      </c>
      <c r="F726" s="5" t="e">
        <f>VLOOKUP(B726,'Türkkep Jira'!B:F,5,0)</f>
        <v>#N/A</v>
      </c>
      <c r="G726" t="str">
        <f>IF(IFERROR(VLOOKUP(B726,'Devam Eden Sprint'!B:B,1,0),"-")=B726,"Devam Eden Sprint","-")</f>
        <v>-</v>
      </c>
      <c r="H726" t="str">
        <f>IF(IFERROR(VLOOKUP(B726,'Gelecek Sprint'!B:B,1,0),"-")=B726,"Gelecek Sprint","-")</f>
        <v>-</v>
      </c>
      <c r="I726" t="str">
        <f t="shared" si="18"/>
        <v>Ürün İş Listesi</v>
      </c>
    </row>
    <row r="727" spans="1:10" x14ac:dyDescent="0.25">
      <c r="A727" t="s">
        <v>14</v>
      </c>
      <c r="B727" t="s">
        <v>1489</v>
      </c>
      <c r="C727" t="s">
        <v>16</v>
      </c>
      <c r="D727" t="s">
        <v>1490</v>
      </c>
      <c r="E727" s="5" t="s">
        <v>991</v>
      </c>
      <c r="F727" s="5" t="e">
        <f>VLOOKUP(B727,'Türkkep Jira'!B:F,5,0)</f>
        <v>#N/A</v>
      </c>
      <c r="G727" t="str">
        <f>IF(IFERROR(VLOOKUP(B727,'Devam Eden Sprint'!B:B,1,0),"-")=B727,"Devam Eden Sprint","-")</f>
        <v>-</v>
      </c>
      <c r="H727" t="str">
        <f>IF(IFERROR(VLOOKUP(B727,'Gelecek Sprint'!B:B,1,0),"-")=B727,"Gelecek Sprint","-")</f>
        <v>-</v>
      </c>
      <c r="I727" t="str">
        <f t="shared" si="18"/>
        <v>Ürün İş Listesi</v>
      </c>
    </row>
    <row r="728" spans="1:10" x14ac:dyDescent="0.25">
      <c r="A728" t="s">
        <v>14</v>
      </c>
      <c r="B728" t="s">
        <v>1491</v>
      </c>
      <c r="C728" t="s">
        <v>16</v>
      </c>
      <c r="D728" t="s">
        <v>1492</v>
      </c>
      <c r="E728" s="5" t="s">
        <v>991</v>
      </c>
      <c r="F728" s="5" t="e">
        <f>VLOOKUP(B728,'Türkkep Jira'!B:F,5,0)</f>
        <v>#N/A</v>
      </c>
      <c r="G728" t="str">
        <f>IF(IFERROR(VLOOKUP(B728,'Devam Eden Sprint'!B:B,1,0),"-")=B728,"Devam Eden Sprint","-")</f>
        <v>-</v>
      </c>
      <c r="H728" t="str">
        <f>IF(IFERROR(VLOOKUP(B728,'Gelecek Sprint'!B:B,1,0),"-")=B728,"Gelecek Sprint","-")</f>
        <v>-</v>
      </c>
      <c r="I728" t="str">
        <f t="shared" si="18"/>
        <v>Ürün İş Listesi</v>
      </c>
    </row>
    <row r="729" spans="1:10" x14ac:dyDescent="0.25">
      <c r="A729" t="s">
        <v>14</v>
      </c>
      <c r="B729" t="s">
        <v>1493</v>
      </c>
      <c r="C729" t="s">
        <v>16</v>
      </c>
      <c r="D729" t="s">
        <v>1494</v>
      </c>
      <c r="E729" s="5" t="s">
        <v>991</v>
      </c>
      <c r="F729" s="5" t="e">
        <f>VLOOKUP(B729,'Türkkep Jira'!B:F,5,0)</f>
        <v>#N/A</v>
      </c>
      <c r="G729" t="str">
        <f>IF(IFERROR(VLOOKUP(B729,'Devam Eden Sprint'!B:B,1,0),"-")=B729,"Devam Eden Sprint","-")</f>
        <v>-</v>
      </c>
      <c r="H729" t="str">
        <f>IF(IFERROR(VLOOKUP(B729,'Gelecek Sprint'!B:B,1,0),"-")=B729,"Gelecek Sprint","-")</f>
        <v>-</v>
      </c>
      <c r="I729" t="str">
        <f t="shared" si="18"/>
        <v>Ürün İş Listesi</v>
      </c>
    </row>
    <row r="730" spans="1:10" x14ac:dyDescent="0.25">
      <c r="A730" t="s">
        <v>14</v>
      </c>
      <c r="B730" t="s">
        <v>1495</v>
      </c>
      <c r="C730" t="s">
        <v>16</v>
      </c>
      <c r="D730" t="s">
        <v>1496</v>
      </c>
      <c r="E730" s="5" t="s">
        <v>991</v>
      </c>
      <c r="F730" s="5" t="e">
        <f>VLOOKUP(B730,'Türkkep Jira'!B:F,5,0)</f>
        <v>#N/A</v>
      </c>
      <c r="G730" t="str">
        <f>IF(IFERROR(VLOOKUP(B730,'Devam Eden Sprint'!B:B,1,0),"-")=B730,"Devam Eden Sprint","-")</f>
        <v>-</v>
      </c>
      <c r="H730" t="str">
        <f>IF(IFERROR(VLOOKUP(B730,'Gelecek Sprint'!B:B,1,0),"-")=B730,"Gelecek Sprint","-")</f>
        <v>-</v>
      </c>
      <c r="I730" t="str">
        <f t="shared" si="18"/>
        <v>Ürün İş Listesi</v>
      </c>
    </row>
    <row r="731" spans="1:10" x14ac:dyDescent="0.25">
      <c r="A731" t="s">
        <v>14</v>
      </c>
      <c r="B731" t="s">
        <v>1497</v>
      </c>
      <c r="C731" t="s">
        <v>16</v>
      </c>
      <c r="D731" t="s">
        <v>1498</v>
      </c>
      <c r="E731" s="5" t="s">
        <v>991</v>
      </c>
      <c r="F731" s="5" t="e">
        <f>VLOOKUP(B731,'Türkkep Jira'!B:F,5,0)</f>
        <v>#N/A</v>
      </c>
      <c r="G731" t="str">
        <f>IF(IFERROR(VLOOKUP(B731,'Devam Eden Sprint'!B:B,1,0),"-")=B731,"Devam Eden Sprint","-")</f>
        <v>-</v>
      </c>
      <c r="H731" t="str">
        <f>IF(IFERROR(VLOOKUP(B731,'Gelecek Sprint'!B:B,1,0),"-")=B731,"Gelecek Sprint","-")</f>
        <v>-</v>
      </c>
      <c r="I731" t="str">
        <f t="shared" si="18"/>
        <v>Ürün İş Listesi</v>
      </c>
    </row>
    <row r="732" spans="1:10" x14ac:dyDescent="0.25">
      <c r="A732" t="s">
        <v>14</v>
      </c>
      <c r="B732" t="s">
        <v>1499</v>
      </c>
      <c r="C732" t="s">
        <v>16</v>
      </c>
      <c r="D732" t="s">
        <v>1500</v>
      </c>
      <c r="E732" s="5" t="s">
        <v>991</v>
      </c>
      <c r="F732" s="5" t="e">
        <f>VLOOKUP(B732,'Türkkep Jira'!B:F,5,0)</f>
        <v>#N/A</v>
      </c>
      <c r="G732" t="str">
        <f>IF(IFERROR(VLOOKUP(B732,'Devam Eden Sprint'!B:B,1,0),"-")=B732,"Devam Eden Sprint","-")</f>
        <v>-</v>
      </c>
      <c r="H732" t="str">
        <f>IF(IFERROR(VLOOKUP(B732,'Gelecek Sprint'!B:B,1,0),"-")=B732,"Gelecek Sprint","-")</f>
        <v>-</v>
      </c>
      <c r="I732" t="str">
        <f t="shared" si="18"/>
        <v>Ürün İş Listesi</v>
      </c>
    </row>
    <row r="733" spans="1:10" x14ac:dyDescent="0.25">
      <c r="A733" t="s">
        <v>14</v>
      </c>
      <c r="B733" t="s">
        <v>1501</v>
      </c>
      <c r="C733" t="s">
        <v>16</v>
      </c>
      <c r="D733" t="s">
        <v>1502</v>
      </c>
      <c r="E733" s="5" t="s">
        <v>991</v>
      </c>
      <c r="F733" s="5" t="e">
        <f>VLOOKUP(B733,'Türkkep Jira'!B:F,5,0)</f>
        <v>#N/A</v>
      </c>
      <c r="G733" t="str">
        <f>IF(IFERROR(VLOOKUP(B733,'Devam Eden Sprint'!B:B,1,0),"-")=B733,"Devam Eden Sprint","-")</f>
        <v>-</v>
      </c>
      <c r="H733" t="str">
        <f>IF(IFERROR(VLOOKUP(B733,'Gelecek Sprint'!B:B,1,0),"-")=B733,"Gelecek Sprint","-")</f>
        <v>-</v>
      </c>
      <c r="I733" t="str">
        <f t="shared" si="18"/>
        <v>Ürün İş Listesi</v>
      </c>
    </row>
    <row r="734" spans="1:10" x14ac:dyDescent="0.25">
      <c r="A734" t="s">
        <v>14</v>
      </c>
      <c r="B734" t="s">
        <v>1503</v>
      </c>
      <c r="C734" t="s">
        <v>16</v>
      </c>
      <c r="D734" t="s">
        <v>1504</v>
      </c>
      <c r="E734" s="5" t="s">
        <v>12</v>
      </c>
      <c r="F734" s="5" t="e">
        <f>VLOOKUP(B734,'Türkkep Jira'!B:F,5,0)</f>
        <v>#N/A</v>
      </c>
      <c r="G734" t="str">
        <f>IF(IFERROR(VLOOKUP(B734,'Devam Eden Sprint'!B:B,1,0),"-")=B734,"Devam Eden Sprint","-")</f>
        <v>-</v>
      </c>
      <c r="H734" t="str">
        <f>IF(IFERROR(VLOOKUP(B734,'Gelecek Sprint'!B:B,1,0),"-")=B734,"Gelecek Sprint","-")</f>
        <v>-</v>
      </c>
      <c r="I734" t="str">
        <f t="shared" si="18"/>
        <v>Ürün İş Listesi</v>
      </c>
      <c r="J734" s="5">
        <v>1</v>
      </c>
    </row>
    <row r="735" spans="1:10" x14ac:dyDescent="0.25">
      <c r="A735" t="s">
        <v>14</v>
      </c>
      <c r="B735" t="s">
        <v>1505</v>
      </c>
      <c r="C735" t="s">
        <v>16</v>
      </c>
      <c r="D735" t="s">
        <v>1506</v>
      </c>
      <c r="E735" s="5" t="s">
        <v>12</v>
      </c>
      <c r="F735" s="5" t="e">
        <f>VLOOKUP(B735,'Türkkep Jira'!B:F,5,0)</f>
        <v>#N/A</v>
      </c>
      <c r="G735" t="str">
        <f>IF(IFERROR(VLOOKUP(B735,'Devam Eden Sprint'!B:B,1,0),"-")=B735,"Devam Eden Sprint","-")</f>
        <v>-</v>
      </c>
      <c r="H735" t="str">
        <f>IF(IFERROR(VLOOKUP(B735,'Gelecek Sprint'!B:B,1,0),"-")=B735,"Gelecek Sprint","-")</f>
        <v>-</v>
      </c>
      <c r="I735" t="str">
        <f t="shared" si="18"/>
        <v>Ürün İş Listesi</v>
      </c>
      <c r="J735" s="5">
        <v>1</v>
      </c>
    </row>
    <row r="736" spans="1:10" x14ac:dyDescent="0.25">
      <c r="A736" t="s">
        <v>14</v>
      </c>
      <c r="B736" t="s">
        <v>1507</v>
      </c>
      <c r="C736" t="s">
        <v>10</v>
      </c>
      <c r="D736" t="s">
        <v>1508</v>
      </c>
      <c r="E736" s="5" t="s">
        <v>12</v>
      </c>
      <c r="F736" s="5" t="e">
        <f>VLOOKUP(B736,'Türkkep Jira'!B:F,5,0)</f>
        <v>#N/A</v>
      </c>
      <c r="G736" t="str">
        <f>IF(IFERROR(VLOOKUP(B736,'Devam Eden Sprint'!B:B,1,0),"-")=B736,"Devam Eden Sprint","-")</f>
        <v>-</v>
      </c>
      <c r="H736" t="str">
        <f>IF(IFERROR(VLOOKUP(B736,'Gelecek Sprint'!B:B,1,0),"-")=B736,"Gelecek Sprint","-")</f>
        <v>-</v>
      </c>
      <c r="I736" t="str">
        <f t="shared" si="18"/>
        <v>Ürün İş Listesi</v>
      </c>
    </row>
    <row r="737" spans="1:10" x14ac:dyDescent="0.25">
      <c r="A737" t="s">
        <v>14</v>
      </c>
      <c r="B737" t="s">
        <v>1509</v>
      </c>
      <c r="C737" t="s">
        <v>16</v>
      </c>
      <c r="D737" t="s">
        <v>1510</v>
      </c>
      <c r="E737" s="5" t="s">
        <v>12</v>
      </c>
      <c r="F737" s="5" t="e">
        <f>VLOOKUP(B737,'Türkkep Jira'!B:F,5,0)</f>
        <v>#N/A</v>
      </c>
      <c r="G737" t="str">
        <f>IF(IFERROR(VLOOKUP(B737,'Devam Eden Sprint'!B:B,1,0),"-")=B737,"Devam Eden Sprint","-")</f>
        <v>-</v>
      </c>
      <c r="H737" t="str">
        <f>IF(IFERROR(VLOOKUP(B737,'Gelecek Sprint'!B:B,1,0),"-")=B737,"Gelecek Sprint","-")</f>
        <v>-</v>
      </c>
      <c r="I737" t="str">
        <f t="shared" si="18"/>
        <v>Ürün İş Listesi</v>
      </c>
      <c r="J737" s="5">
        <v>2</v>
      </c>
    </row>
    <row r="738" spans="1:10" x14ac:dyDescent="0.25">
      <c r="A738" t="s">
        <v>14</v>
      </c>
      <c r="B738" t="s">
        <v>1511</v>
      </c>
      <c r="C738" t="s">
        <v>16</v>
      </c>
      <c r="D738" t="s">
        <v>1512</v>
      </c>
      <c r="E738" s="5" t="s">
        <v>12</v>
      </c>
      <c r="F738" s="5" t="e">
        <f>VLOOKUP(B738,'Türkkep Jira'!B:F,5,0)</f>
        <v>#N/A</v>
      </c>
      <c r="G738" t="str">
        <f>IF(IFERROR(VLOOKUP(B738,'Devam Eden Sprint'!B:B,1,0),"-")=B738,"Devam Eden Sprint","-")</f>
        <v>-</v>
      </c>
      <c r="H738" t="str">
        <f>IF(IFERROR(VLOOKUP(B738,'Gelecek Sprint'!B:B,1,0),"-")=B738,"Gelecek Sprint","-")</f>
        <v>-</v>
      </c>
      <c r="I738" t="str">
        <f t="shared" si="18"/>
        <v>Ürün İş Listesi</v>
      </c>
      <c r="J738" s="5">
        <v>5</v>
      </c>
    </row>
    <row r="739" spans="1:10" x14ac:dyDescent="0.25">
      <c r="A739" t="s">
        <v>14</v>
      </c>
      <c r="B739" t="s">
        <v>1513</v>
      </c>
      <c r="C739" t="s">
        <v>10</v>
      </c>
      <c r="D739" t="s">
        <v>1514</v>
      </c>
      <c r="E739" s="5" t="s">
        <v>12</v>
      </c>
      <c r="F739" s="5" t="e">
        <f>VLOOKUP(B739,'Türkkep Jira'!B:F,5,0)</f>
        <v>#N/A</v>
      </c>
      <c r="G739" t="str">
        <f>IF(IFERROR(VLOOKUP(B739,'Devam Eden Sprint'!B:B,1,0),"-")=B739,"Devam Eden Sprint","-")</f>
        <v>-</v>
      </c>
      <c r="H739" t="str">
        <f>IF(IFERROR(VLOOKUP(B739,'Gelecek Sprint'!B:B,1,0),"-")=B739,"Gelecek Sprint","-")</f>
        <v>-</v>
      </c>
      <c r="I739" t="str">
        <f t="shared" si="18"/>
        <v>Ürün İş Listesi</v>
      </c>
      <c r="J739" s="5">
        <v>2</v>
      </c>
    </row>
    <row r="740" spans="1:10" x14ac:dyDescent="0.25">
      <c r="A740" t="s">
        <v>14</v>
      </c>
      <c r="B740" t="s">
        <v>1515</v>
      </c>
      <c r="C740" t="s">
        <v>16</v>
      </c>
      <c r="D740" t="s">
        <v>1516</v>
      </c>
      <c r="E740" s="5" t="s">
        <v>1517</v>
      </c>
      <c r="F740" s="5" t="e">
        <f>VLOOKUP(B740,'Türkkep Jira'!B:F,5,0)</f>
        <v>#N/A</v>
      </c>
      <c r="G740" t="str">
        <f>IF(IFERROR(VLOOKUP(B740,'Devam Eden Sprint'!B:B,1,0),"-")=B740,"Devam Eden Sprint","-")</f>
        <v>-</v>
      </c>
      <c r="H740" t="str">
        <f>IF(IFERROR(VLOOKUP(B740,'Gelecek Sprint'!B:B,1,0),"-")=B740,"Gelecek Sprint","-")</f>
        <v>-</v>
      </c>
      <c r="I740" t="str">
        <f t="shared" si="18"/>
        <v>Ürün İş Listesi</v>
      </c>
      <c r="J740" s="5">
        <v>3</v>
      </c>
    </row>
    <row r="741" spans="1:10" x14ac:dyDescent="0.25">
      <c r="A741" t="s">
        <v>14</v>
      </c>
      <c r="B741" t="s">
        <v>1518</v>
      </c>
      <c r="C741" t="s">
        <v>16</v>
      </c>
      <c r="D741" t="s">
        <v>1516</v>
      </c>
      <c r="E741" s="5" t="s">
        <v>59</v>
      </c>
      <c r="F741" s="5" t="e">
        <f>VLOOKUP(B741,'Türkkep Jira'!B:F,5,0)</f>
        <v>#N/A</v>
      </c>
      <c r="G741" t="str">
        <f>IF(IFERROR(VLOOKUP(B741,'Devam Eden Sprint'!B:B,1,0),"-")=B741,"Devam Eden Sprint","-")</f>
        <v>-</v>
      </c>
      <c r="H741" t="str">
        <f>IF(IFERROR(VLOOKUP(B741,'Gelecek Sprint'!B:B,1,0),"-")=B741,"Gelecek Sprint","-")</f>
        <v>-</v>
      </c>
      <c r="I741" t="str">
        <f t="shared" si="18"/>
        <v>Ürün İş Listesi</v>
      </c>
      <c r="J741" s="5">
        <v>2</v>
      </c>
    </row>
    <row r="742" spans="1:10" x14ac:dyDescent="0.25">
      <c r="A742" t="s">
        <v>14</v>
      </c>
      <c r="B742" t="s">
        <v>1519</v>
      </c>
      <c r="C742" t="s">
        <v>16</v>
      </c>
      <c r="D742" t="s">
        <v>1520</v>
      </c>
      <c r="E742" s="5" t="s">
        <v>56</v>
      </c>
      <c r="F742" s="5" t="e">
        <f>VLOOKUP(B742,'Türkkep Jira'!B:F,5,0)</f>
        <v>#N/A</v>
      </c>
      <c r="G742" t="str">
        <f>IF(IFERROR(VLOOKUP(B742,'Devam Eden Sprint'!B:B,1,0),"-")=B742,"Devam Eden Sprint","-")</f>
        <v>-</v>
      </c>
      <c r="H742" t="str">
        <f>IF(IFERROR(VLOOKUP(B742,'Gelecek Sprint'!B:B,1,0),"-")=B742,"Gelecek Sprint","-")</f>
        <v>-</v>
      </c>
      <c r="I742" t="str">
        <f t="shared" si="18"/>
        <v>Ürün İş Listesi</v>
      </c>
      <c r="J742" s="5">
        <v>3</v>
      </c>
    </row>
    <row r="743" spans="1:10" x14ac:dyDescent="0.25">
      <c r="A743" t="s">
        <v>14</v>
      </c>
      <c r="B743" t="s">
        <v>1521</v>
      </c>
      <c r="C743" t="s">
        <v>16</v>
      </c>
      <c r="D743" t="s">
        <v>1522</v>
      </c>
      <c r="E743" s="5" t="s">
        <v>56</v>
      </c>
      <c r="F743" s="5" t="e">
        <f>VLOOKUP(B743,'Türkkep Jira'!B:F,5,0)</f>
        <v>#N/A</v>
      </c>
      <c r="G743" t="str">
        <f>IF(IFERROR(VLOOKUP(B743,'Devam Eden Sprint'!B:B,1,0),"-")=B743,"Devam Eden Sprint","-")</f>
        <v>-</v>
      </c>
      <c r="H743" t="str">
        <f>IF(IFERROR(VLOOKUP(B743,'Gelecek Sprint'!B:B,1,0),"-")=B743,"Gelecek Sprint","-")</f>
        <v>-</v>
      </c>
      <c r="I743" t="str">
        <f t="shared" si="18"/>
        <v>Ürün İş Listesi</v>
      </c>
      <c r="J743" s="5">
        <v>8</v>
      </c>
    </row>
    <row r="744" spans="1:10" x14ac:dyDescent="0.25">
      <c r="A744" t="s">
        <v>14</v>
      </c>
      <c r="B744" t="s">
        <v>1523</v>
      </c>
      <c r="C744" t="s">
        <v>16</v>
      </c>
      <c r="D744" t="s">
        <v>1524</v>
      </c>
      <c r="E744" s="5" t="s">
        <v>53</v>
      </c>
      <c r="F744" s="5" t="e">
        <f>VLOOKUP(B744,'Türkkep Jira'!B:F,5,0)</f>
        <v>#N/A</v>
      </c>
      <c r="G744" t="str">
        <f>IF(IFERROR(VLOOKUP(B744,'Devam Eden Sprint'!B:B,1,0),"-")=B744,"Devam Eden Sprint","-")</f>
        <v>-</v>
      </c>
      <c r="H744" t="str">
        <f>IF(IFERROR(VLOOKUP(B744,'Gelecek Sprint'!B:B,1,0),"-")=B744,"Gelecek Sprint","-")</f>
        <v>-</v>
      </c>
      <c r="I744" t="str">
        <f t="shared" si="18"/>
        <v>Ürün İş Listesi</v>
      </c>
      <c r="J744" s="5">
        <v>2</v>
      </c>
    </row>
    <row r="745" spans="1:10" x14ac:dyDescent="0.25">
      <c r="A745" t="s">
        <v>14</v>
      </c>
      <c r="B745" t="s">
        <v>1525</v>
      </c>
      <c r="C745" t="s">
        <v>16</v>
      </c>
      <c r="D745" t="s">
        <v>1526</v>
      </c>
      <c r="E745" s="5" t="s">
        <v>53</v>
      </c>
      <c r="F745" s="5" t="e">
        <f>VLOOKUP(B745,'Türkkep Jira'!B:F,5,0)</f>
        <v>#N/A</v>
      </c>
      <c r="G745" t="str">
        <f>IF(IFERROR(VLOOKUP(B745,'Devam Eden Sprint'!B:B,1,0),"-")=B745,"Devam Eden Sprint","-")</f>
        <v>-</v>
      </c>
      <c r="H745" t="str">
        <f>IF(IFERROR(VLOOKUP(B745,'Gelecek Sprint'!B:B,1,0),"-")=B745,"Gelecek Sprint","-")</f>
        <v>-</v>
      </c>
      <c r="I745" t="str">
        <f t="shared" si="18"/>
        <v>Ürün İş Listesi</v>
      </c>
      <c r="J745" s="5">
        <v>1</v>
      </c>
    </row>
    <row r="746" spans="1:10" x14ac:dyDescent="0.25">
      <c r="A746" t="s">
        <v>14</v>
      </c>
      <c r="B746" t="s">
        <v>1527</v>
      </c>
      <c r="C746" t="s">
        <v>16</v>
      </c>
      <c r="D746" t="s">
        <v>1528</v>
      </c>
      <c r="E746" s="5" t="s">
        <v>53</v>
      </c>
      <c r="F746" s="5" t="e">
        <f>VLOOKUP(B746,'Türkkep Jira'!B:F,5,0)</f>
        <v>#N/A</v>
      </c>
      <c r="G746" t="str">
        <f>IF(IFERROR(VLOOKUP(B746,'Devam Eden Sprint'!B:B,1,0),"-")=B746,"Devam Eden Sprint","-")</f>
        <v>-</v>
      </c>
      <c r="H746" t="str">
        <f>IF(IFERROR(VLOOKUP(B746,'Gelecek Sprint'!B:B,1,0),"-")=B746,"Gelecek Sprint","-")</f>
        <v>-</v>
      </c>
      <c r="I746" t="str">
        <f t="shared" si="18"/>
        <v>Ürün İş Listesi</v>
      </c>
      <c r="J746" s="5">
        <v>1</v>
      </c>
    </row>
    <row r="747" spans="1:10" x14ac:dyDescent="0.25">
      <c r="A747" t="s">
        <v>14</v>
      </c>
      <c r="B747" t="s">
        <v>1529</v>
      </c>
      <c r="C747" t="s">
        <v>16</v>
      </c>
      <c r="D747" t="s">
        <v>1530</v>
      </c>
      <c r="E747" s="5" t="s">
        <v>44</v>
      </c>
      <c r="F747" s="5" t="e">
        <f>VLOOKUP(B747,'Türkkep Jira'!B:F,5,0)</f>
        <v>#N/A</v>
      </c>
      <c r="G747" t="str">
        <f>IF(IFERROR(VLOOKUP(B747,'Devam Eden Sprint'!B:B,1,0),"-")=B747,"Devam Eden Sprint","-")</f>
        <v>-</v>
      </c>
      <c r="H747" t="str">
        <f>IF(IFERROR(VLOOKUP(B747,'Gelecek Sprint'!B:B,1,0),"-")=B747,"Gelecek Sprint","-")</f>
        <v>-</v>
      </c>
      <c r="I747" t="str">
        <f t="shared" si="18"/>
        <v>Ürün İş Listesi</v>
      </c>
      <c r="J747" s="5">
        <v>3</v>
      </c>
    </row>
    <row r="748" spans="1:10" x14ac:dyDescent="0.25">
      <c r="A748" t="s">
        <v>14</v>
      </c>
      <c r="B748" t="s">
        <v>1531</v>
      </c>
      <c r="C748" t="s">
        <v>16</v>
      </c>
      <c r="D748" t="s">
        <v>1532</v>
      </c>
      <c r="E748" s="5" t="s">
        <v>44</v>
      </c>
      <c r="F748" s="5" t="e">
        <f>VLOOKUP(B748,'Türkkep Jira'!B:F,5,0)</f>
        <v>#N/A</v>
      </c>
      <c r="G748" t="str">
        <f>IF(IFERROR(VLOOKUP(B748,'Devam Eden Sprint'!B:B,1,0),"-")=B748,"Devam Eden Sprint","-")</f>
        <v>-</v>
      </c>
      <c r="H748" t="str">
        <f>IF(IFERROR(VLOOKUP(B748,'Gelecek Sprint'!B:B,1,0),"-")=B748,"Gelecek Sprint","-")</f>
        <v>-</v>
      </c>
      <c r="I748" t="str">
        <f t="shared" si="18"/>
        <v>Ürün İş Listesi</v>
      </c>
      <c r="J748" s="5">
        <v>3</v>
      </c>
    </row>
    <row r="749" spans="1:10" x14ac:dyDescent="0.25">
      <c r="A749" t="s">
        <v>77</v>
      </c>
      <c r="B749" t="s">
        <v>1533</v>
      </c>
      <c r="C749" t="s">
        <v>16</v>
      </c>
      <c r="D749" t="s">
        <v>1534</v>
      </c>
      <c r="E749" s="5" t="s">
        <v>44</v>
      </c>
      <c r="F749" s="5" t="e">
        <f>VLOOKUP(B749,'Türkkep Jira'!B:F,5,0)</f>
        <v>#N/A</v>
      </c>
      <c r="G749" t="str">
        <f>IF(IFERROR(VLOOKUP(B749,'Devam Eden Sprint'!B:B,1,0),"-")=B749,"Devam Eden Sprint","-")</f>
        <v>-</v>
      </c>
      <c r="H749" t="str">
        <f>IF(IFERROR(VLOOKUP(B749,'Gelecek Sprint'!B:B,1,0),"-")=B749,"Gelecek Sprint","-")</f>
        <v>-</v>
      </c>
      <c r="I749" t="str">
        <f t="shared" si="18"/>
        <v>Ürün İş Listesi</v>
      </c>
      <c r="J749" s="5">
        <v>1</v>
      </c>
    </row>
    <row r="750" spans="1:10" x14ac:dyDescent="0.25">
      <c r="A750" t="s">
        <v>14</v>
      </c>
      <c r="B750" t="s">
        <v>1535</v>
      </c>
      <c r="C750" t="s">
        <v>16</v>
      </c>
      <c r="D750" t="s">
        <v>1536</v>
      </c>
      <c r="E750" s="5" t="s">
        <v>56</v>
      </c>
      <c r="F750" s="5" t="e">
        <f>VLOOKUP(B750,'Türkkep Jira'!B:F,5,0)</f>
        <v>#N/A</v>
      </c>
      <c r="G750" t="str">
        <f>IF(IFERROR(VLOOKUP(B750,'Devam Eden Sprint'!B:B,1,0),"-")=B750,"Devam Eden Sprint","-")</f>
        <v>-</v>
      </c>
      <c r="H750" t="str">
        <f>IF(IFERROR(VLOOKUP(B750,'Gelecek Sprint'!B:B,1,0),"-")=B750,"Gelecek Sprint","-")</f>
        <v>-</v>
      </c>
      <c r="I750" t="str">
        <f t="shared" si="18"/>
        <v>Ürün İş Listesi</v>
      </c>
      <c r="J750" s="5">
        <v>5</v>
      </c>
    </row>
    <row r="751" spans="1:10" x14ac:dyDescent="0.25">
      <c r="A751" t="s">
        <v>14</v>
      </c>
      <c r="B751" t="s">
        <v>1537</v>
      </c>
      <c r="C751" t="s">
        <v>16</v>
      </c>
      <c r="D751" t="s">
        <v>1538</v>
      </c>
      <c r="E751" s="5" t="s">
        <v>41</v>
      </c>
      <c r="F751" s="5" t="e">
        <f>VLOOKUP(B751,'Türkkep Jira'!B:F,5,0)</f>
        <v>#N/A</v>
      </c>
      <c r="G751" t="str">
        <f>IF(IFERROR(VLOOKUP(B751,'Devam Eden Sprint'!B:B,1,0),"-")=B751,"Devam Eden Sprint","-")</f>
        <v>-</v>
      </c>
      <c r="H751" t="str">
        <f>IF(IFERROR(VLOOKUP(B751,'Gelecek Sprint'!B:B,1,0),"-")=B751,"Gelecek Sprint","-")</f>
        <v>-</v>
      </c>
      <c r="I751" t="str">
        <f t="shared" si="18"/>
        <v>Ürün İş Listesi</v>
      </c>
      <c r="J751" s="5">
        <v>5</v>
      </c>
    </row>
    <row r="752" spans="1:10" x14ac:dyDescent="0.25">
      <c r="A752" t="s">
        <v>14</v>
      </c>
      <c r="B752" t="s">
        <v>1539</v>
      </c>
      <c r="C752" t="s">
        <v>16</v>
      </c>
      <c r="D752" t="s">
        <v>1540</v>
      </c>
      <c r="E752" s="5" t="s">
        <v>41</v>
      </c>
      <c r="F752" s="5" t="e">
        <f>VLOOKUP(B752,'Türkkep Jira'!B:F,5,0)</f>
        <v>#N/A</v>
      </c>
      <c r="G752" t="str">
        <f>IF(IFERROR(VLOOKUP(B752,'Devam Eden Sprint'!B:B,1,0),"-")=B752,"Devam Eden Sprint","-")</f>
        <v>-</v>
      </c>
      <c r="H752" t="str">
        <f>IF(IFERROR(VLOOKUP(B752,'Gelecek Sprint'!B:B,1,0),"-")=B752,"Gelecek Sprint","-")</f>
        <v>-</v>
      </c>
      <c r="I752" t="str">
        <f t="shared" si="18"/>
        <v>Ürün İş Listesi</v>
      </c>
      <c r="J752" s="5">
        <v>5</v>
      </c>
    </row>
    <row r="753" spans="1:10" x14ac:dyDescent="0.25">
      <c r="A753" t="s">
        <v>14</v>
      </c>
      <c r="B753" t="s">
        <v>1541</v>
      </c>
      <c r="C753" t="s">
        <v>16</v>
      </c>
      <c r="D753" t="s">
        <v>1542</v>
      </c>
      <c r="E753" s="5" t="s">
        <v>41</v>
      </c>
      <c r="F753" s="5" t="e">
        <f>VLOOKUP(B753,'Türkkep Jira'!B:F,5,0)</f>
        <v>#N/A</v>
      </c>
      <c r="G753" t="str">
        <f>IF(IFERROR(VLOOKUP(B753,'Devam Eden Sprint'!B:B,1,0),"-")=B753,"Devam Eden Sprint","-")</f>
        <v>-</v>
      </c>
      <c r="H753" t="str">
        <f>IF(IFERROR(VLOOKUP(B753,'Gelecek Sprint'!B:B,1,0),"-")=B753,"Gelecek Sprint","-")</f>
        <v>-</v>
      </c>
      <c r="I753" t="str">
        <f t="shared" si="18"/>
        <v>Ürün İş Listesi</v>
      </c>
      <c r="J753" s="5">
        <v>2</v>
      </c>
    </row>
    <row r="754" spans="1:10" x14ac:dyDescent="0.25">
      <c r="A754" t="s">
        <v>77</v>
      </c>
      <c r="B754" t="s">
        <v>1543</v>
      </c>
      <c r="C754" t="s">
        <v>16</v>
      </c>
      <c r="D754" t="s">
        <v>1544</v>
      </c>
      <c r="E754" s="5" t="s">
        <v>38</v>
      </c>
      <c r="F754" s="5" t="e">
        <f>VLOOKUP(B754,'Türkkep Jira'!B:F,5,0)</f>
        <v>#N/A</v>
      </c>
      <c r="G754" t="str">
        <f>IF(IFERROR(VLOOKUP(B754,'Devam Eden Sprint'!B:B,1,0),"-")=B754,"Devam Eden Sprint","-")</f>
        <v>-</v>
      </c>
      <c r="H754" t="str">
        <f>IF(IFERROR(VLOOKUP(B754,'Gelecek Sprint'!B:B,1,0),"-")=B754,"Gelecek Sprint","-")</f>
        <v>-</v>
      </c>
      <c r="I754" t="str">
        <f t="shared" si="18"/>
        <v>Ürün İş Listesi</v>
      </c>
      <c r="J754" s="5">
        <v>1</v>
      </c>
    </row>
    <row r="755" spans="1:10" x14ac:dyDescent="0.25">
      <c r="A755" t="s">
        <v>14</v>
      </c>
      <c r="B755" t="s">
        <v>1545</v>
      </c>
      <c r="C755" t="s">
        <v>16</v>
      </c>
      <c r="D755" t="s">
        <v>1546</v>
      </c>
      <c r="E755" s="5" t="s">
        <v>1517</v>
      </c>
      <c r="F755" s="5" t="e">
        <f>VLOOKUP(B755,'Türkkep Jira'!B:F,5,0)</f>
        <v>#N/A</v>
      </c>
      <c r="G755" t="str">
        <f>IF(IFERROR(VLOOKUP(B755,'Devam Eden Sprint'!B:B,1,0),"-")=B755,"Devam Eden Sprint","-")</f>
        <v>-</v>
      </c>
      <c r="H755" t="str">
        <f>IF(IFERROR(VLOOKUP(B755,'Gelecek Sprint'!B:B,1,0),"-")=B755,"Gelecek Sprint","-")</f>
        <v>-</v>
      </c>
      <c r="I755" t="str">
        <f t="shared" si="18"/>
        <v>Ürün İş Listesi</v>
      </c>
      <c r="J755" s="5">
        <v>5</v>
      </c>
    </row>
    <row r="756" spans="1:10" x14ac:dyDescent="0.25">
      <c r="A756" t="s">
        <v>77</v>
      </c>
      <c r="B756" t="s">
        <v>1547</v>
      </c>
      <c r="C756" t="s">
        <v>16</v>
      </c>
      <c r="D756" t="s">
        <v>1548</v>
      </c>
      <c r="E756" s="5" t="s">
        <v>41</v>
      </c>
      <c r="F756" s="5" t="e">
        <f>VLOOKUP(B756,'Türkkep Jira'!B:F,5,0)</f>
        <v>#N/A</v>
      </c>
      <c r="G756" t="str">
        <f>IF(IFERROR(VLOOKUP(B756,'Devam Eden Sprint'!B:B,1,0),"-")=B756,"Devam Eden Sprint","-")</f>
        <v>-</v>
      </c>
      <c r="H756" t="str">
        <f>IF(IFERROR(VLOOKUP(B756,'Gelecek Sprint'!B:B,1,0),"-")=B756,"Gelecek Sprint","-")</f>
        <v>-</v>
      </c>
      <c r="I756" t="str">
        <f t="shared" si="18"/>
        <v>Ürün İş Listesi</v>
      </c>
      <c r="J756" s="5">
        <v>2</v>
      </c>
    </row>
    <row r="757" spans="1:10" x14ac:dyDescent="0.25">
      <c r="A757" t="s">
        <v>77</v>
      </c>
      <c r="B757" t="s">
        <v>1549</v>
      </c>
      <c r="C757" t="s">
        <v>16</v>
      </c>
      <c r="D757" t="s">
        <v>1550</v>
      </c>
      <c r="E757" s="5" t="s">
        <v>41</v>
      </c>
      <c r="F757" s="5" t="e">
        <f>VLOOKUP(B757,'Türkkep Jira'!B:F,5,0)</f>
        <v>#N/A</v>
      </c>
      <c r="G757" t="str">
        <f>IF(IFERROR(VLOOKUP(B757,'Devam Eden Sprint'!B:B,1,0),"-")=B757,"Devam Eden Sprint","-")</f>
        <v>-</v>
      </c>
      <c r="H757" t="str">
        <f>IF(IFERROR(VLOOKUP(B757,'Gelecek Sprint'!B:B,1,0),"-")=B757,"Gelecek Sprint","-")</f>
        <v>-</v>
      </c>
      <c r="I757" t="str">
        <f t="shared" si="18"/>
        <v>Ürün İş Listesi</v>
      </c>
      <c r="J757" s="5">
        <v>2</v>
      </c>
    </row>
    <row r="758" spans="1:10" x14ac:dyDescent="0.25">
      <c r="A758" t="s">
        <v>14</v>
      </c>
      <c r="B758" t="s">
        <v>1551</v>
      </c>
      <c r="C758" t="s">
        <v>16</v>
      </c>
      <c r="D758" t="s">
        <v>1552</v>
      </c>
      <c r="E758" s="5" t="s">
        <v>41</v>
      </c>
      <c r="F758" s="5" t="e">
        <f>VLOOKUP(B758,'Türkkep Jira'!B:F,5,0)</f>
        <v>#N/A</v>
      </c>
      <c r="G758" t="str">
        <f>IF(IFERROR(VLOOKUP(B758,'Devam Eden Sprint'!B:B,1,0),"-")=B758,"Devam Eden Sprint","-")</f>
        <v>-</v>
      </c>
      <c r="H758" t="str">
        <f>IF(IFERROR(VLOOKUP(B758,'Gelecek Sprint'!B:B,1,0),"-")=B758,"Gelecek Sprint","-")</f>
        <v>-</v>
      </c>
      <c r="I758" t="str">
        <f t="shared" si="18"/>
        <v>Ürün İş Listesi</v>
      </c>
      <c r="J758" s="5">
        <v>1</v>
      </c>
    </row>
    <row r="759" spans="1:10" x14ac:dyDescent="0.25">
      <c r="A759" t="s">
        <v>77</v>
      </c>
      <c r="B759" t="s">
        <v>1553</v>
      </c>
      <c r="C759" t="s">
        <v>16</v>
      </c>
      <c r="D759" t="s">
        <v>1554</v>
      </c>
      <c r="E759" s="5" t="s">
        <v>41</v>
      </c>
      <c r="F759" s="5" t="e">
        <f>VLOOKUP(B759,'Türkkep Jira'!B:F,5,0)</f>
        <v>#N/A</v>
      </c>
      <c r="G759" t="str">
        <f>IF(IFERROR(VLOOKUP(B759,'Devam Eden Sprint'!B:B,1,0),"-")=B759,"Devam Eden Sprint","-")</f>
        <v>-</v>
      </c>
      <c r="H759" t="str">
        <f>IF(IFERROR(VLOOKUP(B759,'Gelecek Sprint'!B:B,1,0),"-")=B759,"Gelecek Sprint","-")</f>
        <v>-</v>
      </c>
      <c r="I759" t="str">
        <f t="shared" si="18"/>
        <v>Ürün İş Listesi</v>
      </c>
      <c r="J759" s="5">
        <v>1</v>
      </c>
    </row>
    <row r="760" spans="1:10" x14ac:dyDescent="0.25">
      <c r="A760" t="s">
        <v>14</v>
      </c>
      <c r="B760" t="s">
        <v>1555</v>
      </c>
      <c r="C760" t="s">
        <v>16</v>
      </c>
      <c r="D760" t="s">
        <v>1556</v>
      </c>
      <c r="E760" s="5" t="s">
        <v>35</v>
      </c>
      <c r="F760" s="5" t="e">
        <f>VLOOKUP(B760,'Türkkep Jira'!B:F,5,0)</f>
        <v>#N/A</v>
      </c>
      <c r="G760" t="str">
        <f>IF(IFERROR(VLOOKUP(B760,'Devam Eden Sprint'!B:B,1,0),"-")=B760,"Devam Eden Sprint","-")</f>
        <v>-</v>
      </c>
      <c r="H760" t="str">
        <f>IF(IFERROR(VLOOKUP(B760,'Gelecek Sprint'!B:B,1,0),"-")=B760,"Gelecek Sprint","-")</f>
        <v>-</v>
      </c>
      <c r="I760" t="str">
        <f t="shared" si="18"/>
        <v>Ürün İş Listesi</v>
      </c>
      <c r="J760" s="5">
        <v>1</v>
      </c>
    </row>
    <row r="761" spans="1:10" x14ac:dyDescent="0.25">
      <c r="A761" t="s">
        <v>14</v>
      </c>
      <c r="B761" t="s">
        <v>1557</v>
      </c>
      <c r="C761" t="s">
        <v>16</v>
      </c>
      <c r="D761" t="s">
        <v>1558</v>
      </c>
      <c r="E761" s="5" t="s">
        <v>12</v>
      </c>
      <c r="F761" s="5" t="e">
        <f>VLOOKUP(B761,'Türkkep Jira'!B:F,5,0)</f>
        <v>#N/A</v>
      </c>
      <c r="G761" t="str">
        <f>IF(IFERROR(VLOOKUP(B761,'Devam Eden Sprint'!B:B,1,0),"-")=B761,"Devam Eden Sprint","-")</f>
        <v>-</v>
      </c>
      <c r="H761" t="str">
        <f>IF(IFERROR(VLOOKUP(B761,'Gelecek Sprint'!B:B,1,0),"-")=B761,"Gelecek Sprint","-")</f>
        <v>-</v>
      </c>
      <c r="I761" t="str">
        <f t="shared" si="18"/>
        <v>Ürün İş Listesi</v>
      </c>
      <c r="J761" s="5">
        <v>1</v>
      </c>
    </row>
    <row r="762" spans="1:10" x14ac:dyDescent="0.25">
      <c r="A762" t="s">
        <v>14</v>
      </c>
      <c r="B762" t="s">
        <v>1559</v>
      </c>
      <c r="C762" t="s">
        <v>16</v>
      </c>
      <c r="D762" t="s">
        <v>1560</v>
      </c>
      <c r="E762" s="5" t="s">
        <v>12</v>
      </c>
      <c r="F762" s="5" t="e">
        <f>VLOOKUP(B762,'Türkkep Jira'!B:F,5,0)</f>
        <v>#N/A</v>
      </c>
      <c r="G762" t="str">
        <f>IF(IFERROR(VLOOKUP(B762,'Devam Eden Sprint'!B:B,1,0),"-")=B762,"Devam Eden Sprint","-")</f>
        <v>-</v>
      </c>
      <c r="H762" t="str">
        <f>IF(IFERROR(VLOOKUP(B762,'Gelecek Sprint'!B:B,1,0),"-")=B762,"Gelecek Sprint","-")</f>
        <v>-</v>
      </c>
      <c r="I762" t="str">
        <f t="shared" si="18"/>
        <v>Ürün İş Listesi</v>
      </c>
      <c r="J762" s="5">
        <v>2</v>
      </c>
    </row>
    <row r="763" spans="1:10" x14ac:dyDescent="0.25">
      <c r="A763" t="s">
        <v>14</v>
      </c>
      <c r="B763" t="s">
        <v>1561</v>
      </c>
      <c r="C763" t="s">
        <v>16</v>
      </c>
      <c r="D763" t="s">
        <v>1562</v>
      </c>
      <c r="E763" s="5" t="s">
        <v>12</v>
      </c>
      <c r="F763" s="5" t="e">
        <f>VLOOKUP(B763,'Türkkep Jira'!B:F,5,0)</f>
        <v>#N/A</v>
      </c>
      <c r="G763" t="str">
        <f>IF(IFERROR(VLOOKUP(B763,'Devam Eden Sprint'!B:B,1,0),"-")=B763,"Devam Eden Sprint","-")</f>
        <v>-</v>
      </c>
      <c r="H763" t="str">
        <f>IF(IFERROR(VLOOKUP(B763,'Gelecek Sprint'!B:B,1,0),"-")=B763,"Gelecek Sprint","-")</f>
        <v>-</v>
      </c>
      <c r="I763" t="str">
        <f t="shared" si="18"/>
        <v>Ürün İş Listesi</v>
      </c>
      <c r="J763" s="5">
        <v>1</v>
      </c>
    </row>
    <row r="764" spans="1:10" x14ac:dyDescent="0.25">
      <c r="A764" t="s">
        <v>14</v>
      </c>
      <c r="B764" t="s">
        <v>1563</v>
      </c>
      <c r="C764" t="s">
        <v>16</v>
      </c>
      <c r="D764" t="s">
        <v>1564</v>
      </c>
      <c r="E764" s="5" t="s">
        <v>12</v>
      </c>
      <c r="F764" s="5" t="e">
        <f>VLOOKUP(B764,'Türkkep Jira'!B:F,5,0)</f>
        <v>#N/A</v>
      </c>
      <c r="G764" t="str">
        <f>IF(IFERROR(VLOOKUP(B764,'Devam Eden Sprint'!B:B,1,0),"-")=B764,"Devam Eden Sprint","-")</f>
        <v>-</v>
      </c>
      <c r="H764" t="str">
        <f>IF(IFERROR(VLOOKUP(B764,'Gelecek Sprint'!B:B,1,0),"-")=B764,"Gelecek Sprint","-")</f>
        <v>-</v>
      </c>
      <c r="I764" t="str">
        <f t="shared" si="18"/>
        <v>Ürün İş Listesi</v>
      </c>
      <c r="J764" s="5">
        <v>5</v>
      </c>
    </row>
    <row r="765" spans="1:10" x14ac:dyDescent="0.25">
      <c r="A765" t="s">
        <v>14</v>
      </c>
      <c r="B765" t="s">
        <v>1565</v>
      </c>
      <c r="C765" t="s">
        <v>16</v>
      </c>
      <c r="D765" t="s">
        <v>1566</v>
      </c>
      <c r="E765" s="5" t="s">
        <v>12</v>
      </c>
      <c r="F765" s="5" t="e">
        <f>VLOOKUP(B765,'Türkkep Jira'!B:F,5,0)</f>
        <v>#N/A</v>
      </c>
      <c r="G765" t="str">
        <f>IF(IFERROR(VLOOKUP(B765,'Devam Eden Sprint'!B:B,1,0),"-")=B765,"Devam Eden Sprint","-")</f>
        <v>-</v>
      </c>
      <c r="H765" t="str">
        <f>IF(IFERROR(VLOOKUP(B765,'Gelecek Sprint'!B:B,1,0),"-")=B765,"Gelecek Sprint","-")</f>
        <v>-</v>
      </c>
      <c r="I765" t="str">
        <f t="shared" si="18"/>
        <v>Ürün İş Listesi</v>
      </c>
      <c r="J765" s="5">
        <v>3</v>
      </c>
    </row>
    <row r="766" spans="1:10" x14ac:dyDescent="0.25">
      <c r="A766" t="s">
        <v>14</v>
      </c>
      <c r="B766" t="s">
        <v>1567</v>
      </c>
      <c r="C766" t="s">
        <v>16</v>
      </c>
      <c r="D766" t="s">
        <v>1568</v>
      </c>
      <c r="E766" s="5" t="s">
        <v>53</v>
      </c>
      <c r="F766" s="5" t="e">
        <f>VLOOKUP(B766,'Türkkep Jira'!B:F,5,0)</f>
        <v>#N/A</v>
      </c>
      <c r="G766" t="str">
        <f>IF(IFERROR(VLOOKUP(B766,'Devam Eden Sprint'!B:B,1,0),"-")=B766,"Devam Eden Sprint","-")</f>
        <v>-</v>
      </c>
      <c r="H766" t="str">
        <f>IF(IFERROR(VLOOKUP(B766,'Gelecek Sprint'!B:B,1,0),"-")=B766,"Gelecek Sprint","-")</f>
        <v>-</v>
      </c>
      <c r="I766" t="str">
        <f t="shared" si="18"/>
        <v>Ürün İş Listesi</v>
      </c>
      <c r="J766" s="5">
        <v>1</v>
      </c>
    </row>
    <row r="767" spans="1:10" x14ac:dyDescent="0.25">
      <c r="A767" t="s">
        <v>14</v>
      </c>
      <c r="B767" t="s">
        <v>1569</v>
      </c>
      <c r="C767" t="s">
        <v>16</v>
      </c>
      <c r="D767" t="s">
        <v>1570</v>
      </c>
      <c r="E767" s="5" t="s">
        <v>53</v>
      </c>
      <c r="F767" s="5" t="e">
        <f>VLOOKUP(B767,'Türkkep Jira'!B:F,5,0)</f>
        <v>#N/A</v>
      </c>
      <c r="G767" t="str">
        <f>IF(IFERROR(VLOOKUP(B767,'Devam Eden Sprint'!B:B,1,0),"-")=B767,"Devam Eden Sprint","-")</f>
        <v>-</v>
      </c>
      <c r="H767" t="str">
        <f>IF(IFERROR(VLOOKUP(B767,'Gelecek Sprint'!B:B,1,0),"-")=B767,"Gelecek Sprint","-")</f>
        <v>-</v>
      </c>
      <c r="I767" t="str">
        <f t="shared" si="18"/>
        <v>Ürün İş Listesi</v>
      </c>
      <c r="J767" s="5">
        <v>3</v>
      </c>
    </row>
    <row r="768" spans="1:10" x14ac:dyDescent="0.25">
      <c r="A768" t="s">
        <v>14</v>
      </c>
      <c r="B768" t="s">
        <v>1571</v>
      </c>
      <c r="C768" t="s">
        <v>16</v>
      </c>
      <c r="D768" t="s">
        <v>1196</v>
      </c>
      <c r="E768" s="5" t="s">
        <v>53</v>
      </c>
      <c r="F768" s="5" t="e">
        <f>VLOOKUP(B768,'Türkkep Jira'!B:F,5,0)</f>
        <v>#N/A</v>
      </c>
      <c r="G768" t="str">
        <f>IF(IFERROR(VLOOKUP(B768,'Devam Eden Sprint'!B:B,1,0),"-")=B768,"Devam Eden Sprint","-")</f>
        <v>-</v>
      </c>
      <c r="H768" t="str">
        <f>IF(IFERROR(VLOOKUP(B768,'Gelecek Sprint'!B:B,1,0),"-")=B768,"Gelecek Sprint","-")</f>
        <v>-</v>
      </c>
      <c r="I768" t="str">
        <f t="shared" si="18"/>
        <v>Ürün İş Listesi</v>
      </c>
      <c r="J768" s="5">
        <v>3</v>
      </c>
    </row>
    <row r="769" spans="1:10" x14ac:dyDescent="0.25">
      <c r="A769" t="s">
        <v>14</v>
      </c>
      <c r="B769" t="s">
        <v>1572</v>
      </c>
      <c r="C769" t="s">
        <v>16</v>
      </c>
      <c r="D769" t="s">
        <v>1573</v>
      </c>
      <c r="E769" s="5" t="s">
        <v>56</v>
      </c>
      <c r="F769" s="5" t="e">
        <f>VLOOKUP(B769,'Türkkep Jira'!B:F,5,0)</f>
        <v>#N/A</v>
      </c>
      <c r="G769" t="str">
        <f>IF(IFERROR(VLOOKUP(B769,'Devam Eden Sprint'!B:B,1,0),"-")=B769,"Devam Eden Sprint","-")</f>
        <v>-</v>
      </c>
      <c r="H769" t="str">
        <f>IF(IFERROR(VLOOKUP(B769,'Gelecek Sprint'!B:B,1,0),"-")=B769,"Gelecek Sprint","-")</f>
        <v>-</v>
      </c>
      <c r="I769" t="str">
        <f t="shared" si="18"/>
        <v>Ürün İş Listesi</v>
      </c>
      <c r="J769" s="5">
        <v>3</v>
      </c>
    </row>
    <row r="770" spans="1:10" x14ac:dyDescent="0.25">
      <c r="A770" t="s">
        <v>77</v>
      </c>
      <c r="B770" t="s">
        <v>1574</v>
      </c>
      <c r="C770" t="s">
        <v>16</v>
      </c>
      <c r="D770" t="s">
        <v>1575</v>
      </c>
      <c r="E770" s="5" t="s">
        <v>44</v>
      </c>
      <c r="F770" s="5" t="e">
        <f>VLOOKUP(B770,'Türkkep Jira'!B:F,5,0)</f>
        <v>#N/A</v>
      </c>
      <c r="G770" t="str">
        <f>IF(IFERROR(VLOOKUP(B770,'Devam Eden Sprint'!B:B,1,0),"-")=B770,"Devam Eden Sprint","-")</f>
        <v>-</v>
      </c>
      <c r="H770" t="str">
        <f>IF(IFERROR(VLOOKUP(B770,'Gelecek Sprint'!B:B,1,0),"-")=B770,"Gelecek Sprint","-")</f>
        <v>-</v>
      </c>
      <c r="I770" t="str">
        <f t="shared" si="18"/>
        <v>Ürün İş Listesi</v>
      </c>
      <c r="J770" s="5">
        <v>3</v>
      </c>
    </row>
    <row r="771" spans="1:10" x14ac:dyDescent="0.25">
      <c r="A771" t="s">
        <v>14</v>
      </c>
      <c r="B771" t="s">
        <v>1576</v>
      </c>
      <c r="C771" t="s">
        <v>16</v>
      </c>
      <c r="D771" t="s">
        <v>1577</v>
      </c>
      <c r="E771" s="5" t="s">
        <v>59</v>
      </c>
      <c r="F771" s="5" t="e">
        <f>VLOOKUP(B771,'Türkkep Jira'!B:F,5,0)</f>
        <v>#N/A</v>
      </c>
      <c r="G771" t="str">
        <f>IF(IFERROR(VLOOKUP(B771,'Devam Eden Sprint'!B:B,1,0),"-")=B771,"Devam Eden Sprint","-")</f>
        <v>-</v>
      </c>
      <c r="H771" t="str">
        <f>IF(IFERROR(VLOOKUP(B771,'Gelecek Sprint'!B:B,1,0),"-")=B771,"Gelecek Sprint","-")</f>
        <v>-</v>
      </c>
      <c r="I771" t="str">
        <f t="shared" si="18"/>
        <v>Ürün İş Listesi</v>
      </c>
      <c r="J771" s="5">
        <v>3</v>
      </c>
    </row>
    <row r="772" spans="1:10" x14ac:dyDescent="0.25">
      <c r="A772" t="s">
        <v>77</v>
      </c>
      <c r="B772" t="s">
        <v>1578</v>
      </c>
      <c r="C772" t="s">
        <v>16</v>
      </c>
      <c r="D772" t="s">
        <v>1579</v>
      </c>
      <c r="E772" s="5" t="s">
        <v>1517</v>
      </c>
      <c r="F772" s="5" t="e">
        <f>VLOOKUP(B772,'Türkkep Jira'!B:F,5,0)</f>
        <v>#N/A</v>
      </c>
      <c r="G772" t="str">
        <f>IF(IFERROR(VLOOKUP(B772,'Devam Eden Sprint'!B:B,1,0),"-")=B772,"Devam Eden Sprint","-")</f>
        <v>-</v>
      </c>
      <c r="H772" t="str">
        <f>IF(IFERROR(VLOOKUP(B772,'Gelecek Sprint'!B:B,1,0),"-")=B772,"Gelecek Sprint","-")</f>
        <v>-</v>
      </c>
      <c r="I772" t="str">
        <f t="shared" si="18"/>
        <v>Ürün İş Listesi</v>
      </c>
      <c r="J772" s="5">
        <v>3</v>
      </c>
    </row>
    <row r="773" spans="1:10" x14ac:dyDescent="0.25">
      <c r="A773" t="s">
        <v>77</v>
      </c>
      <c r="B773" t="s">
        <v>1580</v>
      </c>
      <c r="C773" t="s">
        <v>16</v>
      </c>
      <c r="D773" t="s">
        <v>1581</v>
      </c>
      <c r="E773" s="5" t="s">
        <v>1517</v>
      </c>
      <c r="F773" s="5" t="e">
        <f>VLOOKUP(B773,'Türkkep Jira'!B:F,5,0)</f>
        <v>#N/A</v>
      </c>
      <c r="G773" t="str">
        <f>IF(IFERROR(VLOOKUP(B773,'Devam Eden Sprint'!B:B,1,0),"-")=B773,"Devam Eden Sprint","-")</f>
        <v>-</v>
      </c>
      <c r="H773" t="str">
        <f>IF(IFERROR(VLOOKUP(B773,'Gelecek Sprint'!B:B,1,0),"-")=B773,"Gelecek Sprint","-")</f>
        <v>-</v>
      </c>
      <c r="I773" t="str">
        <f t="shared" si="18"/>
        <v>Ürün İş Listesi</v>
      </c>
      <c r="J773" s="5">
        <v>3</v>
      </c>
    </row>
    <row r="774" spans="1:10" x14ac:dyDescent="0.25">
      <c r="A774" t="s">
        <v>77</v>
      </c>
      <c r="B774" t="s">
        <v>1582</v>
      </c>
      <c r="C774" t="s">
        <v>16</v>
      </c>
      <c r="D774" t="s">
        <v>1583</v>
      </c>
      <c r="E774" s="5" t="s">
        <v>56</v>
      </c>
      <c r="F774" s="5" t="e">
        <f>VLOOKUP(B774,'Türkkep Jira'!B:F,5,0)</f>
        <v>#N/A</v>
      </c>
      <c r="G774" t="str">
        <f>IF(IFERROR(VLOOKUP(B774,'Devam Eden Sprint'!B:B,1,0),"-")=B774,"Devam Eden Sprint","-")</f>
        <v>-</v>
      </c>
      <c r="H774" t="str">
        <f>IF(IFERROR(VLOOKUP(B774,'Gelecek Sprint'!B:B,1,0),"-")=B774,"Gelecek Sprint","-")</f>
        <v>-</v>
      </c>
      <c r="I774" t="str">
        <f t="shared" si="18"/>
        <v>Ürün İş Listesi</v>
      </c>
      <c r="J774" s="5">
        <v>3</v>
      </c>
    </row>
    <row r="775" spans="1:10" x14ac:dyDescent="0.25">
      <c r="A775" t="s">
        <v>14</v>
      </c>
      <c r="B775" t="s">
        <v>1584</v>
      </c>
      <c r="C775" t="s">
        <v>16</v>
      </c>
      <c r="D775" t="s">
        <v>1585</v>
      </c>
      <c r="E775" s="5" t="s">
        <v>56</v>
      </c>
      <c r="F775" s="5" t="e">
        <f>VLOOKUP(B775,'Türkkep Jira'!B:F,5,0)</f>
        <v>#N/A</v>
      </c>
      <c r="G775" t="str">
        <f>IF(IFERROR(VLOOKUP(B775,'Devam Eden Sprint'!B:B,1,0),"-")=B775,"Devam Eden Sprint","-")</f>
        <v>-</v>
      </c>
      <c r="H775" t="str">
        <f>IF(IFERROR(VLOOKUP(B775,'Gelecek Sprint'!B:B,1,0),"-")=B775,"Gelecek Sprint","-")</f>
        <v>-</v>
      </c>
      <c r="I775" t="str">
        <f t="shared" si="18"/>
        <v>Ürün İş Listesi</v>
      </c>
      <c r="J775" s="5">
        <v>5</v>
      </c>
    </row>
    <row r="776" spans="1:10" x14ac:dyDescent="0.25">
      <c r="A776" t="s">
        <v>14</v>
      </c>
      <c r="B776" t="s">
        <v>1586</v>
      </c>
      <c r="C776" t="s">
        <v>10</v>
      </c>
      <c r="D776" t="s">
        <v>1587</v>
      </c>
      <c r="E776" s="5" t="s">
        <v>56</v>
      </c>
      <c r="F776" s="5" t="e">
        <f>VLOOKUP(B776,'Türkkep Jira'!B:F,5,0)</f>
        <v>#N/A</v>
      </c>
      <c r="G776" t="str">
        <f>IF(IFERROR(VLOOKUP(B776,'Devam Eden Sprint'!B:B,1,0),"-")=B776,"Devam Eden Sprint","-")</f>
        <v>-</v>
      </c>
      <c r="H776" t="str">
        <f>IF(IFERROR(VLOOKUP(B776,'Gelecek Sprint'!B:B,1,0),"-")=B776,"Gelecek Sprint","-")</f>
        <v>-</v>
      </c>
      <c r="I776" t="str">
        <f t="shared" si="18"/>
        <v>Ürün İş Listesi</v>
      </c>
      <c r="J776" s="5">
        <v>5</v>
      </c>
    </row>
    <row r="777" spans="1:10" x14ac:dyDescent="0.25">
      <c r="A777" t="s">
        <v>77</v>
      </c>
      <c r="B777" t="s">
        <v>1588</v>
      </c>
      <c r="C777" t="s">
        <v>16</v>
      </c>
      <c r="D777" t="s">
        <v>1589</v>
      </c>
      <c r="E777" s="5" t="s">
        <v>1386</v>
      </c>
      <c r="F777" s="5" t="e">
        <f>VLOOKUP(B777,'Türkkep Jira'!B:F,5,0)</f>
        <v>#N/A</v>
      </c>
      <c r="G777" t="str">
        <f>IF(IFERROR(VLOOKUP(B777,'Devam Eden Sprint'!B:B,1,0),"-")=B777,"Devam Eden Sprint","-")</f>
        <v>-</v>
      </c>
      <c r="H777" t="str">
        <f>IF(IFERROR(VLOOKUP(B777,'Gelecek Sprint'!B:B,1,0),"-")=B777,"Gelecek Sprint","-")</f>
        <v>-</v>
      </c>
      <c r="I777" t="str">
        <f t="shared" si="18"/>
        <v>Ürün İş Listesi</v>
      </c>
      <c r="J777" s="5">
        <v>1</v>
      </c>
    </row>
    <row r="778" spans="1:10" x14ac:dyDescent="0.25">
      <c r="A778" t="s">
        <v>1379</v>
      </c>
      <c r="B778" t="s">
        <v>1590</v>
      </c>
      <c r="C778" t="s">
        <v>16</v>
      </c>
      <c r="D778" t="s">
        <v>1591</v>
      </c>
      <c r="E778" s="5" t="s">
        <v>41</v>
      </c>
      <c r="F778" s="5" t="e">
        <f>VLOOKUP(B778,'Türkkep Jira'!B:F,5,0)</f>
        <v>#N/A</v>
      </c>
      <c r="G778" t="str">
        <f>IF(IFERROR(VLOOKUP(B778,'Devam Eden Sprint'!B:B,1,0),"-")=B778,"Devam Eden Sprint","-")</f>
        <v>-</v>
      </c>
      <c r="H778" t="str">
        <f>IF(IFERROR(VLOOKUP(B778,'Gelecek Sprint'!B:B,1,0),"-")=B778,"Gelecek Sprint","-")</f>
        <v>-</v>
      </c>
      <c r="I778" t="str">
        <f t="shared" si="18"/>
        <v>Ürün İş Listesi</v>
      </c>
      <c r="J778" s="5">
        <v>1</v>
      </c>
    </row>
    <row r="779" spans="1:10" x14ac:dyDescent="0.25">
      <c r="A779" t="s">
        <v>14</v>
      </c>
      <c r="B779" t="s">
        <v>1592</v>
      </c>
      <c r="C779" t="s">
        <v>16</v>
      </c>
      <c r="D779" t="s">
        <v>1593</v>
      </c>
      <c r="E779" s="5" t="s">
        <v>41</v>
      </c>
      <c r="F779" s="5" t="e">
        <f>VLOOKUP(B779,'Türkkep Jira'!B:F,5,0)</f>
        <v>#N/A</v>
      </c>
      <c r="G779" t="str">
        <f>IF(IFERROR(VLOOKUP(B779,'Devam Eden Sprint'!B:B,1,0),"-")=B779,"Devam Eden Sprint","-")</f>
        <v>-</v>
      </c>
      <c r="H779" t="str">
        <f>IF(IFERROR(VLOOKUP(B779,'Gelecek Sprint'!B:B,1,0),"-")=B779,"Gelecek Sprint","-")</f>
        <v>-</v>
      </c>
      <c r="I779" t="str">
        <f t="shared" si="18"/>
        <v>Ürün İş Listesi</v>
      </c>
      <c r="J779" s="5">
        <v>2</v>
      </c>
    </row>
    <row r="780" spans="1:10" x14ac:dyDescent="0.25">
      <c r="A780" t="s">
        <v>77</v>
      </c>
      <c r="B780" t="s">
        <v>1594</v>
      </c>
      <c r="C780" t="s">
        <v>16</v>
      </c>
      <c r="D780" t="s">
        <v>1595</v>
      </c>
      <c r="E780" s="5" t="s">
        <v>41</v>
      </c>
      <c r="F780" s="5" t="e">
        <f>VLOOKUP(B780,'Türkkep Jira'!B:F,5,0)</f>
        <v>#N/A</v>
      </c>
      <c r="G780" t="str">
        <f>IF(IFERROR(VLOOKUP(B780,'Devam Eden Sprint'!B:B,1,0),"-")=B780,"Devam Eden Sprint","-")</f>
        <v>-</v>
      </c>
      <c r="H780" t="str">
        <f>IF(IFERROR(VLOOKUP(B780,'Gelecek Sprint'!B:B,1,0),"-")=B780,"Gelecek Sprint","-")</f>
        <v>-</v>
      </c>
      <c r="I780" t="str">
        <f t="shared" si="18"/>
        <v>Ürün İş Listesi</v>
      </c>
      <c r="J780" s="5">
        <v>1</v>
      </c>
    </row>
    <row r="781" spans="1:10" x14ac:dyDescent="0.25">
      <c r="A781" t="s">
        <v>14</v>
      </c>
      <c r="B781" t="s">
        <v>1596</v>
      </c>
      <c r="C781" t="s">
        <v>16</v>
      </c>
      <c r="D781" t="s">
        <v>1597</v>
      </c>
      <c r="E781" s="5" t="s">
        <v>44</v>
      </c>
      <c r="F781" s="5" t="e">
        <f>VLOOKUP(B781,'Türkkep Jira'!B:F,5,0)</f>
        <v>#N/A</v>
      </c>
      <c r="G781" t="str">
        <f>IF(IFERROR(VLOOKUP(B781,'Devam Eden Sprint'!B:B,1,0),"-")=B781,"Devam Eden Sprint","-")</f>
        <v>-</v>
      </c>
      <c r="H781" t="str">
        <f>IF(IFERROR(VLOOKUP(B781,'Gelecek Sprint'!B:B,1,0),"-")=B781,"Gelecek Sprint","-")</f>
        <v>-</v>
      </c>
      <c r="I781" t="str">
        <f t="shared" si="18"/>
        <v>Ürün İş Listesi</v>
      </c>
      <c r="J781" s="5">
        <v>5</v>
      </c>
    </row>
    <row r="782" spans="1:10" x14ac:dyDescent="0.25">
      <c r="A782" t="s">
        <v>14</v>
      </c>
      <c r="B782" t="s">
        <v>1598</v>
      </c>
      <c r="C782" t="s">
        <v>16</v>
      </c>
      <c r="D782" t="s">
        <v>1599</v>
      </c>
      <c r="E782" s="5" t="s">
        <v>41</v>
      </c>
      <c r="F782" s="5" t="e">
        <f>VLOOKUP(B782,'Türkkep Jira'!B:F,5,0)</f>
        <v>#N/A</v>
      </c>
      <c r="G782" t="str">
        <f>IF(IFERROR(VLOOKUP(B782,'Devam Eden Sprint'!B:B,1,0),"-")=B782,"Devam Eden Sprint","-")</f>
        <v>-</v>
      </c>
      <c r="H782" t="str">
        <f>IF(IFERROR(VLOOKUP(B782,'Gelecek Sprint'!B:B,1,0),"-")=B782,"Gelecek Sprint","-")</f>
        <v>-</v>
      </c>
      <c r="I782" t="str">
        <f t="shared" si="18"/>
        <v>Ürün İş Listesi</v>
      </c>
      <c r="J782" s="5">
        <v>5</v>
      </c>
    </row>
    <row r="783" spans="1:10" x14ac:dyDescent="0.25">
      <c r="A783" t="s">
        <v>14</v>
      </c>
      <c r="B783" t="s">
        <v>1600</v>
      </c>
      <c r="C783" t="s">
        <v>16</v>
      </c>
      <c r="D783" t="s">
        <v>1601</v>
      </c>
      <c r="E783" s="5" t="s">
        <v>41</v>
      </c>
      <c r="F783" s="5" t="e">
        <f>VLOOKUP(B783,'Türkkep Jira'!B:F,5,0)</f>
        <v>#N/A</v>
      </c>
      <c r="G783" t="str">
        <f>IF(IFERROR(VLOOKUP(B783,'Devam Eden Sprint'!B:B,1,0),"-")=B783,"Devam Eden Sprint","-")</f>
        <v>-</v>
      </c>
      <c r="H783" t="str">
        <f>IF(IFERROR(VLOOKUP(B783,'Gelecek Sprint'!B:B,1,0),"-")=B783,"Gelecek Sprint","-")</f>
        <v>-</v>
      </c>
      <c r="I783" t="str">
        <f t="shared" si="18"/>
        <v>Ürün İş Listesi</v>
      </c>
      <c r="J783" s="5">
        <v>3</v>
      </c>
    </row>
    <row r="784" spans="1:10" x14ac:dyDescent="0.25">
      <c r="A784" t="s">
        <v>14</v>
      </c>
      <c r="B784" t="s">
        <v>1602</v>
      </c>
      <c r="C784" t="s">
        <v>16</v>
      </c>
      <c r="D784" t="s">
        <v>1603</v>
      </c>
      <c r="E784" s="5" t="s">
        <v>41</v>
      </c>
      <c r="F784" s="5" t="e">
        <f>VLOOKUP(B784,'Türkkep Jira'!B:F,5,0)</f>
        <v>#N/A</v>
      </c>
      <c r="G784" t="str">
        <f>IF(IFERROR(VLOOKUP(B784,'Devam Eden Sprint'!B:B,1,0),"-")=B784,"Devam Eden Sprint","-")</f>
        <v>-</v>
      </c>
      <c r="H784" t="str">
        <f>IF(IFERROR(VLOOKUP(B784,'Gelecek Sprint'!B:B,1,0),"-")=B784,"Gelecek Sprint","-")</f>
        <v>-</v>
      </c>
      <c r="I784" t="str">
        <f t="shared" si="18"/>
        <v>Ürün İş Listesi</v>
      </c>
      <c r="J784" s="5">
        <v>2</v>
      </c>
    </row>
    <row r="785" spans="1:10" x14ac:dyDescent="0.25">
      <c r="A785" t="s">
        <v>14</v>
      </c>
      <c r="B785" t="s">
        <v>1604</v>
      </c>
      <c r="C785" t="s">
        <v>16</v>
      </c>
      <c r="D785" t="s">
        <v>1605</v>
      </c>
      <c r="E785" s="5" t="s">
        <v>41</v>
      </c>
      <c r="F785" s="5" t="e">
        <f>VLOOKUP(B785,'Türkkep Jira'!B:F,5,0)</f>
        <v>#N/A</v>
      </c>
      <c r="G785" t="str">
        <f>IF(IFERROR(VLOOKUP(B785,'Devam Eden Sprint'!B:B,1,0),"-")=B785,"Devam Eden Sprint","-")</f>
        <v>-</v>
      </c>
      <c r="H785" t="str">
        <f>IF(IFERROR(VLOOKUP(B785,'Gelecek Sprint'!B:B,1,0),"-")=B785,"Gelecek Sprint","-")</f>
        <v>-</v>
      </c>
      <c r="I785" t="str">
        <f t="shared" si="18"/>
        <v>Ürün İş Listesi</v>
      </c>
      <c r="J785" s="5">
        <v>2</v>
      </c>
    </row>
    <row r="786" spans="1:10" x14ac:dyDescent="0.25">
      <c r="A786" t="s">
        <v>14</v>
      </c>
      <c r="B786" t="s">
        <v>1606</v>
      </c>
      <c r="C786" t="s">
        <v>16</v>
      </c>
      <c r="D786" t="s">
        <v>1607</v>
      </c>
      <c r="E786" s="5" t="s">
        <v>12</v>
      </c>
      <c r="F786" s="5" t="e">
        <f>VLOOKUP(B786,'Türkkep Jira'!B:F,5,0)</f>
        <v>#N/A</v>
      </c>
      <c r="G786" t="str">
        <f>IF(IFERROR(VLOOKUP(B786,'Devam Eden Sprint'!B:B,1,0),"-")=B786,"Devam Eden Sprint","-")</f>
        <v>-</v>
      </c>
      <c r="H786" t="str">
        <f>IF(IFERROR(VLOOKUP(B786,'Gelecek Sprint'!B:B,1,0),"-")=B786,"Gelecek Sprint","-")</f>
        <v>-</v>
      </c>
      <c r="I786" t="str">
        <f t="shared" si="18"/>
        <v>Ürün İş Listesi</v>
      </c>
      <c r="J786" s="5">
        <v>3</v>
      </c>
    </row>
    <row r="787" spans="1:10" x14ac:dyDescent="0.25">
      <c r="A787" t="s">
        <v>14</v>
      </c>
      <c r="B787" t="s">
        <v>1608</v>
      </c>
      <c r="C787" t="s">
        <v>16</v>
      </c>
      <c r="D787" t="s">
        <v>1609</v>
      </c>
      <c r="E787" s="5" t="s">
        <v>12</v>
      </c>
      <c r="F787" s="5" t="e">
        <f>VLOOKUP(B787,'Türkkep Jira'!B:F,5,0)</f>
        <v>#N/A</v>
      </c>
      <c r="G787" t="str">
        <f>IF(IFERROR(VLOOKUP(B787,'Devam Eden Sprint'!B:B,1,0),"-")=B787,"Devam Eden Sprint","-")</f>
        <v>-</v>
      </c>
      <c r="H787" t="str">
        <f>IF(IFERROR(VLOOKUP(B787,'Gelecek Sprint'!B:B,1,0),"-")=B787,"Gelecek Sprint","-")</f>
        <v>-</v>
      </c>
      <c r="I787" t="str">
        <f t="shared" si="18"/>
        <v>Ürün İş Listesi</v>
      </c>
      <c r="J787" s="5">
        <v>1</v>
      </c>
    </row>
    <row r="788" spans="1:10" x14ac:dyDescent="0.25">
      <c r="A788" t="s">
        <v>14</v>
      </c>
      <c r="B788" t="s">
        <v>1610</v>
      </c>
      <c r="C788" t="s">
        <v>16</v>
      </c>
      <c r="D788" t="s">
        <v>1611</v>
      </c>
      <c r="E788" s="5" t="s">
        <v>12</v>
      </c>
      <c r="F788" s="5" t="e">
        <f>VLOOKUP(B788,'Türkkep Jira'!B:F,5,0)</f>
        <v>#N/A</v>
      </c>
      <c r="G788" t="str">
        <f>IF(IFERROR(VLOOKUP(B788,'Devam Eden Sprint'!B:B,1,0),"-")=B788,"Devam Eden Sprint","-")</f>
        <v>-</v>
      </c>
      <c r="H788" t="str">
        <f>IF(IFERROR(VLOOKUP(B788,'Gelecek Sprint'!B:B,1,0),"-")=B788,"Gelecek Sprint","-")</f>
        <v>-</v>
      </c>
      <c r="I788" t="str">
        <f t="shared" ref="I788:I791" si="19">IFERROR(IF(AND(G788="Devam Eden Sprint",H788="Gelecek Sprint"),"Devam Eden ve Gelecek Sprint",IF(G788="Devam Eden Sprint","Devam Eden Sprint",IF(H788="Gelecek Sprint","Gelecek Sprint","Ürün İş Listesi"))),"Ürün İş Listesi")</f>
        <v>Ürün İş Listesi</v>
      </c>
      <c r="J788" s="5">
        <v>5</v>
      </c>
    </row>
    <row r="789" spans="1:10" x14ac:dyDescent="0.25">
      <c r="A789" t="s">
        <v>14</v>
      </c>
      <c r="B789" t="s">
        <v>1612</v>
      </c>
      <c r="C789" t="s">
        <v>16</v>
      </c>
      <c r="D789" t="s">
        <v>1613</v>
      </c>
      <c r="E789" s="5" t="s">
        <v>12</v>
      </c>
      <c r="F789" s="5" t="e">
        <f>VLOOKUP(B789,'Türkkep Jira'!B:F,5,0)</f>
        <v>#N/A</v>
      </c>
      <c r="G789" t="str">
        <f>IF(IFERROR(VLOOKUP(B789,'Devam Eden Sprint'!B:B,1,0),"-")=B789,"Devam Eden Sprint","-")</f>
        <v>-</v>
      </c>
      <c r="H789" t="str">
        <f>IF(IFERROR(VLOOKUP(B789,'Gelecek Sprint'!B:B,1,0),"-")=B789,"Gelecek Sprint","-")</f>
        <v>-</v>
      </c>
      <c r="I789" t="str">
        <f t="shared" si="19"/>
        <v>Ürün İş Listesi</v>
      </c>
      <c r="J789" s="5">
        <v>1</v>
      </c>
    </row>
    <row r="790" spans="1:10" x14ac:dyDescent="0.25">
      <c r="A790" t="s">
        <v>14</v>
      </c>
      <c r="B790" t="s">
        <v>1614</v>
      </c>
      <c r="C790" t="s">
        <v>16</v>
      </c>
      <c r="D790" t="s">
        <v>1615</v>
      </c>
      <c r="E790" s="5" t="s">
        <v>12</v>
      </c>
      <c r="F790" s="5" t="e">
        <f>VLOOKUP(B790,'Türkkep Jira'!B:F,5,0)</f>
        <v>#N/A</v>
      </c>
      <c r="G790" t="str">
        <f>IF(IFERROR(VLOOKUP(B790,'Devam Eden Sprint'!B:B,1,0),"-")=B790,"Devam Eden Sprint","-")</f>
        <v>-</v>
      </c>
      <c r="H790" t="str">
        <f>IF(IFERROR(VLOOKUP(B790,'Gelecek Sprint'!B:B,1,0),"-")=B790,"Gelecek Sprint","-")</f>
        <v>-</v>
      </c>
      <c r="I790" t="str">
        <f t="shared" si="19"/>
        <v>Ürün İş Listesi</v>
      </c>
      <c r="J790" s="5">
        <v>3</v>
      </c>
    </row>
    <row r="791" spans="1:10" x14ac:dyDescent="0.25">
      <c r="A791" t="s">
        <v>14</v>
      </c>
      <c r="B791" t="s">
        <v>1616</v>
      </c>
      <c r="C791" t="s">
        <v>16</v>
      </c>
      <c r="D791" t="s">
        <v>1617</v>
      </c>
      <c r="E791" s="5" t="s">
        <v>12</v>
      </c>
      <c r="F791" s="5" t="e">
        <f>VLOOKUP(B791,'Türkkep Jira'!B:F,5,0)</f>
        <v>#N/A</v>
      </c>
      <c r="G791" t="str">
        <f>IF(IFERROR(VLOOKUP(B791,'Devam Eden Sprint'!B:B,1,0),"-")=B791,"Devam Eden Sprint","-")</f>
        <v>-</v>
      </c>
      <c r="H791" t="str">
        <f>IF(IFERROR(VLOOKUP(B791,'Gelecek Sprint'!B:B,1,0),"-")=B791,"Gelecek Sprint","-")</f>
        <v>-</v>
      </c>
      <c r="I791" t="str">
        <f t="shared" si="19"/>
        <v>Ürün İş Listesi</v>
      </c>
      <c r="J791" s="5">
        <v>3</v>
      </c>
    </row>
    <row r="792" spans="1:10" x14ac:dyDescent="0.25">
      <c r="A792" t="s">
        <v>14</v>
      </c>
      <c r="B792" t="s">
        <v>1618</v>
      </c>
      <c r="C792" t="s">
        <v>16</v>
      </c>
      <c r="D792" t="s">
        <v>1619</v>
      </c>
      <c r="E792" s="5" t="s">
        <v>127</v>
      </c>
      <c r="F792" s="5" t="e">
        <f>VLOOKUP(B792,'Türkkep Jira'!B:F,5,0)</f>
        <v>#N/A</v>
      </c>
      <c r="G792" t="str">
        <f>IF(IFERROR(VLOOKUP(B792,'Devam Eden Sprint'!B:B,1,0),"-")=B792,"Devam Eden Sprint","-")</f>
        <v>-</v>
      </c>
      <c r="H792" t="str">
        <f>IF(IFERROR(VLOOKUP(B792,'Gelecek Sprint'!B:B,1,0),"-")=B792,"Gelecek Sprint","-")</f>
        <v>-</v>
      </c>
      <c r="I792" t="str">
        <f>IFERROR(IF(AND(G792="Devam Eden Sprint",H792="Gelecek Sprint"),"Devam Eden ve Gelecek Sprint",IF(G792="Devam Eden Sprint","Devam Eden Sprint",IF(H792="Gelecek Sprint","Gelecek Sprint","Ürün İş Listesi"))),"Ürün İş Listesi")</f>
        <v>Ürün İş Listesi</v>
      </c>
    </row>
    <row r="793" spans="1:10" x14ac:dyDescent="0.25">
      <c r="A793" t="s">
        <v>14</v>
      </c>
      <c r="B793" t="s">
        <v>1621</v>
      </c>
      <c r="C793" t="s">
        <v>16</v>
      </c>
      <c r="D793" t="s">
        <v>1622</v>
      </c>
      <c r="E793" s="5" t="s">
        <v>53</v>
      </c>
      <c r="F793" s="5" t="e">
        <f>VLOOKUP(B793,'Türkkep Jira'!B:F,5,0)</f>
        <v>#N/A</v>
      </c>
      <c r="G793" t="str">
        <f>IF(IFERROR(VLOOKUP(B793,'Devam Eden Sprint'!B:B,1,0),"-")=B793,"Devam Eden Sprint","-")</f>
        <v>-</v>
      </c>
      <c r="H793" t="str">
        <f>IF(IFERROR(VLOOKUP(B793,'Gelecek Sprint'!B:B,1,0),"-")=B793,"Gelecek Sprint","-")</f>
        <v>-</v>
      </c>
      <c r="I793" t="str">
        <f>IFERROR(IF(AND(G793="Devam Eden Sprint",H793="Gelecek Sprint"),"Devam Eden ve Gelecek Sprint",IF(G793="Devam Eden Sprint","Devam Eden Sprint",IF(H793="Gelecek Sprint","Gelecek Sprint","Ürün İş Listesi"))),"Ürün İş Listesi")</f>
        <v>Ürün İş Listesi</v>
      </c>
    </row>
    <row r="794" spans="1:10" x14ac:dyDescent="0.25">
      <c r="A794" t="s">
        <v>14</v>
      </c>
      <c r="B794" t="s">
        <v>1623</v>
      </c>
      <c r="C794" t="s">
        <v>16</v>
      </c>
      <c r="D794" t="s">
        <v>1624</v>
      </c>
      <c r="E794" s="5" t="s">
        <v>53</v>
      </c>
      <c r="F794" s="5" t="e">
        <f>VLOOKUP(B794,'Türkkep Jira'!B:F,5,0)</f>
        <v>#N/A</v>
      </c>
      <c r="G794" t="str">
        <f>IF(IFERROR(VLOOKUP(B794,'Devam Eden Sprint'!B:B,1,0),"-")=B794,"Devam Eden Sprint","-")</f>
        <v>-</v>
      </c>
      <c r="H794" t="str">
        <f>IF(IFERROR(VLOOKUP(B794,'Gelecek Sprint'!B:B,1,0),"-")=B794,"Gelecek Sprint","-")</f>
        <v>-</v>
      </c>
      <c r="I794" t="str">
        <f>IFERROR(IF(AND(G794="Devam Eden Sprint",H794="Gelecek Sprint"),"Devam Eden ve Gelecek Sprint",IF(G794="Devam Eden Sprint","Devam Eden Sprint",IF(H794="Gelecek Sprint","Gelecek Sprint","Ürün İş Listesi"))),"Ürün İş Listesi")</f>
        <v>Ürün İş Listesi</v>
      </c>
      <c r="J794" s="5">
        <v>8</v>
      </c>
    </row>
    <row r="795" spans="1:10" x14ac:dyDescent="0.25">
      <c r="A795" t="s">
        <v>14</v>
      </c>
      <c r="B795" t="s">
        <v>1625</v>
      </c>
      <c r="C795" t="s">
        <v>16</v>
      </c>
      <c r="D795" t="s">
        <v>1626</v>
      </c>
      <c r="E795" s="5" t="s">
        <v>53</v>
      </c>
      <c r="F795" s="5" t="e">
        <f>VLOOKUP(B795,'Türkkep Jira'!B:F,5,0)</f>
        <v>#N/A</v>
      </c>
      <c r="G795" t="str">
        <f>IF(IFERROR(VLOOKUP(B795,'Devam Eden Sprint'!B:B,1,0),"-")=B795,"Devam Eden Sprint","-")</f>
        <v>-</v>
      </c>
      <c r="H795" t="str">
        <f>IF(IFERROR(VLOOKUP(B795,'Gelecek Sprint'!B:B,1,0),"-")=B795,"Gelecek Sprint","-")</f>
        <v>-</v>
      </c>
      <c r="I795" t="str">
        <f>IFERROR(IF(AND(G795="Devam Eden Sprint",H795="Gelecek Sprint"),"Devam Eden ve Gelecek Sprint",IF(G795="Devam Eden Sprint","Devam Eden Sprint",IF(H795="Gelecek Sprint","Gelecek Sprint","Ürün İş Listesi"))),"Ürün İş Listesi")</f>
        <v>Ürün İş Listesi</v>
      </c>
      <c r="J795" s="5">
        <v>3</v>
      </c>
    </row>
    <row r="796" spans="1:10" x14ac:dyDescent="0.25">
      <c r="A796" t="s">
        <v>77</v>
      </c>
      <c r="B796" t="s">
        <v>1627</v>
      </c>
      <c r="C796" t="s">
        <v>16</v>
      </c>
      <c r="D796" t="s">
        <v>1628</v>
      </c>
      <c r="E796" s="5" t="s">
        <v>47</v>
      </c>
      <c r="F796" s="5" t="e">
        <f>VLOOKUP(B796,'Türkkep Jira'!B:F,5,0)</f>
        <v>#N/A</v>
      </c>
      <c r="G796" t="str">
        <f>IF(IFERROR(VLOOKUP(B796,'Devam Eden Sprint'!B:B,1,0),"-")=B796,"Devam Eden Sprint","-")</f>
        <v>-</v>
      </c>
      <c r="H796" t="str">
        <f>IF(IFERROR(VLOOKUP(B796,'Gelecek Sprint'!B:B,1,0),"-")=B796,"Gelecek Sprint","-")</f>
        <v>-</v>
      </c>
      <c r="I796" t="str">
        <f>IFERROR(IF(AND(G796="Devam Eden Sprint",H796="Gelecek Sprint"),"Devam Eden ve Gelecek Sprint",IF(G796="Devam Eden Sprint","Devam Eden Sprint",IF(H796="Gelecek Sprint","Gelecek Sprint","Ürün İş Listesi"))),"Ürün İş Listesi")</f>
        <v>Ürün İş Listesi</v>
      </c>
      <c r="J796" s="5">
        <v>2</v>
      </c>
    </row>
    <row r="797" spans="1:10" x14ac:dyDescent="0.25">
      <c r="A797" t="s">
        <v>14</v>
      </c>
      <c r="B797" t="s">
        <v>1629</v>
      </c>
      <c r="C797" t="s">
        <v>16</v>
      </c>
      <c r="D797" t="s">
        <v>1630</v>
      </c>
      <c r="E797" s="5" t="s">
        <v>53</v>
      </c>
      <c r="F797" s="5" t="e">
        <f>VLOOKUP(B797,'Türkkep Jira'!B:F,5,0)</f>
        <v>#N/A</v>
      </c>
      <c r="G797" t="str">
        <f>IF(IFERROR(VLOOKUP(B797,'Devam Eden Sprint'!B:B,1,0),"-")=B797,"Devam Eden Sprint","-")</f>
        <v>-</v>
      </c>
      <c r="H797" t="str">
        <f>IF(IFERROR(VLOOKUP(B797,'Gelecek Sprint'!B:B,1,0),"-")=B797,"Gelecek Sprint","-")</f>
        <v>-</v>
      </c>
      <c r="I797" t="str">
        <f t="shared" ref="I797:I860" si="20">IFERROR(IF(AND(G797="Devam Eden Sprint",H797="Gelecek Sprint"),"Devam Eden ve Gelecek Sprint",IF(G797="Devam Eden Sprint","Devam Eden Sprint",IF(H797="Gelecek Sprint","Gelecek Sprint","Ürün İş Listesi"))),"Ürün İş Listesi")</f>
        <v>Ürün İş Listesi</v>
      </c>
    </row>
    <row r="798" spans="1:10" x14ac:dyDescent="0.25">
      <c r="A798" t="s">
        <v>14</v>
      </c>
      <c r="B798" t="s">
        <v>1631</v>
      </c>
      <c r="C798" t="s">
        <v>16</v>
      </c>
      <c r="D798" t="s">
        <v>1632</v>
      </c>
      <c r="E798" s="5" t="s">
        <v>53</v>
      </c>
      <c r="F798" s="5" t="e">
        <f>VLOOKUP(B798,'Türkkep Jira'!B:F,5,0)</f>
        <v>#N/A</v>
      </c>
      <c r="G798" t="str">
        <f>IF(IFERROR(VLOOKUP(B798,'Devam Eden Sprint'!B:B,1,0),"-")=B798,"Devam Eden Sprint","-")</f>
        <v>-</v>
      </c>
      <c r="H798" t="str">
        <f>IF(IFERROR(VLOOKUP(B798,'Gelecek Sprint'!B:B,1,0),"-")=B798,"Gelecek Sprint","-")</f>
        <v>-</v>
      </c>
      <c r="I798" t="str">
        <f t="shared" si="20"/>
        <v>Ürün İş Listesi</v>
      </c>
    </row>
    <row r="799" spans="1:10" x14ac:dyDescent="0.25">
      <c r="A799" t="s">
        <v>14</v>
      </c>
      <c r="B799" t="s">
        <v>1633</v>
      </c>
      <c r="C799" t="s">
        <v>16</v>
      </c>
      <c r="D799" t="s">
        <v>1634</v>
      </c>
      <c r="E799" s="5" t="s">
        <v>53</v>
      </c>
      <c r="F799" s="5" t="e">
        <f>VLOOKUP(B799,'Türkkep Jira'!B:F,5,0)</f>
        <v>#N/A</v>
      </c>
      <c r="G799" t="str">
        <f>IF(IFERROR(VLOOKUP(B799,'Devam Eden Sprint'!B:B,1,0),"-")=B799,"Devam Eden Sprint","-")</f>
        <v>-</v>
      </c>
      <c r="H799" t="str">
        <f>IF(IFERROR(VLOOKUP(B799,'Gelecek Sprint'!B:B,1,0),"-")=B799,"Gelecek Sprint","-")</f>
        <v>-</v>
      </c>
      <c r="I799" t="str">
        <f t="shared" si="20"/>
        <v>Ürün İş Listesi</v>
      </c>
    </row>
    <row r="800" spans="1:10" x14ac:dyDescent="0.25">
      <c r="A800" t="s">
        <v>14</v>
      </c>
      <c r="B800" t="s">
        <v>1635</v>
      </c>
      <c r="C800" t="s">
        <v>16</v>
      </c>
      <c r="D800" t="s">
        <v>1636</v>
      </c>
      <c r="E800" s="5" t="s">
        <v>53</v>
      </c>
      <c r="F800" s="5" t="e">
        <f>VLOOKUP(B800,'Türkkep Jira'!B:F,5,0)</f>
        <v>#N/A</v>
      </c>
      <c r="G800" t="str">
        <f>IF(IFERROR(VLOOKUP(B800,'Devam Eden Sprint'!B:B,1,0),"-")=B800,"Devam Eden Sprint","-")</f>
        <v>-</v>
      </c>
      <c r="H800" t="str">
        <f>IF(IFERROR(VLOOKUP(B800,'Gelecek Sprint'!B:B,1,0),"-")=B800,"Gelecek Sprint","-")</f>
        <v>-</v>
      </c>
      <c r="I800" t="str">
        <f t="shared" si="20"/>
        <v>Ürün İş Listesi</v>
      </c>
    </row>
    <row r="801" spans="1:10" x14ac:dyDescent="0.25">
      <c r="A801" t="s">
        <v>14</v>
      </c>
      <c r="B801" t="s">
        <v>1637</v>
      </c>
      <c r="C801" t="s">
        <v>16</v>
      </c>
      <c r="D801" t="s">
        <v>1638</v>
      </c>
      <c r="E801" s="5" t="s">
        <v>53</v>
      </c>
      <c r="F801" s="5" t="e">
        <f>VLOOKUP(B801,'Türkkep Jira'!B:F,5,0)</f>
        <v>#N/A</v>
      </c>
      <c r="G801" t="str">
        <f>IF(IFERROR(VLOOKUP(B801,'Devam Eden Sprint'!B:B,1,0),"-")=B801,"Devam Eden Sprint","-")</f>
        <v>-</v>
      </c>
      <c r="H801" t="str">
        <f>IF(IFERROR(VLOOKUP(B801,'Gelecek Sprint'!B:B,1,0),"-")=B801,"Gelecek Sprint","-")</f>
        <v>-</v>
      </c>
      <c r="I801" t="str">
        <f t="shared" si="20"/>
        <v>Ürün İş Listesi</v>
      </c>
    </row>
    <row r="802" spans="1:10" x14ac:dyDescent="0.25">
      <c r="A802" t="s">
        <v>14</v>
      </c>
      <c r="B802" t="s">
        <v>1639</v>
      </c>
      <c r="C802" t="s">
        <v>16</v>
      </c>
      <c r="D802" t="s">
        <v>1640</v>
      </c>
      <c r="E802" s="5" t="s">
        <v>53</v>
      </c>
      <c r="F802" s="5" t="e">
        <f>VLOOKUP(B802,'Türkkep Jira'!B:F,5,0)</f>
        <v>#N/A</v>
      </c>
      <c r="G802" t="str">
        <f>IF(IFERROR(VLOOKUP(B802,'Devam Eden Sprint'!B:B,1,0),"-")=B802,"Devam Eden Sprint","-")</f>
        <v>-</v>
      </c>
      <c r="H802" t="str">
        <f>IF(IFERROR(VLOOKUP(B802,'Gelecek Sprint'!B:B,1,0),"-")=B802,"Gelecek Sprint","-")</f>
        <v>-</v>
      </c>
      <c r="I802" t="str">
        <f t="shared" si="20"/>
        <v>Ürün İş Listesi</v>
      </c>
    </row>
    <row r="803" spans="1:10" x14ac:dyDescent="0.25">
      <c r="A803" t="s">
        <v>14</v>
      </c>
      <c r="B803" t="s">
        <v>1641</v>
      </c>
      <c r="C803" t="s">
        <v>16</v>
      </c>
      <c r="D803" t="s">
        <v>1642</v>
      </c>
      <c r="E803" s="5" t="s">
        <v>127</v>
      </c>
      <c r="F803" s="5" t="e">
        <f>VLOOKUP(B803,'Türkkep Jira'!B:F,5,0)</f>
        <v>#N/A</v>
      </c>
      <c r="G803" t="str">
        <f>IF(IFERROR(VLOOKUP(B803,'Devam Eden Sprint'!B:B,1,0),"-")=B803,"Devam Eden Sprint","-")</f>
        <v>-</v>
      </c>
      <c r="H803" t="str">
        <f>IF(IFERROR(VLOOKUP(B803,'Gelecek Sprint'!B:B,1,0),"-")=B803,"Gelecek Sprint","-")</f>
        <v>-</v>
      </c>
      <c r="I803" t="str">
        <f t="shared" si="20"/>
        <v>Ürün İş Listesi</v>
      </c>
    </row>
    <row r="804" spans="1:10" x14ac:dyDescent="0.25">
      <c r="A804" t="s">
        <v>77</v>
      </c>
      <c r="B804" t="s">
        <v>1644</v>
      </c>
      <c r="C804" t="s">
        <v>16</v>
      </c>
      <c r="D804" t="s">
        <v>1645</v>
      </c>
      <c r="E804" s="5" t="s">
        <v>59</v>
      </c>
      <c r="F804" s="5" t="e">
        <f>VLOOKUP(B804,'Türkkep Jira'!B:F,5,0)</f>
        <v>#N/A</v>
      </c>
      <c r="G804" t="str">
        <f>IF(IFERROR(VLOOKUP(B804,'Devam Eden Sprint'!B:B,1,0),"-")=B804,"Devam Eden Sprint","-")</f>
        <v>-</v>
      </c>
      <c r="H804" t="str">
        <f>IF(IFERROR(VLOOKUP(B804,'Gelecek Sprint'!B:B,1,0),"-")=B804,"Gelecek Sprint","-")</f>
        <v>-</v>
      </c>
      <c r="I804" t="str">
        <f t="shared" si="20"/>
        <v>Ürün İş Listesi</v>
      </c>
      <c r="J804" s="5">
        <v>2</v>
      </c>
    </row>
    <row r="805" spans="1:10" x14ac:dyDescent="0.25">
      <c r="A805" t="s">
        <v>77</v>
      </c>
      <c r="B805" t="s">
        <v>1646</v>
      </c>
      <c r="C805" t="s">
        <v>16</v>
      </c>
      <c r="D805" t="s">
        <v>1647</v>
      </c>
      <c r="E805" s="5" t="s">
        <v>59</v>
      </c>
      <c r="F805" s="5" t="e">
        <f>VLOOKUP(B805,'Türkkep Jira'!B:F,5,0)</f>
        <v>#N/A</v>
      </c>
      <c r="G805" t="str">
        <f>IF(IFERROR(VLOOKUP(B805,'Devam Eden Sprint'!B:B,1,0),"-")=B805,"Devam Eden Sprint","-")</f>
        <v>-</v>
      </c>
      <c r="H805" t="str">
        <f>IF(IFERROR(VLOOKUP(B805,'Gelecek Sprint'!B:B,1,0),"-")=B805,"Gelecek Sprint","-")</f>
        <v>-</v>
      </c>
      <c r="I805" t="str">
        <f t="shared" si="20"/>
        <v>Ürün İş Listesi</v>
      </c>
      <c r="J805" s="5">
        <v>2</v>
      </c>
    </row>
    <row r="806" spans="1:10" x14ac:dyDescent="0.25">
      <c r="A806" t="s">
        <v>14</v>
      </c>
      <c r="B806" t="s">
        <v>1648</v>
      </c>
      <c r="C806" t="s">
        <v>16</v>
      </c>
      <c r="D806" t="s">
        <v>1649</v>
      </c>
      <c r="E806" s="5" t="s">
        <v>59</v>
      </c>
      <c r="F806" s="5" t="e">
        <f>VLOOKUP(B806,'Türkkep Jira'!B:F,5,0)</f>
        <v>#N/A</v>
      </c>
      <c r="G806" t="str">
        <f>IF(IFERROR(VLOOKUP(B806,'Devam Eden Sprint'!B:B,1,0),"-")=B806,"Devam Eden Sprint","-")</f>
        <v>-</v>
      </c>
      <c r="H806" t="str">
        <f>IF(IFERROR(VLOOKUP(B806,'Gelecek Sprint'!B:B,1,0),"-")=B806,"Gelecek Sprint","-")</f>
        <v>-</v>
      </c>
      <c r="I806" t="str">
        <f t="shared" si="20"/>
        <v>Ürün İş Listesi</v>
      </c>
      <c r="J806" s="5">
        <v>1</v>
      </c>
    </row>
    <row r="807" spans="1:10" x14ac:dyDescent="0.25">
      <c r="A807" t="s">
        <v>14</v>
      </c>
      <c r="B807" t="s">
        <v>1650</v>
      </c>
      <c r="C807" t="s">
        <v>10</v>
      </c>
      <c r="D807" t="s">
        <v>1651</v>
      </c>
      <c r="E807" s="5" t="s">
        <v>56</v>
      </c>
      <c r="F807" s="5" t="e">
        <f>VLOOKUP(B807,'Türkkep Jira'!B:F,5,0)</f>
        <v>#N/A</v>
      </c>
      <c r="G807" t="str">
        <f>IF(IFERROR(VLOOKUP(B807,'Devam Eden Sprint'!B:B,1,0),"-")=B807,"Devam Eden Sprint","-")</f>
        <v>-</v>
      </c>
      <c r="H807" t="str">
        <f>IF(IFERROR(VLOOKUP(B807,'Gelecek Sprint'!B:B,1,0),"-")=B807,"Gelecek Sprint","-")</f>
        <v>-</v>
      </c>
      <c r="I807" t="str">
        <f t="shared" si="20"/>
        <v>Ürün İş Listesi</v>
      </c>
    </row>
    <row r="808" spans="1:10" x14ac:dyDescent="0.25">
      <c r="A808" t="s">
        <v>77</v>
      </c>
      <c r="B808" t="s">
        <v>1652</v>
      </c>
      <c r="C808" t="s">
        <v>16</v>
      </c>
      <c r="D808" t="s">
        <v>1653</v>
      </c>
      <c r="E808" s="5" t="s">
        <v>56</v>
      </c>
      <c r="F808" s="5" t="e">
        <f>VLOOKUP(B808,'Türkkep Jira'!B:F,5,0)</f>
        <v>#N/A</v>
      </c>
      <c r="G808" t="str">
        <f>IF(IFERROR(VLOOKUP(B808,'Devam Eden Sprint'!B:B,1,0),"-")=B808,"Devam Eden Sprint","-")</f>
        <v>-</v>
      </c>
      <c r="H808" t="str">
        <f>IF(IFERROR(VLOOKUP(B808,'Gelecek Sprint'!B:B,1,0),"-")=B808,"Gelecek Sprint","-")</f>
        <v>-</v>
      </c>
      <c r="I808" t="str">
        <f t="shared" si="20"/>
        <v>Ürün İş Listesi</v>
      </c>
      <c r="J808" s="5">
        <v>1</v>
      </c>
    </row>
    <row r="809" spans="1:10" x14ac:dyDescent="0.25">
      <c r="A809" t="s">
        <v>14</v>
      </c>
      <c r="B809" t="s">
        <v>1654</v>
      </c>
      <c r="C809" t="s">
        <v>16</v>
      </c>
      <c r="D809" t="s">
        <v>1655</v>
      </c>
      <c r="E809" s="5" t="s">
        <v>56</v>
      </c>
      <c r="F809" s="5" t="e">
        <f>VLOOKUP(B809,'Türkkep Jira'!B:F,5,0)</f>
        <v>#N/A</v>
      </c>
      <c r="G809" t="str">
        <f>IF(IFERROR(VLOOKUP(B809,'Devam Eden Sprint'!B:B,1,0),"-")=B809,"Devam Eden Sprint","-")</f>
        <v>-</v>
      </c>
      <c r="H809" t="str">
        <f>IF(IFERROR(VLOOKUP(B809,'Gelecek Sprint'!B:B,1,0),"-")=B809,"Gelecek Sprint","-")</f>
        <v>-</v>
      </c>
      <c r="I809" t="str">
        <f t="shared" si="20"/>
        <v>Ürün İş Listesi</v>
      </c>
      <c r="J809" s="5">
        <v>1</v>
      </c>
    </row>
    <row r="810" spans="1:10" x14ac:dyDescent="0.25">
      <c r="A810" t="s">
        <v>14</v>
      </c>
      <c r="B810" t="s">
        <v>1656</v>
      </c>
      <c r="C810" t="s">
        <v>16</v>
      </c>
      <c r="D810" t="s">
        <v>1657</v>
      </c>
      <c r="E810" s="5" t="s">
        <v>56</v>
      </c>
      <c r="F810" s="5" t="str">
        <f>VLOOKUP(B810,'Türkkep Jira'!B:F,5,0)</f>
        <v>Done</v>
      </c>
      <c r="G810" t="str">
        <f>IF(IFERROR(VLOOKUP(B810,'Devam Eden Sprint'!B:B,1,0),"-")=B810,"Devam Eden Sprint","-")</f>
        <v>Devam Eden Sprint</v>
      </c>
      <c r="H810" t="str">
        <f>IF(IFERROR(VLOOKUP(B810,'Gelecek Sprint'!B:B,1,0),"-")=B810,"Gelecek Sprint","-")</f>
        <v>-</v>
      </c>
      <c r="I810" t="str">
        <f t="shared" si="20"/>
        <v>Devam Eden Sprint</v>
      </c>
    </row>
    <row r="811" spans="1:10" x14ac:dyDescent="0.25">
      <c r="A811" t="s">
        <v>77</v>
      </c>
      <c r="B811" t="s">
        <v>1658</v>
      </c>
      <c r="C811" t="s">
        <v>16</v>
      </c>
      <c r="D811" t="s">
        <v>1659</v>
      </c>
      <c r="E811" s="5" t="s">
        <v>56</v>
      </c>
      <c r="F811" s="5" t="e">
        <f>VLOOKUP(B811,'Türkkep Jira'!B:F,5,0)</f>
        <v>#N/A</v>
      </c>
      <c r="G811" t="str">
        <f>IF(IFERROR(VLOOKUP(B811,'Devam Eden Sprint'!B:B,1,0),"-")=B811,"Devam Eden Sprint","-")</f>
        <v>-</v>
      </c>
      <c r="H811" t="str">
        <f>IF(IFERROR(VLOOKUP(B811,'Gelecek Sprint'!B:B,1,0),"-")=B811,"Gelecek Sprint","-")</f>
        <v>-</v>
      </c>
      <c r="I811" t="str">
        <f t="shared" si="20"/>
        <v>Ürün İş Listesi</v>
      </c>
      <c r="J811" s="5">
        <v>5</v>
      </c>
    </row>
    <row r="812" spans="1:10" x14ac:dyDescent="0.25">
      <c r="A812" t="s">
        <v>14</v>
      </c>
      <c r="B812" t="s">
        <v>1660</v>
      </c>
      <c r="C812" t="s">
        <v>16</v>
      </c>
      <c r="D812" t="s">
        <v>1661</v>
      </c>
      <c r="E812" s="5" t="s">
        <v>47</v>
      </c>
      <c r="F812" s="5" t="e">
        <f>VLOOKUP(B812,'Türkkep Jira'!B:F,5,0)</f>
        <v>#N/A</v>
      </c>
      <c r="G812" t="str">
        <f>IF(IFERROR(VLOOKUP(B812,'Devam Eden Sprint'!B:B,1,0),"-")=B812,"Devam Eden Sprint","-")</f>
        <v>-</v>
      </c>
      <c r="H812" t="str">
        <f>IF(IFERROR(VLOOKUP(B812,'Gelecek Sprint'!B:B,1,0),"-")=B812,"Gelecek Sprint","-")</f>
        <v>-</v>
      </c>
      <c r="I812" t="str">
        <f t="shared" si="20"/>
        <v>Ürün İş Listesi</v>
      </c>
    </row>
    <row r="813" spans="1:10" x14ac:dyDescent="0.25">
      <c r="A813" t="s">
        <v>14</v>
      </c>
      <c r="B813" t="s">
        <v>1662</v>
      </c>
      <c r="C813" t="s">
        <v>16</v>
      </c>
      <c r="D813" t="s">
        <v>1663</v>
      </c>
      <c r="E813" s="5" t="s">
        <v>47</v>
      </c>
      <c r="F813" s="5" t="e">
        <f>VLOOKUP(B813,'Türkkep Jira'!B:F,5,0)</f>
        <v>#N/A</v>
      </c>
      <c r="G813" t="str">
        <f>IF(IFERROR(VLOOKUP(B813,'Devam Eden Sprint'!B:B,1,0),"-")=B813,"Devam Eden Sprint","-")</f>
        <v>-</v>
      </c>
      <c r="H813" t="str">
        <f>IF(IFERROR(VLOOKUP(B813,'Gelecek Sprint'!B:B,1,0),"-")=B813,"Gelecek Sprint","-")</f>
        <v>-</v>
      </c>
      <c r="I813" t="str">
        <f t="shared" si="20"/>
        <v>Ürün İş Listesi</v>
      </c>
      <c r="J813" s="5">
        <v>3</v>
      </c>
    </row>
    <row r="814" spans="1:10" x14ac:dyDescent="0.25">
      <c r="A814" t="s">
        <v>77</v>
      </c>
      <c r="B814" t="s">
        <v>1664</v>
      </c>
      <c r="C814" t="s">
        <v>16</v>
      </c>
      <c r="D814" t="s">
        <v>1665</v>
      </c>
      <c r="E814" s="5" t="s">
        <v>47</v>
      </c>
      <c r="F814" s="5" t="e">
        <f>VLOOKUP(B814,'Türkkep Jira'!B:F,5,0)</f>
        <v>#N/A</v>
      </c>
      <c r="G814" t="str">
        <f>IF(IFERROR(VLOOKUP(B814,'Devam Eden Sprint'!B:B,1,0),"-")=B814,"Devam Eden Sprint","-")</f>
        <v>-</v>
      </c>
      <c r="H814" t="str">
        <f>IF(IFERROR(VLOOKUP(B814,'Gelecek Sprint'!B:B,1,0),"-")=B814,"Gelecek Sprint","-")</f>
        <v>-</v>
      </c>
      <c r="I814" t="str">
        <f t="shared" si="20"/>
        <v>Ürün İş Listesi</v>
      </c>
      <c r="J814" s="5">
        <v>5</v>
      </c>
    </row>
    <row r="815" spans="1:10" x14ac:dyDescent="0.25">
      <c r="A815" t="s">
        <v>77</v>
      </c>
      <c r="B815" t="s">
        <v>1666</v>
      </c>
      <c r="C815" t="s">
        <v>16</v>
      </c>
      <c r="D815" t="s">
        <v>1667</v>
      </c>
      <c r="E815" s="5" t="s">
        <v>50</v>
      </c>
      <c r="F815" s="5" t="e">
        <f>VLOOKUP(B815,'Türkkep Jira'!B:F,5,0)</f>
        <v>#N/A</v>
      </c>
      <c r="G815" t="str">
        <f>IF(IFERROR(VLOOKUP(B815,'Devam Eden Sprint'!B:B,1,0),"-")=B815,"Devam Eden Sprint","-")</f>
        <v>-</v>
      </c>
      <c r="H815" t="str">
        <f>IF(IFERROR(VLOOKUP(B815,'Gelecek Sprint'!B:B,1,0),"-")=B815,"Gelecek Sprint","-")</f>
        <v>-</v>
      </c>
      <c r="I815" t="str">
        <f t="shared" si="20"/>
        <v>Ürün İş Listesi</v>
      </c>
      <c r="J815" s="5">
        <v>1</v>
      </c>
    </row>
    <row r="816" spans="1:10" x14ac:dyDescent="0.25">
      <c r="A816" t="s">
        <v>14</v>
      </c>
      <c r="B816" t="s">
        <v>1668</v>
      </c>
      <c r="C816" t="s">
        <v>16</v>
      </c>
      <c r="D816" t="s">
        <v>1669</v>
      </c>
      <c r="E816" s="5" t="s">
        <v>35</v>
      </c>
      <c r="F816" s="5" t="e">
        <f>VLOOKUP(B816,'Türkkep Jira'!B:F,5,0)</f>
        <v>#N/A</v>
      </c>
      <c r="G816" t="str">
        <f>IF(IFERROR(VLOOKUP(B816,'Devam Eden Sprint'!B:B,1,0),"-")=B816,"Devam Eden Sprint","-")</f>
        <v>-</v>
      </c>
      <c r="H816" t="str">
        <f>IF(IFERROR(VLOOKUP(B816,'Gelecek Sprint'!B:B,1,0),"-")=B816,"Gelecek Sprint","-")</f>
        <v>-</v>
      </c>
      <c r="I816" t="str">
        <f t="shared" si="20"/>
        <v>Ürün İş Listesi</v>
      </c>
      <c r="J816" s="5">
        <v>1</v>
      </c>
    </row>
    <row r="817" spans="1:10" x14ac:dyDescent="0.25">
      <c r="A817" t="s">
        <v>14</v>
      </c>
      <c r="B817" t="s">
        <v>1670</v>
      </c>
      <c r="C817" t="s">
        <v>16</v>
      </c>
      <c r="D817" t="s">
        <v>1671</v>
      </c>
      <c r="E817" s="5" t="s">
        <v>991</v>
      </c>
      <c r="F817" s="5" t="str">
        <f>VLOOKUP(B817,'Türkkep Jira'!B:F,5,0)</f>
        <v>Done</v>
      </c>
      <c r="G817" t="str">
        <f>IF(IFERROR(VLOOKUP(B817,'Devam Eden Sprint'!B:B,1,0),"-")=B817,"Devam Eden Sprint","-")</f>
        <v>-</v>
      </c>
      <c r="H817" t="str">
        <f>IF(IFERROR(VLOOKUP(B817,'Gelecek Sprint'!B:B,1,0),"-")=B817,"Gelecek Sprint","-")</f>
        <v>-</v>
      </c>
      <c r="I817" t="str">
        <f t="shared" si="20"/>
        <v>Ürün İş Listesi</v>
      </c>
    </row>
    <row r="818" spans="1:10" x14ac:dyDescent="0.25">
      <c r="A818" t="s">
        <v>14</v>
      </c>
      <c r="B818" t="s">
        <v>1672</v>
      </c>
      <c r="C818" t="s">
        <v>16</v>
      </c>
      <c r="D818" t="s">
        <v>1673</v>
      </c>
      <c r="E818" s="5" t="s">
        <v>991</v>
      </c>
      <c r="F818" s="5" t="str">
        <f>VLOOKUP(B818,'Türkkep Jira'!B:F,5,0)</f>
        <v>Done</v>
      </c>
      <c r="G818" t="str">
        <f>IF(IFERROR(VLOOKUP(B818,'Devam Eden Sprint'!B:B,1,0),"-")=B818,"Devam Eden Sprint","-")</f>
        <v>-</v>
      </c>
      <c r="H818" t="str">
        <f>IF(IFERROR(VLOOKUP(B818,'Gelecek Sprint'!B:B,1,0),"-")=B818,"Gelecek Sprint","-")</f>
        <v>-</v>
      </c>
      <c r="I818" t="str">
        <f t="shared" si="20"/>
        <v>Ürün İş Listesi</v>
      </c>
    </row>
    <row r="819" spans="1:10" x14ac:dyDescent="0.25">
      <c r="A819" t="s">
        <v>14</v>
      </c>
      <c r="B819" t="s">
        <v>1674</v>
      </c>
      <c r="C819" t="s">
        <v>16</v>
      </c>
      <c r="D819" t="s">
        <v>1675</v>
      </c>
      <c r="E819" s="5" t="s">
        <v>991</v>
      </c>
      <c r="F819" s="5" t="str">
        <f>VLOOKUP(B819,'Türkkep Jira'!B:F,5,0)</f>
        <v>Done</v>
      </c>
      <c r="G819" t="str">
        <f>IF(IFERROR(VLOOKUP(B819,'Devam Eden Sprint'!B:B,1,0),"-")=B819,"Devam Eden Sprint","-")</f>
        <v>-</v>
      </c>
      <c r="H819" t="str">
        <f>IF(IFERROR(VLOOKUP(B819,'Gelecek Sprint'!B:B,1,0),"-")=B819,"Gelecek Sprint","-")</f>
        <v>-</v>
      </c>
      <c r="I819" t="str">
        <f t="shared" si="20"/>
        <v>Ürün İş Listesi</v>
      </c>
    </row>
    <row r="820" spans="1:10" x14ac:dyDescent="0.25">
      <c r="A820" t="s">
        <v>14</v>
      </c>
      <c r="B820" t="s">
        <v>1676</v>
      </c>
      <c r="C820" t="s">
        <v>16</v>
      </c>
      <c r="D820" t="s">
        <v>1677</v>
      </c>
      <c r="E820" s="5" t="s">
        <v>991</v>
      </c>
      <c r="F820" s="5" t="str">
        <f>VLOOKUP(B820,'Türkkep Jira'!B:F,5,0)</f>
        <v>Done</v>
      </c>
      <c r="G820" t="str">
        <f>IF(IFERROR(VLOOKUP(B820,'Devam Eden Sprint'!B:B,1,0),"-")=B820,"Devam Eden Sprint","-")</f>
        <v>-</v>
      </c>
      <c r="H820" t="str">
        <f>IF(IFERROR(VLOOKUP(B820,'Gelecek Sprint'!B:B,1,0),"-")=B820,"Gelecek Sprint","-")</f>
        <v>-</v>
      </c>
      <c r="I820" t="str">
        <f t="shared" si="20"/>
        <v>Ürün İş Listesi</v>
      </c>
    </row>
    <row r="821" spans="1:10" x14ac:dyDescent="0.25">
      <c r="A821" t="s">
        <v>14</v>
      </c>
      <c r="B821" t="s">
        <v>1678</v>
      </c>
      <c r="C821" t="s">
        <v>16</v>
      </c>
      <c r="D821" t="s">
        <v>1679</v>
      </c>
      <c r="E821" s="5" t="s">
        <v>991</v>
      </c>
      <c r="F821" s="5" t="str">
        <f>VLOOKUP(B821,'Türkkep Jira'!B:F,5,0)</f>
        <v>Done</v>
      </c>
      <c r="G821" t="str">
        <f>IF(IFERROR(VLOOKUP(B821,'Devam Eden Sprint'!B:B,1,0),"-")=B821,"Devam Eden Sprint","-")</f>
        <v>-</v>
      </c>
      <c r="H821" t="str">
        <f>IF(IFERROR(VLOOKUP(B821,'Gelecek Sprint'!B:B,1,0),"-")=B821,"Gelecek Sprint","-")</f>
        <v>-</v>
      </c>
      <c r="I821" t="str">
        <f t="shared" si="20"/>
        <v>Ürün İş Listesi</v>
      </c>
    </row>
    <row r="822" spans="1:10" x14ac:dyDescent="0.25">
      <c r="A822" t="s">
        <v>1379</v>
      </c>
      <c r="B822" t="s">
        <v>1680</v>
      </c>
      <c r="C822" t="s">
        <v>26</v>
      </c>
      <c r="D822" t="s">
        <v>1681</v>
      </c>
      <c r="E822" s="5" t="s">
        <v>991</v>
      </c>
      <c r="F822" s="5" t="e">
        <f>VLOOKUP(B822,'Türkkep Jira'!B:F,5,0)</f>
        <v>#N/A</v>
      </c>
      <c r="G822" t="str">
        <f>IF(IFERROR(VLOOKUP(B822,'Devam Eden Sprint'!B:B,1,0),"-")=B822,"Devam Eden Sprint","-")</f>
        <v>-</v>
      </c>
      <c r="H822" t="str">
        <f>IF(IFERROR(VLOOKUP(B822,'Gelecek Sprint'!B:B,1,0),"-")=B822,"Gelecek Sprint","-")</f>
        <v>-</v>
      </c>
      <c r="I822" t="str">
        <f t="shared" si="20"/>
        <v>Ürün İş Listesi</v>
      </c>
    </row>
    <row r="823" spans="1:10" x14ac:dyDescent="0.25">
      <c r="A823" t="s">
        <v>1379</v>
      </c>
      <c r="B823" t="s">
        <v>1682</v>
      </c>
      <c r="C823" t="s">
        <v>16</v>
      </c>
      <c r="D823" t="s">
        <v>1681</v>
      </c>
      <c r="E823" s="5" t="s">
        <v>991</v>
      </c>
      <c r="F823" s="5" t="str">
        <f>VLOOKUP(B823,'Türkkep Jira'!B:F,5,0)</f>
        <v>Done</v>
      </c>
      <c r="G823" t="str">
        <f>IF(IFERROR(VLOOKUP(B823,'Devam Eden Sprint'!B:B,1,0),"-")=B823,"Devam Eden Sprint","-")</f>
        <v>-</v>
      </c>
      <c r="H823" t="str">
        <f>IF(IFERROR(VLOOKUP(B823,'Gelecek Sprint'!B:B,1,0),"-")=B823,"Gelecek Sprint","-")</f>
        <v>-</v>
      </c>
      <c r="I823" t="str">
        <f t="shared" si="20"/>
        <v>Ürün İş Listesi</v>
      </c>
    </row>
    <row r="824" spans="1:10" x14ac:dyDescent="0.25">
      <c r="A824" t="s">
        <v>1379</v>
      </c>
      <c r="B824" t="s">
        <v>1683</v>
      </c>
      <c r="C824" t="s">
        <v>16</v>
      </c>
      <c r="D824" t="s">
        <v>1681</v>
      </c>
      <c r="E824" s="5" t="s">
        <v>991</v>
      </c>
      <c r="F824" s="5" t="str">
        <f>VLOOKUP(B824,'Türkkep Jira'!B:F,5,0)</f>
        <v>Done</v>
      </c>
      <c r="G824" t="str">
        <f>IF(IFERROR(VLOOKUP(B824,'Devam Eden Sprint'!B:B,1,0),"-")=B824,"Devam Eden Sprint","-")</f>
        <v>-</v>
      </c>
      <c r="H824" t="str">
        <f>IF(IFERROR(VLOOKUP(B824,'Gelecek Sprint'!B:B,1,0),"-")=B824,"Gelecek Sprint","-")</f>
        <v>-</v>
      </c>
      <c r="I824" t="str">
        <f t="shared" si="20"/>
        <v>Ürün İş Listesi</v>
      </c>
    </row>
    <row r="825" spans="1:10" x14ac:dyDescent="0.25">
      <c r="A825" t="s">
        <v>14</v>
      </c>
      <c r="B825" t="s">
        <v>1684</v>
      </c>
      <c r="C825" t="s">
        <v>10</v>
      </c>
      <c r="D825" t="s">
        <v>1685</v>
      </c>
      <c r="E825" s="5" t="s">
        <v>991</v>
      </c>
      <c r="F825" s="5" t="e">
        <f>VLOOKUP(B825,'Türkkep Jira'!B:F,5,0)</f>
        <v>#N/A</v>
      </c>
      <c r="G825" t="str">
        <f>IF(IFERROR(VLOOKUP(B825,'Devam Eden Sprint'!B:B,1,0),"-")=B825,"Devam Eden Sprint","-")</f>
        <v>-</v>
      </c>
      <c r="H825" t="str">
        <f>IF(IFERROR(VLOOKUP(B825,'Gelecek Sprint'!B:B,1,0),"-")=B825,"Gelecek Sprint","-")</f>
        <v>-</v>
      </c>
      <c r="I825" t="str">
        <f t="shared" si="20"/>
        <v>Ürün İş Listesi</v>
      </c>
    </row>
    <row r="826" spans="1:10" x14ac:dyDescent="0.25">
      <c r="A826" t="s">
        <v>14</v>
      </c>
      <c r="B826" t="s">
        <v>1686</v>
      </c>
      <c r="C826" t="s">
        <v>26</v>
      </c>
      <c r="D826" t="s">
        <v>1687</v>
      </c>
      <c r="E826" s="5" t="s">
        <v>991</v>
      </c>
      <c r="F826" s="5" t="e">
        <f>VLOOKUP(B826,'Türkkep Jira'!B:F,5,0)</f>
        <v>#N/A</v>
      </c>
      <c r="G826" t="str">
        <f>IF(IFERROR(VLOOKUP(B826,'Devam Eden Sprint'!B:B,1,0),"-")=B826,"Devam Eden Sprint","-")</f>
        <v>-</v>
      </c>
      <c r="H826" t="str">
        <f>IF(IFERROR(VLOOKUP(B826,'Gelecek Sprint'!B:B,1,0),"-")=B826,"Gelecek Sprint","-")</f>
        <v>-</v>
      </c>
      <c r="I826" t="str">
        <f t="shared" si="20"/>
        <v>Ürün İş Listesi</v>
      </c>
    </row>
    <row r="827" spans="1:10" x14ac:dyDescent="0.25">
      <c r="A827" t="s">
        <v>14</v>
      </c>
      <c r="B827" t="s">
        <v>1688</v>
      </c>
      <c r="C827" t="s">
        <v>16</v>
      </c>
      <c r="D827" t="s">
        <v>1689</v>
      </c>
      <c r="E827" s="5" t="s">
        <v>991</v>
      </c>
      <c r="F827" s="5" t="str">
        <f>VLOOKUP(B827,'Türkkep Jira'!B:F,5,0)</f>
        <v>Done</v>
      </c>
      <c r="G827" t="str">
        <f>IF(IFERROR(VLOOKUP(B827,'Devam Eden Sprint'!B:B,1,0),"-")=B827,"Devam Eden Sprint","-")</f>
        <v>-</v>
      </c>
      <c r="H827" t="str">
        <f>IF(IFERROR(VLOOKUP(B827,'Gelecek Sprint'!B:B,1,0),"-")=B827,"Gelecek Sprint","-")</f>
        <v>-</v>
      </c>
      <c r="I827" t="str">
        <f t="shared" si="20"/>
        <v>Ürün İş Listesi</v>
      </c>
    </row>
    <row r="828" spans="1:10" x14ac:dyDescent="0.25">
      <c r="A828" t="s">
        <v>14</v>
      </c>
      <c r="B828" t="s">
        <v>1690</v>
      </c>
      <c r="C828" t="s">
        <v>16</v>
      </c>
      <c r="D828" t="s">
        <v>1691</v>
      </c>
      <c r="E828" s="5" t="s">
        <v>991</v>
      </c>
      <c r="F828" s="5" t="str">
        <f>VLOOKUP(B828,'Türkkep Jira'!B:F,5,0)</f>
        <v>Done</v>
      </c>
      <c r="G828" t="str">
        <f>IF(IFERROR(VLOOKUP(B828,'Devam Eden Sprint'!B:B,1,0),"-")=B828,"Devam Eden Sprint","-")</f>
        <v>-</v>
      </c>
      <c r="H828" t="str">
        <f>IF(IFERROR(VLOOKUP(B828,'Gelecek Sprint'!B:B,1,0),"-")=B828,"Gelecek Sprint","-")</f>
        <v>-</v>
      </c>
      <c r="I828" t="str">
        <f t="shared" si="20"/>
        <v>Ürün İş Listesi</v>
      </c>
    </row>
    <row r="829" spans="1:10" x14ac:dyDescent="0.25">
      <c r="A829" t="s">
        <v>14</v>
      </c>
      <c r="B829" t="s">
        <v>1692</v>
      </c>
      <c r="C829" t="s">
        <v>16</v>
      </c>
      <c r="D829" t="s">
        <v>1693</v>
      </c>
      <c r="E829" s="5" t="s">
        <v>991</v>
      </c>
      <c r="F829" s="5" t="str">
        <f>VLOOKUP(B829,'Türkkep Jira'!B:F,5,0)</f>
        <v>Done</v>
      </c>
      <c r="G829" t="str">
        <f>IF(IFERROR(VLOOKUP(B829,'Devam Eden Sprint'!B:B,1,0),"-")=B829,"Devam Eden Sprint","-")</f>
        <v>-</v>
      </c>
      <c r="H829" t="str">
        <f>IF(IFERROR(VLOOKUP(B829,'Gelecek Sprint'!B:B,1,0),"-")=B829,"Gelecek Sprint","-")</f>
        <v>-</v>
      </c>
      <c r="I829" t="str">
        <f t="shared" si="20"/>
        <v>Ürün İş Listesi</v>
      </c>
    </row>
    <row r="830" spans="1:10" x14ac:dyDescent="0.25">
      <c r="A830" t="s">
        <v>14</v>
      </c>
      <c r="B830" t="s">
        <v>1694</v>
      </c>
      <c r="C830" t="s">
        <v>16</v>
      </c>
      <c r="D830" t="s">
        <v>1695</v>
      </c>
      <c r="E830" s="5" t="s">
        <v>991</v>
      </c>
      <c r="F830" s="5" t="str">
        <f>VLOOKUP(B830,'Türkkep Jira'!B:F,5,0)</f>
        <v>Done</v>
      </c>
      <c r="G830" t="str">
        <f>IF(IFERROR(VLOOKUP(B830,'Devam Eden Sprint'!B:B,1,0),"-")=B830,"Devam Eden Sprint","-")</f>
        <v>-</v>
      </c>
      <c r="H830" t="str">
        <f>IF(IFERROR(VLOOKUP(B830,'Gelecek Sprint'!B:B,1,0),"-")=B830,"Gelecek Sprint","-")</f>
        <v>-</v>
      </c>
      <c r="I830" t="str">
        <f t="shared" si="20"/>
        <v>Ürün İş Listesi</v>
      </c>
    </row>
    <row r="831" spans="1:10" x14ac:dyDescent="0.25">
      <c r="A831" t="s">
        <v>14</v>
      </c>
      <c r="B831" t="s">
        <v>1696</v>
      </c>
      <c r="C831" t="s">
        <v>10</v>
      </c>
      <c r="D831" t="s">
        <v>1697</v>
      </c>
      <c r="E831" s="5" t="s">
        <v>12</v>
      </c>
      <c r="F831" s="5" t="e">
        <f>VLOOKUP(B831,'Türkkep Jira'!B:F,5,0)</f>
        <v>#N/A</v>
      </c>
      <c r="G831" t="str">
        <f>IF(IFERROR(VLOOKUP(B831,'Devam Eden Sprint'!B:B,1,0),"-")=B831,"Devam Eden Sprint","-")</f>
        <v>-</v>
      </c>
      <c r="H831" t="str">
        <f>IF(IFERROR(VLOOKUP(B831,'Gelecek Sprint'!B:B,1,0),"-")=B831,"Gelecek Sprint","-")</f>
        <v>-</v>
      </c>
      <c r="I831" t="str">
        <f t="shared" si="20"/>
        <v>Ürün İş Listesi</v>
      </c>
    </row>
    <row r="832" spans="1:10" x14ac:dyDescent="0.25">
      <c r="A832" t="s">
        <v>14</v>
      </c>
      <c r="B832" t="s">
        <v>1698</v>
      </c>
      <c r="C832" t="s">
        <v>16</v>
      </c>
      <c r="D832" t="s">
        <v>1699</v>
      </c>
      <c r="E832" s="5" t="s">
        <v>12</v>
      </c>
      <c r="F832" s="5" t="e">
        <f>VLOOKUP(B832,'Türkkep Jira'!B:F,5,0)</f>
        <v>#N/A</v>
      </c>
      <c r="G832" t="str">
        <f>IF(IFERROR(VLOOKUP(B832,'Devam Eden Sprint'!B:B,1,0),"-")=B832,"Devam Eden Sprint","-")</f>
        <v>-</v>
      </c>
      <c r="H832" t="str">
        <f>IF(IFERROR(VLOOKUP(B832,'Gelecek Sprint'!B:B,1,0),"-")=B832,"Gelecek Sprint","-")</f>
        <v>-</v>
      </c>
      <c r="I832" t="str">
        <f t="shared" si="20"/>
        <v>Ürün İş Listesi</v>
      </c>
      <c r="J832" s="5">
        <v>3</v>
      </c>
    </row>
    <row r="833" spans="1:10" x14ac:dyDescent="0.25">
      <c r="A833" t="s">
        <v>14</v>
      </c>
      <c r="B833" t="s">
        <v>1700</v>
      </c>
      <c r="C833" t="s">
        <v>16</v>
      </c>
      <c r="D833" t="s">
        <v>1701</v>
      </c>
      <c r="E833" s="5" t="s">
        <v>12</v>
      </c>
      <c r="F833" s="5" t="e">
        <f>VLOOKUP(B833,'Türkkep Jira'!B:F,5,0)</f>
        <v>#N/A</v>
      </c>
      <c r="G833" t="str">
        <f>IF(IFERROR(VLOOKUP(B833,'Devam Eden Sprint'!B:B,1,0),"-")=B833,"Devam Eden Sprint","-")</f>
        <v>-</v>
      </c>
      <c r="H833" t="str">
        <f>IF(IFERROR(VLOOKUP(B833,'Gelecek Sprint'!B:B,1,0),"-")=B833,"Gelecek Sprint","-")</f>
        <v>-</v>
      </c>
      <c r="I833" t="str">
        <f t="shared" si="20"/>
        <v>Ürün İş Listesi</v>
      </c>
      <c r="J833" s="5">
        <v>1</v>
      </c>
    </row>
    <row r="834" spans="1:10" x14ac:dyDescent="0.25">
      <c r="A834" t="s">
        <v>77</v>
      </c>
      <c r="B834" t="s">
        <v>1702</v>
      </c>
      <c r="C834" t="s">
        <v>16</v>
      </c>
      <c r="D834" t="s">
        <v>1703</v>
      </c>
      <c r="E834" s="5" t="s">
        <v>41</v>
      </c>
      <c r="F834" s="5" t="e">
        <f>VLOOKUP(B834,'Türkkep Jira'!B:F,5,0)</f>
        <v>#N/A</v>
      </c>
      <c r="G834" t="str">
        <f>IF(IFERROR(VLOOKUP(B834,'Devam Eden Sprint'!B:B,1,0),"-")=B834,"Devam Eden Sprint","-")</f>
        <v>-</v>
      </c>
      <c r="H834" t="str">
        <f>IF(IFERROR(VLOOKUP(B834,'Gelecek Sprint'!B:B,1,0),"-")=B834,"Gelecek Sprint","-")</f>
        <v>-</v>
      </c>
      <c r="I834" t="str">
        <f t="shared" si="20"/>
        <v>Ürün İş Listesi</v>
      </c>
      <c r="J834" s="5">
        <v>2</v>
      </c>
    </row>
    <row r="835" spans="1:10" x14ac:dyDescent="0.25">
      <c r="A835" t="s">
        <v>14</v>
      </c>
      <c r="B835" t="s">
        <v>1704</v>
      </c>
      <c r="C835" t="s">
        <v>16</v>
      </c>
      <c r="D835" t="s">
        <v>1705</v>
      </c>
      <c r="E835" s="5" t="s">
        <v>41</v>
      </c>
      <c r="F835" s="5" t="e">
        <f>VLOOKUP(B835,'Türkkep Jira'!B:F,5,0)</f>
        <v>#N/A</v>
      </c>
      <c r="G835" t="str">
        <f>IF(IFERROR(VLOOKUP(B835,'Devam Eden Sprint'!B:B,1,0),"-")=B835,"Devam Eden Sprint","-")</f>
        <v>-</v>
      </c>
      <c r="H835" t="str">
        <f>IF(IFERROR(VLOOKUP(B835,'Gelecek Sprint'!B:B,1,0),"-")=B835,"Gelecek Sprint","-")</f>
        <v>-</v>
      </c>
      <c r="I835" t="str">
        <f t="shared" si="20"/>
        <v>Ürün İş Listesi</v>
      </c>
      <c r="J835" s="5">
        <v>3</v>
      </c>
    </row>
    <row r="836" spans="1:10" x14ac:dyDescent="0.25">
      <c r="A836" t="s">
        <v>14</v>
      </c>
      <c r="B836" t="s">
        <v>1706</v>
      </c>
      <c r="C836" t="s">
        <v>16</v>
      </c>
      <c r="D836" t="s">
        <v>1707</v>
      </c>
      <c r="E836" s="5" t="s">
        <v>35</v>
      </c>
      <c r="F836" s="5" t="e">
        <f>VLOOKUP(B836,'Türkkep Jira'!B:F,5,0)</f>
        <v>#N/A</v>
      </c>
      <c r="G836" t="str">
        <f>IF(IFERROR(VLOOKUP(B836,'Devam Eden Sprint'!B:B,1,0),"-")=B836,"Devam Eden Sprint","-")</f>
        <v>-</v>
      </c>
      <c r="H836" t="str">
        <f>IF(IFERROR(VLOOKUP(B836,'Gelecek Sprint'!B:B,1,0),"-")=B836,"Gelecek Sprint","-")</f>
        <v>-</v>
      </c>
      <c r="I836" t="str">
        <f t="shared" si="20"/>
        <v>Ürün İş Listesi</v>
      </c>
      <c r="J836" s="5">
        <v>3</v>
      </c>
    </row>
    <row r="837" spans="1:10" x14ac:dyDescent="0.25">
      <c r="A837" t="s">
        <v>14</v>
      </c>
      <c r="B837" t="s">
        <v>1708</v>
      </c>
      <c r="C837" t="s">
        <v>16</v>
      </c>
      <c r="D837" t="s">
        <v>1709</v>
      </c>
      <c r="E837" s="5" t="s">
        <v>38</v>
      </c>
      <c r="F837" s="5" t="e">
        <f>VLOOKUP(B837,'Türkkep Jira'!B:F,5,0)</f>
        <v>#N/A</v>
      </c>
      <c r="G837" t="str">
        <f>IF(IFERROR(VLOOKUP(B837,'Devam Eden Sprint'!B:B,1,0),"-")=B837,"Devam Eden Sprint","-")</f>
        <v>-</v>
      </c>
      <c r="H837" t="str">
        <f>IF(IFERROR(VLOOKUP(B837,'Gelecek Sprint'!B:B,1,0),"-")=B837,"Gelecek Sprint","-")</f>
        <v>-</v>
      </c>
      <c r="I837" t="str">
        <f t="shared" si="20"/>
        <v>Ürün İş Listesi</v>
      </c>
      <c r="J837" s="5">
        <v>3</v>
      </c>
    </row>
    <row r="838" spans="1:10" x14ac:dyDescent="0.25">
      <c r="A838" t="s">
        <v>77</v>
      </c>
      <c r="B838" t="s">
        <v>1710</v>
      </c>
      <c r="C838" t="s">
        <v>16</v>
      </c>
      <c r="D838" t="s">
        <v>1711</v>
      </c>
      <c r="E838" s="5" t="s">
        <v>53</v>
      </c>
      <c r="F838" s="5" t="e">
        <f>VLOOKUP(B838,'Türkkep Jira'!B:F,5,0)</f>
        <v>#N/A</v>
      </c>
      <c r="G838" t="str">
        <f>IF(IFERROR(VLOOKUP(B838,'Devam Eden Sprint'!B:B,1,0),"-")=B838,"Devam Eden Sprint","-")</f>
        <v>-</v>
      </c>
      <c r="H838" t="str">
        <f>IF(IFERROR(VLOOKUP(B838,'Gelecek Sprint'!B:B,1,0),"-")=B838,"Gelecek Sprint","-")</f>
        <v>-</v>
      </c>
      <c r="I838" t="str">
        <f t="shared" si="20"/>
        <v>Ürün İş Listesi</v>
      </c>
      <c r="J838" s="5">
        <v>5</v>
      </c>
    </row>
    <row r="839" spans="1:10" x14ac:dyDescent="0.25">
      <c r="A839" t="s">
        <v>14</v>
      </c>
      <c r="B839" t="s">
        <v>1712</v>
      </c>
      <c r="C839" t="s">
        <v>16</v>
      </c>
      <c r="D839" t="s">
        <v>1713</v>
      </c>
      <c r="E839" s="5" t="s">
        <v>53</v>
      </c>
      <c r="F839" s="5" t="e">
        <f>VLOOKUP(B839,'Türkkep Jira'!B:F,5,0)</f>
        <v>#N/A</v>
      </c>
      <c r="G839" t="str">
        <f>IF(IFERROR(VLOOKUP(B839,'Devam Eden Sprint'!B:B,1,0),"-")=B839,"Devam Eden Sprint","-")</f>
        <v>-</v>
      </c>
      <c r="H839" t="str">
        <f>IF(IFERROR(VLOOKUP(B839,'Gelecek Sprint'!B:B,1,0),"-")=B839,"Gelecek Sprint","-")</f>
        <v>-</v>
      </c>
      <c r="I839" t="str">
        <f t="shared" si="20"/>
        <v>Ürün İş Listesi</v>
      </c>
      <c r="J839" s="5">
        <v>3</v>
      </c>
    </row>
    <row r="840" spans="1:10" x14ac:dyDescent="0.25">
      <c r="A840" t="s">
        <v>14</v>
      </c>
      <c r="B840" t="s">
        <v>1714</v>
      </c>
      <c r="C840" t="s">
        <v>10</v>
      </c>
      <c r="D840" t="s">
        <v>1715</v>
      </c>
      <c r="E840" s="5" t="s">
        <v>127</v>
      </c>
      <c r="F840" s="5" t="e">
        <f>VLOOKUP(B840,'Türkkep Jira'!B:F,5,0)</f>
        <v>#N/A</v>
      </c>
      <c r="G840" t="str">
        <f>IF(IFERROR(VLOOKUP(B840,'Devam Eden Sprint'!B:B,1,0),"-")=B840,"Devam Eden Sprint","-")</f>
        <v>-</v>
      </c>
      <c r="H840" t="str">
        <f>IF(IFERROR(VLOOKUP(B840,'Gelecek Sprint'!B:B,1,0),"-")=B840,"Gelecek Sprint","-")</f>
        <v>-</v>
      </c>
      <c r="I840" t="str">
        <f t="shared" si="20"/>
        <v>Ürün İş Listesi</v>
      </c>
      <c r="J840" s="5">
        <v>1</v>
      </c>
    </row>
    <row r="841" spans="1:10" x14ac:dyDescent="0.25">
      <c r="A841" t="s">
        <v>14</v>
      </c>
      <c r="B841" t="s">
        <v>1716</v>
      </c>
      <c r="C841" t="s">
        <v>16</v>
      </c>
      <c r="D841" t="s">
        <v>1717</v>
      </c>
      <c r="E841" s="5" t="s">
        <v>127</v>
      </c>
      <c r="F841" s="5" t="e">
        <f>VLOOKUP(B841,'Türkkep Jira'!B:F,5,0)</f>
        <v>#N/A</v>
      </c>
      <c r="G841" t="str">
        <f>IF(IFERROR(VLOOKUP(B841,'Devam Eden Sprint'!B:B,1,0),"-")=B841,"Devam Eden Sprint","-")</f>
        <v>-</v>
      </c>
      <c r="H841" t="str">
        <f>IF(IFERROR(VLOOKUP(B841,'Gelecek Sprint'!B:B,1,0),"-")=B841,"Gelecek Sprint","-")</f>
        <v>-</v>
      </c>
      <c r="I841" t="str">
        <f t="shared" si="20"/>
        <v>Ürün İş Listesi</v>
      </c>
      <c r="J841" s="5">
        <v>1</v>
      </c>
    </row>
    <row r="842" spans="1:10" x14ac:dyDescent="0.25">
      <c r="A842" t="s">
        <v>14</v>
      </c>
      <c r="B842" t="s">
        <v>1718</v>
      </c>
      <c r="C842" t="s">
        <v>16</v>
      </c>
      <c r="D842" t="s">
        <v>1719</v>
      </c>
      <c r="E842" s="5" t="s">
        <v>127</v>
      </c>
      <c r="F842" s="5" t="e">
        <f>VLOOKUP(B842,'Türkkep Jira'!B:F,5,0)</f>
        <v>#N/A</v>
      </c>
      <c r="G842" t="str">
        <f>IF(IFERROR(VLOOKUP(B842,'Devam Eden Sprint'!B:B,1,0),"-")=B842,"Devam Eden Sprint","-")</f>
        <v>-</v>
      </c>
      <c r="H842" t="str">
        <f>IF(IFERROR(VLOOKUP(B842,'Gelecek Sprint'!B:B,1,0),"-")=B842,"Gelecek Sprint","-")</f>
        <v>-</v>
      </c>
      <c r="I842" t="str">
        <f t="shared" si="20"/>
        <v>Ürün İş Listesi</v>
      </c>
      <c r="J842" s="5">
        <v>3</v>
      </c>
    </row>
    <row r="843" spans="1:10" x14ac:dyDescent="0.25">
      <c r="A843" t="s">
        <v>14</v>
      </c>
      <c r="B843" t="s">
        <v>1720</v>
      </c>
      <c r="C843" t="s">
        <v>16</v>
      </c>
      <c r="D843" t="s">
        <v>1721</v>
      </c>
      <c r="E843" s="5" t="s">
        <v>127</v>
      </c>
      <c r="F843" s="5" t="e">
        <f>VLOOKUP(B843,'Türkkep Jira'!B:F,5,0)</f>
        <v>#N/A</v>
      </c>
      <c r="G843" t="str">
        <f>IF(IFERROR(VLOOKUP(B843,'Devam Eden Sprint'!B:B,1,0),"-")=B843,"Devam Eden Sprint","-")</f>
        <v>-</v>
      </c>
      <c r="H843" t="str">
        <f>IF(IFERROR(VLOOKUP(B843,'Gelecek Sprint'!B:B,1,0),"-")=B843,"Gelecek Sprint","-")</f>
        <v>-</v>
      </c>
      <c r="I843" t="str">
        <f t="shared" si="20"/>
        <v>Ürün İş Listesi</v>
      </c>
    </row>
    <row r="844" spans="1:10" x14ac:dyDescent="0.25">
      <c r="A844" t="s">
        <v>14</v>
      </c>
      <c r="B844" t="s">
        <v>1722</v>
      </c>
      <c r="C844" t="s">
        <v>16</v>
      </c>
      <c r="D844" t="s">
        <v>1723</v>
      </c>
      <c r="E844" s="5" t="s">
        <v>127</v>
      </c>
      <c r="F844" s="5" t="e">
        <f>VLOOKUP(B844,'Türkkep Jira'!B:F,5,0)</f>
        <v>#N/A</v>
      </c>
      <c r="G844" t="str">
        <f>IF(IFERROR(VLOOKUP(B844,'Devam Eden Sprint'!B:B,1,0),"-")=B844,"Devam Eden Sprint","-")</f>
        <v>-</v>
      </c>
      <c r="H844" t="str">
        <f>IF(IFERROR(VLOOKUP(B844,'Gelecek Sprint'!B:B,1,0),"-")=B844,"Gelecek Sprint","-")</f>
        <v>-</v>
      </c>
      <c r="I844" t="str">
        <f t="shared" si="20"/>
        <v>Ürün İş Listesi</v>
      </c>
    </row>
    <row r="845" spans="1:10" x14ac:dyDescent="0.25">
      <c r="A845" t="s">
        <v>14</v>
      </c>
      <c r="B845" t="s">
        <v>1724</v>
      </c>
      <c r="C845" t="s">
        <v>16</v>
      </c>
      <c r="D845" t="s">
        <v>1725</v>
      </c>
      <c r="E845" s="5" t="s">
        <v>542</v>
      </c>
      <c r="F845" s="5" t="e">
        <f>VLOOKUP(B845,'Türkkep Jira'!B:F,5,0)</f>
        <v>#N/A</v>
      </c>
      <c r="G845" t="str">
        <f>IF(IFERROR(VLOOKUP(B845,'Devam Eden Sprint'!B:B,1,0),"-")=B845,"Devam Eden Sprint","-")</f>
        <v>-</v>
      </c>
      <c r="H845" t="str">
        <f>IF(IFERROR(VLOOKUP(B845,'Gelecek Sprint'!B:B,1,0),"-")=B845,"Gelecek Sprint","-")</f>
        <v>-</v>
      </c>
      <c r="I845" t="str">
        <f t="shared" si="20"/>
        <v>Ürün İş Listesi</v>
      </c>
    </row>
    <row r="846" spans="1:10" x14ac:dyDescent="0.25">
      <c r="A846" t="s">
        <v>14</v>
      </c>
      <c r="B846" t="s">
        <v>1726</v>
      </c>
      <c r="C846" t="s">
        <v>16</v>
      </c>
      <c r="D846" t="s">
        <v>1727</v>
      </c>
      <c r="E846" s="5" t="s">
        <v>1728</v>
      </c>
      <c r="F846" s="5" t="e">
        <f>VLOOKUP(B846,'Türkkep Jira'!B:F,5,0)</f>
        <v>#N/A</v>
      </c>
      <c r="G846" t="str">
        <f>IF(IFERROR(VLOOKUP(B846,'Devam Eden Sprint'!B:B,1,0),"-")=B846,"Devam Eden Sprint","-")</f>
        <v>-</v>
      </c>
      <c r="H846" t="str">
        <f>IF(IFERROR(VLOOKUP(B846,'Gelecek Sprint'!B:B,1,0),"-")=B846,"Gelecek Sprint","-")</f>
        <v>-</v>
      </c>
      <c r="I846" t="str">
        <f t="shared" si="20"/>
        <v>Ürün İş Listesi</v>
      </c>
    </row>
    <row r="847" spans="1:10" x14ac:dyDescent="0.25">
      <c r="A847" t="s">
        <v>14</v>
      </c>
      <c r="B847" t="s">
        <v>1729</v>
      </c>
      <c r="C847" t="s">
        <v>16</v>
      </c>
      <c r="D847" t="s">
        <v>1730</v>
      </c>
      <c r="E847" s="5" t="s">
        <v>59</v>
      </c>
      <c r="F847" s="5" t="e">
        <f>VLOOKUP(B847,'Türkkep Jira'!B:F,5,0)</f>
        <v>#N/A</v>
      </c>
      <c r="G847" t="str">
        <f>IF(IFERROR(VLOOKUP(B847,'Devam Eden Sprint'!B:B,1,0),"-")=B847,"Devam Eden Sprint","-")</f>
        <v>-</v>
      </c>
      <c r="H847" t="str">
        <f>IF(IFERROR(VLOOKUP(B847,'Gelecek Sprint'!B:B,1,0),"-")=B847,"Gelecek Sprint","-")</f>
        <v>-</v>
      </c>
      <c r="I847" t="str">
        <f t="shared" si="20"/>
        <v>Ürün İş Listesi</v>
      </c>
      <c r="J847" s="5">
        <v>1</v>
      </c>
    </row>
    <row r="848" spans="1:10" x14ac:dyDescent="0.25">
      <c r="A848" t="s">
        <v>77</v>
      </c>
      <c r="B848" t="s">
        <v>1731</v>
      </c>
      <c r="C848" t="s">
        <v>16</v>
      </c>
      <c r="D848" t="s">
        <v>1732</v>
      </c>
      <c r="E848" s="5" t="s">
        <v>56</v>
      </c>
      <c r="F848" s="5" t="e">
        <f>VLOOKUP(B848,'Türkkep Jira'!B:F,5,0)</f>
        <v>#N/A</v>
      </c>
      <c r="G848" t="str">
        <f>IF(IFERROR(VLOOKUP(B848,'Devam Eden Sprint'!B:B,1,0),"-")=B848,"Devam Eden Sprint","-")</f>
        <v>-</v>
      </c>
      <c r="H848" t="str">
        <f>IF(IFERROR(VLOOKUP(B848,'Gelecek Sprint'!B:B,1,0),"-")=B848,"Gelecek Sprint","-")</f>
        <v>-</v>
      </c>
      <c r="I848" t="str">
        <f t="shared" si="20"/>
        <v>Ürün İş Listesi</v>
      </c>
      <c r="J848" s="5">
        <v>5</v>
      </c>
    </row>
    <row r="849" spans="1:10" x14ac:dyDescent="0.25">
      <c r="A849" t="s">
        <v>77</v>
      </c>
      <c r="B849" t="s">
        <v>1733</v>
      </c>
      <c r="C849" t="s">
        <v>16</v>
      </c>
      <c r="D849" t="s">
        <v>1734</v>
      </c>
      <c r="E849" s="5" t="s">
        <v>56</v>
      </c>
      <c r="F849" s="5" t="e">
        <f>VLOOKUP(B849,'Türkkep Jira'!B:F,5,0)</f>
        <v>#N/A</v>
      </c>
      <c r="G849" t="str">
        <f>IF(IFERROR(VLOOKUP(B849,'Devam Eden Sprint'!B:B,1,0),"-")=B849,"Devam Eden Sprint","-")</f>
        <v>-</v>
      </c>
      <c r="H849" t="str">
        <f>IF(IFERROR(VLOOKUP(B849,'Gelecek Sprint'!B:B,1,0),"-")=B849,"Gelecek Sprint","-")</f>
        <v>-</v>
      </c>
      <c r="I849" t="str">
        <f t="shared" si="20"/>
        <v>Ürün İş Listesi</v>
      </c>
    </row>
    <row r="850" spans="1:10" x14ac:dyDescent="0.25">
      <c r="A850" t="s">
        <v>14</v>
      </c>
      <c r="B850" t="s">
        <v>1735</v>
      </c>
      <c r="C850" t="s">
        <v>27</v>
      </c>
      <c r="D850" t="s">
        <v>1736</v>
      </c>
      <c r="E850" s="5" t="s">
        <v>56</v>
      </c>
      <c r="F850" s="5" t="e">
        <f>VLOOKUP(B850,'Türkkep Jira'!B:F,5,0)</f>
        <v>#N/A</v>
      </c>
      <c r="G850" t="str">
        <f>IF(IFERROR(VLOOKUP(B850,'Devam Eden Sprint'!B:B,1,0),"-")=B850,"Devam Eden Sprint","-")</f>
        <v>-</v>
      </c>
      <c r="H850" t="str">
        <f>IF(IFERROR(VLOOKUP(B850,'Gelecek Sprint'!B:B,1,0),"-")=B850,"Gelecek Sprint","-")</f>
        <v>-</v>
      </c>
      <c r="I850" t="str">
        <f t="shared" si="20"/>
        <v>Ürün İş Listesi</v>
      </c>
      <c r="J850" s="5">
        <v>2</v>
      </c>
    </row>
    <row r="851" spans="1:10" x14ac:dyDescent="0.25">
      <c r="A851" t="s">
        <v>77</v>
      </c>
      <c r="B851" t="s">
        <v>1737</v>
      </c>
      <c r="C851" t="s">
        <v>16</v>
      </c>
      <c r="D851" t="s">
        <v>1738</v>
      </c>
      <c r="E851" s="5" t="s">
        <v>56</v>
      </c>
      <c r="F851" s="5" t="e">
        <f>VLOOKUP(B851,'Türkkep Jira'!B:F,5,0)</f>
        <v>#N/A</v>
      </c>
      <c r="G851" t="str">
        <f>IF(IFERROR(VLOOKUP(B851,'Devam Eden Sprint'!B:B,1,0),"-")=B851,"Devam Eden Sprint","-")</f>
        <v>-</v>
      </c>
      <c r="H851" t="str">
        <f>IF(IFERROR(VLOOKUP(B851,'Gelecek Sprint'!B:B,1,0),"-")=B851,"Gelecek Sprint","-")</f>
        <v>-</v>
      </c>
      <c r="I851" t="str">
        <f t="shared" si="20"/>
        <v>Ürün İş Listesi</v>
      </c>
      <c r="J851" s="5">
        <v>3</v>
      </c>
    </row>
    <row r="852" spans="1:10" x14ac:dyDescent="0.25">
      <c r="A852" t="s">
        <v>14</v>
      </c>
      <c r="B852" t="s">
        <v>1739</v>
      </c>
      <c r="C852" t="s">
        <v>16</v>
      </c>
      <c r="D852" t="s">
        <v>1740</v>
      </c>
      <c r="E852" s="5" t="s">
        <v>56</v>
      </c>
      <c r="F852" s="5" t="e">
        <f>VLOOKUP(B852,'Türkkep Jira'!B:F,5,0)</f>
        <v>#N/A</v>
      </c>
      <c r="G852" t="str">
        <f>IF(IFERROR(VLOOKUP(B852,'Devam Eden Sprint'!B:B,1,0),"-")=B852,"Devam Eden Sprint","-")</f>
        <v>-</v>
      </c>
      <c r="H852" t="str">
        <f>IF(IFERROR(VLOOKUP(B852,'Gelecek Sprint'!B:B,1,0),"-")=B852,"Gelecek Sprint","-")</f>
        <v>-</v>
      </c>
      <c r="I852" t="str">
        <f t="shared" si="20"/>
        <v>Ürün İş Listesi</v>
      </c>
      <c r="J852" s="5">
        <v>3</v>
      </c>
    </row>
    <row r="853" spans="1:10" x14ac:dyDescent="0.25">
      <c r="A853" t="s">
        <v>14</v>
      </c>
      <c r="B853" t="s">
        <v>1741</v>
      </c>
      <c r="C853" t="s">
        <v>16</v>
      </c>
      <c r="D853" t="s">
        <v>1742</v>
      </c>
      <c r="E853" s="5" t="s">
        <v>56</v>
      </c>
      <c r="F853" s="5" t="e">
        <f>VLOOKUP(B853,'Türkkep Jira'!B:F,5,0)</f>
        <v>#N/A</v>
      </c>
      <c r="G853" t="str">
        <f>IF(IFERROR(VLOOKUP(B853,'Devam Eden Sprint'!B:B,1,0),"-")=B853,"Devam Eden Sprint","-")</f>
        <v>-</v>
      </c>
      <c r="H853" t="str">
        <f>IF(IFERROR(VLOOKUP(B853,'Gelecek Sprint'!B:B,1,0),"-")=B853,"Gelecek Sprint","-")</f>
        <v>-</v>
      </c>
      <c r="I853" t="str">
        <f t="shared" si="20"/>
        <v>Ürün İş Listesi</v>
      </c>
      <c r="J853" s="5">
        <v>2</v>
      </c>
    </row>
    <row r="854" spans="1:10" x14ac:dyDescent="0.25">
      <c r="A854" t="s">
        <v>14</v>
      </c>
      <c r="B854" t="s">
        <v>1743</v>
      </c>
      <c r="C854" t="s">
        <v>16</v>
      </c>
      <c r="D854" t="s">
        <v>1744</v>
      </c>
      <c r="E854" s="5" t="s">
        <v>47</v>
      </c>
      <c r="F854" s="5" t="e">
        <f>VLOOKUP(B854,'Türkkep Jira'!B:F,5,0)</f>
        <v>#N/A</v>
      </c>
      <c r="G854" t="str">
        <f>IF(IFERROR(VLOOKUP(B854,'Devam Eden Sprint'!B:B,1,0),"-")=B854,"Devam Eden Sprint","-")</f>
        <v>-</v>
      </c>
      <c r="H854" t="str">
        <f>IF(IFERROR(VLOOKUP(B854,'Gelecek Sprint'!B:B,1,0),"-")=B854,"Gelecek Sprint","-")</f>
        <v>-</v>
      </c>
      <c r="I854" t="str">
        <f t="shared" si="20"/>
        <v>Ürün İş Listesi</v>
      </c>
    </row>
    <row r="855" spans="1:10" x14ac:dyDescent="0.25">
      <c r="A855" t="s">
        <v>1379</v>
      </c>
      <c r="B855" t="s">
        <v>1745</v>
      </c>
      <c r="C855" t="s">
        <v>16</v>
      </c>
      <c r="D855" t="s">
        <v>1746</v>
      </c>
      <c r="E855" s="5" t="s">
        <v>50</v>
      </c>
      <c r="F855" s="5" t="e">
        <f>VLOOKUP(B855,'Türkkep Jira'!B:F,5,0)</f>
        <v>#N/A</v>
      </c>
      <c r="G855" t="str">
        <f>IF(IFERROR(VLOOKUP(B855,'Devam Eden Sprint'!B:B,1,0),"-")=B855,"Devam Eden Sprint","-")</f>
        <v>-</v>
      </c>
      <c r="H855" t="str">
        <f>IF(IFERROR(VLOOKUP(B855,'Gelecek Sprint'!B:B,1,0),"-")=B855,"Gelecek Sprint","-")</f>
        <v>-</v>
      </c>
      <c r="I855" t="str">
        <f t="shared" si="20"/>
        <v>Ürün İş Listesi</v>
      </c>
    </row>
    <row r="856" spans="1:10" x14ac:dyDescent="0.25">
      <c r="A856" t="s">
        <v>14</v>
      </c>
      <c r="B856" t="s">
        <v>1747</v>
      </c>
      <c r="C856" t="s">
        <v>16</v>
      </c>
      <c r="D856" t="s">
        <v>1748</v>
      </c>
      <c r="E856" s="5" t="s">
        <v>50</v>
      </c>
      <c r="F856" s="5" t="e">
        <f>VLOOKUP(B856,'Türkkep Jira'!B:F,5,0)</f>
        <v>#N/A</v>
      </c>
      <c r="G856" t="str">
        <f>IF(IFERROR(VLOOKUP(B856,'Devam Eden Sprint'!B:B,1,0),"-")=B856,"Devam Eden Sprint","-")</f>
        <v>-</v>
      </c>
      <c r="H856" t="str">
        <f>IF(IFERROR(VLOOKUP(B856,'Gelecek Sprint'!B:B,1,0),"-")=B856,"Gelecek Sprint","-")</f>
        <v>-</v>
      </c>
      <c r="I856" t="str">
        <f t="shared" si="20"/>
        <v>Ürün İş Listesi</v>
      </c>
      <c r="J856" s="5">
        <v>3</v>
      </c>
    </row>
    <row r="857" spans="1:10" x14ac:dyDescent="0.25">
      <c r="A857" t="s">
        <v>77</v>
      </c>
      <c r="B857" t="s">
        <v>1749</v>
      </c>
      <c r="C857" t="s">
        <v>16</v>
      </c>
      <c r="D857" t="s">
        <v>1750</v>
      </c>
      <c r="E857" s="5" t="s">
        <v>50</v>
      </c>
      <c r="F857" s="5" t="e">
        <f>VLOOKUP(B857,'Türkkep Jira'!B:F,5,0)</f>
        <v>#N/A</v>
      </c>
      <c r="G857" t="str">
        <f>IF(IFERROR(VLOOKUP(B857,'Devam Eden Sprint'!B:B,1,0),"-")=B857,"Devam Eden Sprint","-")</f>
        <v>-</v>
      </c>
      <c r="H857" t="str">
        <f>IF(IFERROR(VLOOKUP(B857,'Gelecek Sprint'!B:B,1,0),"-")=B857,"Gelecek Sprint","-")</f>
        <v>-</v>
      </c>
      <c r="I857" t="str">
        <f t="shared" si="20"/>
        <v>Ürün İş Listesi</v>
      </c>
      <c r="J857" s="5">
        <v>3</v>
      </c>
    </row>
    <row r="858" spans="1:10" x14ac:dyDescent="0.25">
      <c r="A858" t="s">
        <v>14</v>
      </c>
      <c r="B858" t="s">
        <v>1751</v>
      </c>
      <c r="C858" t="s">
        <v>16</v>
      </c>
      <c r="D858" t="s">
        <v>1752</v>
      </c>
      <c r="E858" s="5" t="s">
        <v>44</v>
      </c>
      <c r="F858" s="5" t="e">
        <f>VLOOKUP(B858,'Türkkep Jira'!B:F,5,0)</f>
        <v>#N/A</v>
      </c>
      <c r="G858" t="str">
        <f>IF(IFERROR(VLOOKUP(B858,'Devam Eden Sprint'!B:B,1,0),"-")=B858,"Devam Eden Sprint","-")</f>
        <v>-</v>
      </c>
      <c r="H858" t="str">
        <f>IF(IFERROR(VLOOKUP(B858,'Gelecek Sprint'!B:B,1,0),"-")=B858,"Gelecek Sprint","-")</f>
        <v>-</v>
      </c>
      <c r="I858" t="str">
        <f t="shared" si="20"/>
        <v>Ürün İş Listesi</v>
      </c>
      <c r="J858" s="5">
        <v>3</v>
      </c>
    </row>
    <row r="859" spans="1:10" x14ac:dyDescent="0.25">
      <c r="A859" t="s">
        <v>14</v>
      </c>
      <c r="B859" t="s">
        <v>1753</v>
      </c>
      <c r="C859" t="s">
        <v>16</v>
      </c>
      <c r="D859" t="s">
        <v>1754</v>
      </c>
      <c r="E859" s="5" t="s">
        <v>44</v>
      </c>
      <c r="F859" s="5" t="e">
        <f>VLOOKUP(B859,'Türkkep Jira'!B:F,5,0)</f>
        <v>#N/A</v>
      </c>
      <c r="G859" t="str">
        <f>IF(IFERROR(VLOOKUP(B859,'Devam Eden Sprint'!B:B,1,0),"-")=B859,"Devam Eden Sprint","-")</f>
        <v>-</v>
      </c>
      <c r="H859" t="str">
        <f>IF(IFERROR(VLOOKUP(B859,'Gelecek Sprint'!B:B,1,0),"-")=B859,"Gelecek Sprint","-")</f>
        <v>-</v>
      </c>
      <c r="I859" t="str">
        <f t="shared" si="20"/>
        <v>Ürün İş Listesi</v>
      </c>
      <c r="J859" s="5">
        <v>3</v>
      </c>
    </row>
    <row r="860" spans="1:10" x14ac:dyDescent="0.25">
      <c r="A860" t="s">
        <v>14</v>
      </c>
      <c r="B860" t="s">
        <v>1755</v>
      </c>
      <c r="C860" t="s">
        <v>27</v>
      </c>
      <c r="D860" t="s">
        <v>1756</v>
      </c>
      <c r="E860" s="5" t="s">
        <v>44</v>
      </c>
      <c r="F860" s="5" t="str">
        <f>VLOOKUP(B860,'Türkkep Jira'!B:F,5,0)</f>
        <v>TO TEST</v>
      </c>
      <c r="G860" t="str">
        <f>IF(IFERROR(VLOOKUP(B860,'Devam Eden Sprint'!B:B,1,0),"-")=B860,"Devam Eden Sprint","-")</f>
        <v>Devam Eden Sprint</v>
      </c>
      <c r="H860" t="str">
        <f>IF(IFERROR(VLOOKUP(B860,'Gelecek Sprint'!B:B,1,0),"-")=B860,"Gelecek Sprint","-")</f>
        <v>Gelecek Sprint</v>
      </c>
      <c r="I860" t="str">
        <f t="shared" si="20"/>
        <v>Devam Eden ve Gelecek Sprint</v>
      </c>
      <c r="J860" s="5">
        <v>2</v>
      </c>
    </row>
    <row r="861" spans="1:10" x14ac:dyDescent="0.25">
      <c r="A861" t="s">
        <v>14</v>
      </c>
      <c r="B861" t="s">
        <v>1757</v>
      </c>
      <c r="C861" t="s">
        <v>10</v>
      </c>
      <c r="D861" t="s">
        <v>1758</v>
      </c>
      <c r="E861" s="5" t="s">
        <v>44</v>
      </c>
      <c r="F861" s="5" t="e">
        <f>VLOOKUP(B861,'Türkkep Jira'!B:F,5,0)</f>
        <v>#N/A</v>
      </c>
      <c r="G861" t="str">
        <f>IF(IFERROR(VLOOKUP(B861,'Devam Eden Sprint'!B:B,1,0),"-")=B861,"Devam Eden Sprint","-")</f>
        <v>-</v>
      </c>
      <c r="H861" t="str">
        <f>IF(IFERROR(VLOOKUP(B861,'Gelecek Sprint'!B:B,1,0),"-")=B861,"Gelecek Sprint","-")</f>
        <v>-</v>
      </c>
      <c r="I861" t="str">
        <f t="shared" ref="I861:I892" si="21">IFERROR(IF(AND(G861="Devam Eden Sprint",H861="Gelecek Sprint"),"Devam Eden ve Gelecek Sprint",IF(G861="Devam Eden Sprint","Devam Eden Sprint",IF(H861="Gelecek Sprint","Gelecek Sprint","Ürün İş Listesi"))),"Ürün İş Listesi")</f>
        <v>Ürün İş Listesi</v>
      </c>
    </row>
    <row r="862" spans="1:10" x14ac:dyDescent="0.25">
      <c r="A862" t="s">
        <v>77</v>
      </c>
      <c r="B862" t="s">
        <v>1759</v>
      </c>
      <c r="C862" t="s">
        <v>16</v>
      </c>
      <c r="D862" t="s">
        <v>1760</v>
      </c>
      <c r="E862" s="5" t="s">
        <v>41</v>
      </c>
      <c r="F862" s="5" t="e">
        <f>VLOOKUP(B862,'Türkkep Jira'!B:F,5,0)</f>
        <v>#N/A</v>
      </c>
      <c r="G862" t="str">
        <f>IF(IFERROR(VLOOKUP(B862,'Devam Eden Sprint'!B:B,1,0),"-")=B862,"Devam Eden Sprint","-")</f>
        <v>-</v>
      </c>
      <c r="H862" t="str">
        <f>IF(IFERROR(VLOOKUP(B862,'Gelecek Sprint'!B:B,1,0),"-")=B862,"Gelecek Sprint","-")</f>
        <v>-</v>
      </c>
      <c r="I862" t="str">
        <f t="shared" si="21"/>
        <v>Ürün İş Listesi</v>
      </c>
      <c r="J862" s="5">
        <v>1</v>
      </c>
    </row>
    <row r="863" spans="1:10" x14ac:dyDescent="0.25">
      <c r="A863" t="s">
        <v>14</v>
      </c>
      <c r="B863" t="s">
        <v>1761</v>
      </c>
      <c r="C863" t="s">
        <v>10</v>
      </c>
      <c r="D863" t="s">
        <v>1762</v>
      </c>
      <c r="E863" s="5" t="s">
        <v>41</v>
      </c>
      <c r="F863" s="5" t="e">
        <f>VLOOKUP(B863,'Türkkep Jira'!B:F,5,0)</f>
        <v>#N/A</v>
      </c>
      <c r="G863" t="str">
        <f>IF(IFERROR(VLOOKUP(B863,'Devam Eden Sprint'!B:B,1,0),"-")=B863,"Devam Eden Sprint","-")</f>
        <v>-</v>
      </c>
      <c r="H863" t="str">
        <f>IF(IFERROR(VLOOKUP(B863,'Gelecek Sprint'!B:B,1,0),"-")=B863,"Gelecek Sprint","-")</f>
        <v>-</v>
      </c>
      <c r="I863" t="str">
        <f t="shared" si="21"/>
        <v>Ürün İş Listesi</v>
      </c>
    </row>
    <row r="864" spans="1:10" x14ac:dyDescent="0.25">
      <c r="A864" t="s">
        <v>14</v>
      </c>
      <c r="B864" t="s">
        <v>1763</v>
      </c>
      <c r="C864" t="s">
        <v>16</v>
      </c>
      <c r="D864" t="s">
        <v>1764</v>
      </c>
      <c r="E864" s="5" t="s">
        <v>41</v>
      </c>
      <c r="F864" s="5" t="e">
        <f>VLOOKUP(B864,'Türkkep Jira'!B:F,5,0)</f>
        <v>#N/A</v>
      </c>
      <c r="G864" t="str">
        <f>IF(IFERROR(VLOOKUP(B864,'Devam Eden Sprint'!B:B,1,0),"-")=B864,"Devam Eden Sprint","-")</f>
        <v>-</v>
      </c>
      <c r="H864" t="str">
        <f>IF(IFERROR(VLOOKUP(B864,'Gelecek Sprint'!B:B,1,0),"-")=B864,"Gelecek Sprint","-")</f>
        <v>-</v>
      </c>
      <c r="I864" t="str">
        <f t="shared" si="21"/>
        <v>Ürün İş Listesi</v>
      </c>
    </row>
    <row r="865" spans="1:10" x14ac:dyDescent="0.25">
      <c r="A865" t="s">
        <v>14</v>
      </c>
      <c r="B865" t="s">
        <v>1765</v>
      </c>
      <c r="C865" t="s">
        <v>16</v>
      </c>
      <c r="D865" t="s">
        <v>1766</v>
      </c>
      <c r="E865" s="5" t="s">
        <v>41</v>
      </c>
      <c r="F865" s="5" t="e">
        <f>VLOOKUP(B865,'Türkkep Jira'!B:F,5,0)</f>
        <v>#N/A</v>
      </c>
      <c r="G865" t="str">
        <f>IF(IFERROR(VLOOKUP(B865,'Devam Eden Sprint'!B:B,1,0),"-")=B865,"Devam Eden Sprint","-")</f>
        <v>-</v>
      </c>
      <c r="H865" t="str">
        <f>IF(IFERROR(VLOOKUP(B865,'Gelecek Sprint'!B:B,1,0),"-")=B865,"Gelecek Sprint","-")</f>
        <v>-</v>
      </c>
      <c r="I865" t="str">
        <f t="shared" si="21"/>
        <v>Ürün İş Listesi</v>
      </c>
    </row>
    <row r="866" spans="1:10" x14ac:dyDescent="0.25">
      <c r="A866" t="s">
        <v>1379</v>
      </c>
      <c r="B866" t="s">
        <v>1767</v>
      </c>
      <c r="C866" t="s">
        <v>192</v>
      </c>
      <c r="D866" t="s">
        <v>1681</v>
      </c>
      <c r="E866" s="5" t="s">
        <v>991</v>
      </c>
      <c r="F866" s="5" t="e">
        <f>VLOOKUP(B866,'Türkkep Jira'!B:F,5,0)</f>
        <v>#N/A</v>
      </c>
      <c r="G866" t="str">
        <f>IF(IFERROR(VLOOKUP(B866,'Devam Eden Sprint'!B:B,1,0),"-")=B866,"Devam Eden Sprint","-")</f>
        <v>-</v>
      </c>
      <c r="H866" t="str">
        <f>IF(IFERROR(VLOOKUP(B866,'Gelecek Sprint'!B:B,1,0),"-")=B866,"Gelecek Sprint","-")</f>
        <v>-</v>
      </c>
      <c r="I866" t="str">
        <f t="shared" si="21"/>
        <v>Ürün İş Listesi</v>
      </c>
    </row>
    <row r="867" spans="1:10" x14ac:dyDescent="0.25">
      <c r="A867" t="s">
        <v>14</v>
      </c>
      <c r="B867" t="s">
        <v>1768</v>
      </c>
      <c r="C867" t="s">
        <v>16</v>
      </c>
      <c r="D867" t="s">
        <v>1769</v>
      </c>
      <c r="E867" s="5" t="s">
        <v>12</v>
      </c>
      <c r="F867" s="5" t="e">
        <f>VLOOKUP(B867,'Türkkep Jira'!B:F,5,0)</f>
        <v>#N/A</v>
      </c>
      <c r="G867" t="str">
        <f>IF(IFERROR(VLOOKUP(B867,'Devam Eden Sprint'!B:B,1,0),"-")=B867,"Devam Eden Sprint","-")</f>
        <v>-</v>
      </c>
      <c r="H867" t="str">
        <f>IF(IFERROR(VLOOKUP(B867,'Gelecek Sprint'!B:B,1,0),"-")=B867,"Gelecek Sprint","-")</f>
        <v>-</v>
      </c>
      <c r="I867" t="str">
        <f t="shared" si="21"/>
        <v>Ürün İş Listesi</v>
      </c>
      <c r="J867" s="5">
        <v>1</v>
      </c>
    </row>
    <row r="868" spans="1:10" x14ac:dyDescent="0.25">
      <c r="A868" t="s">
        <v>14</v>
      </c>
      <c r="B868" t="s">
        <v>1770</v>
      </c>
      <c r="C868" t="s">
        <v>16</v>
      </c>
      <c r="D868" t="s">
        <v>1771</v>
      </c>
      <c r="E868" s="5" t="s">
        <v>12</v>
      </c>
      <c r="F868" s="5" t="e">
        <f>VLOOKUP(B868,'Türkkep Jira'!B:F,5,0)</f>
        <v>#N/A</v>
      </c>
      <c r="G868" t="str">
        <f>IF(IFERROR(VLOOKUP(B868,'Devam Eden Sprint'!B:B,1,0),"-")=B868,"Devam Eden Sprint","-")</f>
        <v>-</v>
      </c>
      <c r="H868" t="str">
        <f>IF(IFERROR(VLOOKUP(B868,'Gelecek Sprint'!B:B,1,0),"-")=B868,"Gelecek Sprint","-")</f>
        <v>-</v>
      </c>
      <c r="I868" t="str">
        <f t="shared" si="21"/>
        <v>Ürün İş Listesi</v>
      </c>
      <c r="J868" s="5">
        <v>3</v>
      </c>
    </row>
    <row r="869" spans="1:10" x14ac:dyDescent="0.25">
      <c r="A869" t="s">
        <v>14</v>
      </c>
      <c r="B869" t="s">
        <v>1772</v>
      </c>
      <c r="C869" t="s">
        <v>16</v>
      </c>
      <c r="D869" t="s">
        <v>1773</v>
      </c>
      <c r="E869" s="5" t="s">
        <v>12</v>
      </c>
      <c r="F869" s="5" t="e">
        <f>VLOOKUP(B869,'Türkkep Jira'!B:F,5,0)</f>
        <v>#N/A</v>
      </c>
      <c r="G869" t="str">
        <f>IF(IFERROR(VLOOKUP(B869,'Devam Eden Sprint'!B:B,1,0),"-")=B869,"Devam Eden Sprint","-")</f>
        <v>-</v>
      </c>
      <c r="H869" t="str">
        <f>IF(IFERROR(VLOOKUP(B869,'Gelecek Sprint'!B:B,1,0),"-")=B869,"Gelecek Sprint","-")</f>
        <v>-</v>
      </c>
      <c r="I869" t="str">
        <f t="shared" si="21"/>
        <v>Ürün İş Listesi</v>
      </c>
      <c r="J869" s="5">
        <v>2</v>
      </c>
    </row>
    <row r="870" spans="1:10" x14ac:dyDescent="0.25">
      <c r="A870" t="s">
        <v>14</v>
      </c>
      <c r="B870" t="s">
        <v>1774</v>
      </c>
      <c r="C870" t="s">
        <v>16</v>
      </c>
      <c r="D870" t="s">
        <v>1775</v>
      </c>
      <c r="E870" s="5" t="s">
        <v>12</v>
      </c>
      <c r="F870" s="5" t="str">
        <f>VLOOKUP(B870,'Türkkep Jira'!B:F,5,0)</f>
        <v>Done</v>
      </c>
      <c r="G870" t="str">
        <f>IF(IFERROR(VLOOKUP(B870,'Devam Eden Sprint'!B:B,1,0),"-")=B870,"Devam Eden Sprint","-")</f>
        <v>Devam Eden Sprint</v>
      </c>
      <c r="H870" t="str">
        <f>IF(IFERROR(VLOOKUP(B870,'Gelecek Sprint'!B:B,1,0),"-")=B870,"Gelecek Sprint","-")</f>
        <v>-</v>
      </c>
      <c r="I870" t="str">
        <f t="shared" si="21"/>
        <v>Devam Eden Sprint</v>
      </c>
    </row>
    <row r="871" spans="1:10" x14ac:dyDescent="0.25">
      <c r="A871" t="s">
        <v>14</v>
      </c>
      <c r="B871" t="s">
        <v>1776</v>
      </c>
      <c r="C871" t="s">
        <v>10</v>
      </c>
      <c r="D871" t="s">
        <v>1777</v>
      </c>
      <c r="E871" s="5" t="s">
        <v>12</v>
      </c>
      <c r="F871" s="5" t="e">
        <f>VLOOKUP(B871,'Türkkep Jira'!B:F,5,0)</f>
        <v>#N/A</v>
      </c>
      <c r="G871" t="str">
        <f>IF(IFERROR(VLOOKUP(B871,'Devam Eden Sprint'!B:B,1,0),"-")=B871,"Devam Eden Sprint","-")</f>
        <v>-</v>
      </c>
      <c r="H871" t="str">
        <f>IF(IFERROR(VLOOKUP(B871,'Gelecek Sprint'!B:B,1,0),"-")=B871,"Gelecek Sprint","-")</f>
        <v>-</v>
      </c>
      <c r="I871" t="str">
        <f t="shared" si="21"/>
        <v>Ürün İş Listesi</v>
      </c>
    </row>
    <row r="872" spans="1:10" x14ac:dyDescent="0.25">
      <c r="A872" t="s">
        <v>14</v>
      </c>
      <c r="B872" t="s">
        <v>1778</v>
      </c>
      <c r="C872" t="s">
        <v>16</v>
      </c>
      <c r="D872" t="s">
        <v>1779</v>
      </c>
      <c r="E872" s="5" t="s">
        <v>12</v>
      </c>
      <c r="F872" s="5" t="e">
        <f>VLOOKUP(B872,'Türkkep Jira'!B:F,5,0)</f>
        <v>#N/A</v>
      </c>
      <c r="G872" t="str">
        <f>IF(IFERROR(VLOOKUP(B872,'Devam Eden Sprint'!B:B,1,0),"-")=B872,"Devam Eden Sprint","-")</f>
        <v>-</v>
      </c>
      <c r="H872" t="str">
        <f>IF(IFERROR(VLOOKUP(B872,'Gelecek Sprint'!B:B,1,0),"-")=B872,"Gelecek Sprint","-")</f>
        <v>-</v>
      </c>
      <c r="I872" t="str">
        <f t="shared" si="21"/>
        <v>Ürün İş Listesi</v>
      </c>
      <c r="J872" s="5">
        <v>2</v>
      </c>
    </row>
    <row r="873" spans="1:10" x14ac:dyDescent="0.25">
      <c r="A873" t="s">
        <v>14</v>
      </c>
      <c r="B873" t="s">
        <v>1780</v>
      </c>
      <c r="C873" t="s">
        <v>16</v>
      </c>
      <c r="D873" t="s">
        <v>1781</v>
      </c>
      <c r="E873" s="5" t="s">
        <v>12</v>
      </c>
      <c r="F873" s="5" t="e">
        <f>VLOOKUP(B873,'Türkkep Jira'!B:F,5,0)</f>
        <v>#N/A</v>
      </c>
      <c r="G873" t="str">
        <f>IF(IFERROR(VLOOKUP(B873,'Devam Eden Sprint'!B:B,1,0),"-")=B873,"Devam Eden Sprint","-")</f>
        <v>-</v>
      </c>
      <c r="H873" t="str">
        <f>IF(IFERROR(VLOOKUP(B873,'Gelecek Sprint'!B:B,1,0),"-")=B873,"Gelecek Sprint","-")</f>
        <v>-</v>
      </c>
      <c r="I873" t="str">
        <f t="shared" si="21"/>
        <v>Ürün İş Listesi</v>
      </c>
      <c r="J873" s="5">
        <v>2</v>
      </c>
    </row>
    <row r="874" spans="1:10" x14ac:dyDescent="0.25">
      <c r="A874" t="s">
        <v>14</v>
      </c>
      <c r="B874" t="s">
        <v>1782</v>
      </c>
      <c r="C874" t="s">
        <v>16</v>
      </c>
      <c r="D874" t="s">
        <v>1783</v>
      </c>
      <c r="E874" s="5" t="s">
        <v>12</v>
      </c>
      <c r="F874" s="5" t="e">
        <f>VLOOKUP(B874,'Türkkep Jira'!B:F,5,0)</f>
        <v>#N/A</v>
      </c>
      <c r="G874" t="str">
        <f>IF(IFERROR(VLOOKUP(B874,'Devam Eden Sprint'!B:B,1,0),"-")=B874,"Devam Eden Sprint","-")</f>
        <v>-</v>
      </c>
      <c r="H874" t="str">
        <f>IF(IFERROR(VLOOKUP(B874,'Gelecek Sprint'!B:B,1,0),"-")=B874,"Gelecek Sprint","-")</f>
        <v>-</v>
      </c>
      <c r="I874" t="str">
        <f t="shared" si="21"/>
        <v>Ürün İş Listesi</v>
      </c>
    </row>
    <row r="875" spans="1:10" x14ac:dyDescent="0.25">
      <c r="A875" t="s">
        <v>14</v>
      </c>
      <c r="B875" t="s">
        <v>1784</v>
      </c>
      <c r="C875" t="s">
        <v>16</v>
      </c>
      <c r="D875" t="s">
        <v>1785</v>
      </c>
      <c r="E875" s="5" t="s">
        <v>56</v>
      </c>
      <c r="F875" s="5" t="e">
        <f>VLOOKUP(B875,'Türkkep Jira'!B:F,5,0)</f>
        <v>#N/A</v>
      </c>
      <c r="G875" t="str">
        <f>IF(IFERROR(VLOOKUP(B875,'Devam Eden Sprint'!B:B,1,0),"-")=B875,"Devam Eden Sprint","-")</f>
        <v>-</v>
      </c>
      <c r="H875" t="str">
        <f>IF(IFERROR(VLOOKUP(B875,'Gelecek Sprint'!B:B,1,0),"-")=B875,"Gelecek Sprint","-")</f>
        <v>-</v>
      </c>
      <c r="I875" t="str">
        <f t="shared" si="21"/>
        <v>Ürün İş Listesi</v>
      </c>
      <c r="J875" s="5">
        <v>3</v>
      </c>
    </row>
    <row r="876" spans="1:10" x14ac:dyDescent="0.25">
      <c r="A876" t="s">
        <v>14</v>
      </c>
      <c r="B876" t="s">
        <v>1786</v>
      </c>
      <c r="C876" t="s">
        <v>16</v>
      </c>
      <c r="D876" t="s">
        <v>1787</v>
      </c>
      <c r="E876" s="5" t="s">
        <v>136</v>
      </c>
      <c r="F876" s="5" t="e">
        <f>VLOOKUP(B876,'Türkkep Jira'!B:F,5,0)</f>
        <v>#N/A</v>
      </c>
      <c r="G876" t="str">
        <f>IF(IFERROR(VLOOKUP(B876,'Devam Eden Sprint'!B:B,1,0),"-")=B876,"Devam Eden Sprint","-")</f>
        <v>-</v>
      </c>
      <c r="H876" t="str">
        <f>IF(IFERROR(VLOOKUP(B876,'Gelecek Sprint'!B:B,1,0),"-")=B876,"Gelecek Sprint","-")</f>
        <v>-</v>
      </c>
      <c r="I876" t="str">
        <f t="shared" si="21"/>
        <v>Ürün İş Listesi</v>
      </c>
    </row>
    <row r="877" spans="1:10" x14ac:dyDescent="0.25">
      <c r="A877" t="s">
        <v>14</v>
      </c>
      <c r="B877" t="s">
        <v>1788</v>
      </c>
      <c r="C877" t="s">
        <v>16</v>
      </c>
      <c r="D877" t="s">
        <v>1789</v>
      </c>
      <c r="E877" s="5" t="s">
        <v>136</v>
      </c>
      <c r="F877" s="5" t="e">
        <f>VLOOKUP(B877,'Türkkep Jira'!B:F,5,0)</f>
        <v>#N/A</v>
      </c>
      <c r="G877" t="str">
        <f>IF(IFERROR(VLOOKUP(B877,'Devam Eden Sprint'!B:B,1,0),"-")=B877,"Devam Eden Sprint","-")</f>
        <v>-</v>
      </c>
      <c r="H877" t="str">
        <f>IF(IFERROR(VLOOKUP(B877,'Gelecek Sprint'!B:B,1,0),"-")=B877,"Gelecek Sprint","-")</f>
        <v>-</v>
      </c>
      <c r="I877" t="str">
        <f t="shared" si="21"/>
        <v>Ürün İş Listesi</v>
      </c>
    </row>
    <row r="878" spans="1:10" x14ac:dyDescent="0.25">
      <c r="A878" t="s">
        <v>14</v>
      </c>
      <c r="B878" t="s">
        <v>1790</v>
      </c>
      <c r="C878" t="s">
        <v>16</v>
      </c>
      <c r="D878" t="s">
        <v>1791</v>
      </c>
      <c r="E878" s="5" t="s">
        <v>136</v>
      </c>
      <c r="F878" s="5" t="e">
        <f>VLOOKUP(B878,'Türkkep Jira'!B:F,5,0)</f>
        <v>#N/A</v>
      </c>
      <c r="G878" t="str">
        <f>IF(IFERROR(VLOOKUP(B878,'Devam Eden Sprint'!B:B,1,0),"-")=B878,"Devam Eden Sprint","-")</f>
        <v>-</v>
      </c>
      <c r="H878" t="str">
        <f>IF(IFERROR(VLOOKUP(B878,'Gelecek Sprint'!B:B,1,0),"-")=B878,"Gelecek Sprint","-")</f>
        <v>-</v>
      </c>
      <c r="I878" t="str">
        <f t="shared" si="21"/>
        <v>Ürün İş Listesi</v>
      </c>
    </row>
    <row r="879" spans="1:10" x14ac:dyDescent="0.25">
      <c r="A879" t="s">
        <v>14</v>
      </c>
      <c r="B879" t="s">
        <v>1792</v>
      </c>
      <c r="C879" t="s">
        <v>16</v>
      </c>
      <c r="D879" t="s">
        <v>1358</v>
      </c>
      <c r="E879" s="5" t="s">
        <v>1294</v>
      </c>
      <c r="F879" s="5" t="e">
        <f>VLOOKUP(B879,'Türkkep Jira'!B:F,5,0)</f>
        <v>#N/A</v>
      </c>
      <c r="G879" t="str">
        <f>IF(IFERROR(VLOOKUP(B879,'Devam Eden Sprint'!B:B,1,0),"-")=B879,"Devam Eden Sprint","-")</f>
        <v>-</v>
      </c>
      <c r="H879" t="str">
        <f>IF(IFERROR(VLOOKUP(B879,'Gelecek Sprint'!B:B,1,0),"-")=B879,"Gelecek Sprint","-")</f>
        <v>-</v>
      </c>
      <c r="I879" t="str">
        <f t="shared" si="21"/>
        <v>Ürün İş Listesi</v>
      </c>
    </row>
    <row r="880" spans="1:10" x14ac:dyDescent="0.25">
      <c r="A880" t="s">
        <v>14</v>
      </c>
      <c r="B880" t="s">
        <v>1793</v>
      </c>
      <c r="C880" t="s">
        <v>16</v>
      </c>
      <c r="D880" t="s">
        <v>1371</v>
      </c>
      <c r="E880" s="5" t="s">
        <v>50</v>
      </c>
      <c r="F880" s="5" t="e">
        <f>VLOOKUP(B880,'Türkkep Jira'!B:F,5,0)</f>
        <v>#N/A</v>
      </c>
      <c r="G880" t="str">
        <f>IF(IFERROR(VLOOKUP(B880,'Devam Eden Sprint'!B:B,1,0),"-")=B880,"Devam Eden Sprint","-")</f>
        <v>-</v>
      </c>
      <c r="H880" t="str">
        <f>IF(IFERROR(VLOOKUP(B880,'Gelecek Sprint'!B:B,1,0),"-")=B880,"Gelecek Sprint","-")</f>
        <v>-</v>
      </c>
      <c r="I880" t="str">
        <f t="shared" si="21"/>
        <v>Ürün İş Listesi</v>
      </c>
    </row>
    <row r="881" spans="1:10" x14ac:dyDescent="0.25">
      <c r="A881" t="s">
        <v>14</v>
      </c>
      <c r="B881" t="s">
        <v>1794</v>
      </c>
      <c r="C881" t="s">
        <v>16</v>
      </c>
      <c r="D881" t="s">
        <v>1202</v>
      </c>
      <c r="E881" s="5" t="s">
        <v>50</v>
      </c>
      <c r="F881" s="5" t="e">
        <f>VLOOKUP(B881,'Türkkep Jira'!B:F,5,0)</f>
        <v>#N/A</v>
      </c>
      <c r="G881" t="str">
        <f>IF(IFERROR(VLOOKUP(B881,'Devam Eden Sprint'!B:B,1,0),"-")=B881,"Devam Eden Sprint","-")</f>
        <v>-</v>
      </c>
      <c r="H881" t="str">
        <f>IF(IFERROR(VLOOKUP(B881,'Gelecek Sprint'!B:B,1,0),"-")=B881,"Gelecek Sprint","-")</f>
        <v>-</v>
      </c>
      <c r="I881" t="str">
        <f t="shared" si="21"/>
        <v>Ürün İş Listesi</v>
      </c>
    </row>
    <row r="882" spans="1:10" x14ac:dyDescent="0.25">
      <c r="A882" t="s">
        <v>14</v>
      </c>
      <c r="B882" t="s">
        <v>1795</v>
      </c>
      <c r="C882" t="s">
        <v>16</v>
      </c>
      <c r="D882" t="s">
        <v>1298</v>
      </c>
      <c r="E882" s="5" t="s">
        <v>50</v>
      </c>
      <c r="F882" s="5" t="e">
        <f>VLOOKUP(B882,'Türkkep Jira'!B:F,5,0)</f>
        <v>#N/A</v>
      </c>
      <c r="G882" t="str">
        <f>IF(IFERROR(VLOOKUP(B882,'Devam Eden Sprint'!B:B,1,0),"-")=B882,"Devam Eden Sprint","-")</f>
        <v>-</v>
      </c>
      <c r="H882" t="str">
        <f>IF(IFERROR(VLOOKUP(B882,'Gelecek Sprint'!B:B,1,0),"-")=B882,"Gelecek Sprint","-")</f>
        <v>-</v>
      </c>
      <c r="I882" t="str">
        <f t="shared" si="21"/>
        <v>Ürün İş Listesi</v>
      </c>
    </row>
    <row r="883" spans="1:10" x14ac:dyDescent="0.25">
      <c r="A883" t="s">
        <v>14</v>
      </c>
      <c r="B883" t="s">
        <v>1796</v>
      </c>
      <c r="C883" t="s">
        <v>16</v>
      </c>
      <c r="D883" t="s">
        <v>1358</v>
      </c>
      <c r="E883" s="5" t="s">
        <v>50</v>
      </c>
      <c r="F883" s="5" t="e">
        <f>VLOOKUP(B883,'Türkkep Jira'!B:F,5,0)</f>
        <v>#N/A</v>
      </c>
      <c r="G883" t="str">
        <f>IF(IFERROR(VLOOKUP(B883,'Devam Eden Sprint'!B:B,1,0),"-")=B883,"Devam Eden Sprint","-")</f>
        <v>-</v>
      </c>
      <c r="H883" t="str">
        <f>IF(IFERROR(VLOOKUP(B883,'Gelecek Sprint'!B:B,1,0),"-")=B883,"Gelecek Sprint","-")</f>
        <v>-</v>
      </c>
      <c r="I883" t="str">
        <f t="shared" si="21"/>
        <v>Ürün İş Listesi</v>
      </c>
    </row>
    <row r="884" spans="1:10" x14ac:dyDescent="0.25">
      <c r="A884" t="s">
        <v>14</v>
      </c>
      <c r="B884" t="s">
        <v>1797</v>
      </c>
      <c r="C884" t="s">
        <v>16</v>
      </c>
      <c r="D884" t="s">
        <v>1798</v>
      </c>
      <c r="E884" s="5" t="s">
        <v>56</v>
      </c>
      <c r="F884" s="5" t="e">
        <f>VLOOKUP(B884,'Türkkep Jira'!B:F,5,0)</f>
        <v>#N/A</v>
      </c>
      <c r="G884" t="str">
        <f>IF(IFERROR(VLOOKUP(B884,'Devam Eden Sprint'!B:B,1,0),"-")=B884,"Devam Eden Sprint","-")</f>
        <v>-</v>
      </c>
      <c r="H884" t="str">
        <f>IF(IFERROR(VLOOKUP(B884,'Gelecek Sprint'!B:B,1,0),"-")=B884,"Gelecek Sprint","-")</f>
        <v>-</v>
      </c>
      <c r="I884" t="str">
        <f t="shared" si="21"/>
        <v>Ürün İş Listesi</v>
      </c>
    </row>
    <row r="885" spans="1:10" x14ac:dyDescent="0.25">
      <c r="A885" t="s">
        <v>14</v>
      </c>
      <c r="B885" t="s">
        <v>1799</v>
      </c>
      <c r="C885" t="s">
        <v>16</v>
      </c>
      <c r="D885" t="s">
        <v>1800</v>
      </c>
      <c r="E885" s="5" t="s">
        <v>56</v>
      </c>
      <c r="F885" s="5" t="e">
        <f>VLOOKUP(B885,'Türkkep Jira'!B:F,5,0)</f>
        <v>#N/A</v>
      </c>
      <c r="G885" t="str">
        <f>IF(IFERROR(VLOOKUP(B885,'Devam Eden Sprint'!B:B,1,0),"-")=B885,"Devam Eden Sprint","-")</f>
        <v>-</v>
      </c>
      <c r="H885" t="str">
        <f>IF(IFERROR(VLOOKUP(B885,'Gelecek Sprint'!B:B,1,0),"-")=B885,"Gelecek Sprint","-")</f>
        <v>-</v>
      </c>
      <c r="I885" t="str">
        <f t="shared" si="21"/>
        <v>Ürün İş Listesi</v>
      </c>
    </row>
    <row r="886" spans="1:10" x14ac:dyDescent="0.25">
      <c r="A886" t="s">
        <v>14</v>
      </c>
      <c r="B886" t="s">
        <v>1801</v>
      </c>
      <c r="C886" t="s">
        <v>16</v>
      </c>
      <c r="D886" t="s">
        <v>1802</v>
      </c>
      <c r="E886" s="5" t="s">
        <v>56</v>
      </c>
      <c r="F886" s="5" t="e">
        <f>VLOOKUP(B886,'Türkkep Jira'!B:F,5,0)</f>
        <v>#N/A</v>
      </c>
      <c r="G886" t="str">
        <f>IF(IFERROR(VLOOKUP(B886,'Devam Eden Sprint'!B:B,1,0),"-")=B886,"Devam Eden Sprint","-")</f>
        <v>-</v>
      </c>
      <c r="H886" t="str">
        <f>IF(IFERROR(VLOOKUP(B886,'Gelecek Sprint'!B:B,1,0),"-")=B886,"Gelecek Sprint","-")</f>
        <v>-</v>
      </c>
      <c r="I886" t="str">
        <f t="shared" si="21"/>
        <v>Ürün İş Listesi</v>
      </c>
    </row>
    <row r="887" spans="1:10" x14ac:dyDescent="0.25">
      <c r="A887" t="s">
        <v>14</v>
      </c>
      <c r="B887" t="s">
        <v>1803</v>
      </c>
      <c r="C887" t="s">
        <v>16</v>
      </c>
      <c r="D887" t="s">
        <v>1804</v>
      </c>
      <c r="E887" s="5" t="s">
        <v>56</v>
      </c>
      <c r="F887" s="5" t="e">
        <f>VLOOKUP(B887,'Türkkep Jira'!B:F,5,0)</f>
        <v>#N/A</v>
      </c>
      <c r="G887" t="str">
        <f>IF(IFERROR(VLOOKUP(B887,'Devam Eden Sprint'!B:B,1,0),"-")=B887,"Devam Eden Sprint","-")</f>
        <v>-</v>
      </c>
      <c r="H887" t="str">
        <f>IF(IFERROR(VLOOKUP(B887,'Gelecek Sprint'!B:B,1,0),"-")=B887,"Gelecek Sprint","-")</f>
        <v>-</v>
      </c>
      <c r="I887" t="str">
        <f t="shared" si="21"/>
        <v>Ürün İş Listesi</v>
      </c>
    </row>
    <row r="888" spans="1:10" x14ac:dyDescent="0.25">
      <c r="A888" t="s">
        <v>14</v>
      </c>
      <c r="B888" t="s">
        <v>1805</v>
      </c>
      <c r="C888" t="s">
        <v>16</v>
      </c>
      <c r="D888" t="s">
        <v>1806</v>
      </c>
      <c r="E888" s="5" t="s">
        <v>56</v>
      </c>
      <c r="F888" s="5" t="e">
        <f>VLOOKUP(B888,'Türkkep Jira'!B:F,5,0)</f>
        <v>#N/A</v>
      </c>
      <c r="G888" t="str">
        <f>IF(IFERROR(VLOOKUP(B888,'Devam Eden Sprint'!B:B,1,0),"-")=B888,"Devam Eden Sprint","-")</f>
        <v>-</v>
      </c>
      <c r="H888" t="str">
        <f>IF(IFERROR(VLOOKUP(B888,'Gelecek Sprint'!B:B,1,0),"-")=B888,"Gelecek Sprint","-")</f>
        <v>-</v>
      </c>
      <c r="I888" t="str">
        <f t="shared" si="21"/>
        <v>Ürün İş Listesi</v>
      </c>
    </row>
    <row r="889" spans="1:10" x14ac:dyDescent="0.25">
      <c r="A889" t="s">
        <v>14</v>
      </c>
      <c r="B889" t="s">
        <v>1807</v>
      </c>
      <c r="C889" t="s">
        <v>27</v>
      </c>
      <c r="D889" t="s">
        <v>1808</v>
      </c>
      <c r="E889" s="5" t="s">
        <v>12</v>
      </c>
      <c r="F889" s="5" t="str">
        <f>VLOOKUP(B889,'Türkkep Jira'!B:F,5,0)</f>
        <v>TO TEST</v>
      </c>
      <c r="G889" t="str">
        <f>IF(IFERROR(VLOOKUP(B889,'Devam Eden Sprint'!B:B,1,0),"-")=B889,"Devam Eden Sprint","-")</f>
        <v>Devam Eden Sprint</v>
      </c>
      <c r="H889" t="str">
        <f>IF(IFERROR(VLOOKUP(B889,'Gelecek Sprint'!B:B,1,0),"-")=B889,"Gelecek Sprint","-")</f>
        <v>Gelecek Sprint</v>
      </c>
      <c r="I889" t="str">
        <f t="shared" si="21"/>
        <v>Devam Eden ve Gelecek Sprint</v>
      </c>
      <c r="J889" s="5">
        <v>2</v>
      </c>
    </row>
    <row r="890" spans="1:10" x14ac:dyDescent="0.25">
      <c r="A890" t="s">
        <v>14</v>
      </c>
      <c r="B890" t="s">
        <v>1809</v>
      </c>
      <c r="C890" t="s">
        <v>16</v>
      </c>
      <c r="D890" t="s">
        <v>1810</v>
      </c>
      <c r="E890" s="5" t="s">
        <v>12</v>
      </c>
      <c r="F890" s="5" t="e">
        <f>VLOOKUP(B890,'Türkkep Jira'!B:F,5,0)</f>
        <v>#N/A</v>
      </c>
      <c r="G890" t="str">
        <f>IF(IFERROR(VLOOKUP(B890,'Devam Eden Sprint'!B:B,1,0),"-")=B890,"Devam Eden Sprint","-")</f>
        <v>-</v>
      </c>
      <c r="H890" t="str">
        <f>IF(IFERROR(VLOOKUP(B890,'Gelecek Sprint'!B:B,1,0),"-")=B890,"Gelecek Sprint","-")</f>
        <v>-</v>
      </c>
      <c r="I890" t="str">
        <f t="shared" si="21"/>
        <v>Ürün İş Listesi</v>
      </c>
    </row>
    <row r="891" spans="1:10" x14ac:dyDescent="0.25">
      <c r="A891" t="s">
        <v>14</v>
      </c>
      <c r="B891" t="s">
        <v>1811</v>
      </c>
      <c r="C891" t="s">
        <v>16</v>
      </c>
      <c r="D891" t="s">
        <v>1812</v>
      </c>
      <c r="E891" s="5" t="s">
        <v>127</v>
      </c>
      <c r="F891" s="5" t="e">
        <f>VLOOKUP(B891,'Türkkep Jira'!B:F,5,0)</f>
        <v>#N/A</v>
      </c>
      <c r="G891" t="str">
        <f>IF(IFERROR(VLOOKUP(B891,'Devam Eden Sprint'!B:B,1,0),"-")=B891,"Devam Eden Sprint","-")</f>
        <v>-</v>
      </c>
      <c r="H891" t="str">
        <f>IF(IFERROR(VLOOKUP(B891,'Gelecek Sprint'!B:B,1,0),"-")=B891,"Gelecek Sprint","-")</f>
        <v>-</v>
      </c>
      <c r="I891" t="str">
        <f t="shared" si="21"/>
        <v>Ürün İş Listesi</v>
      </c>
    </row>
    <row r="892" spans="1:10" x14ac:dyDescent="0.25">
      <c r="A892" t="s">
        <v>14</v>
      </c>
      <c r="B892" t="s">
        <v>1813</v>
      </c>
      <c r="C892" t="s">
        <v>26</v>
      </c>
      <c r="D892" t="s">
        <v>1814</v>
      </c>
      <c r="E892" s="5" t="s">
        <v>47</v>
      </c>
      <c r="F892" s="5" t="str">
        <f>VLOOKUP(B892,'Türkkep Jira'!B:F,5,0)</f>
        <v>Development</v>
      </c>
      <c r="G892" t="str">
        <f>IF(IFERROR(VLOOKUP(B892,'Devam Eden Sprint'!B:B,1,0),"-")=B892,"Devam Eden Sprint","-")</f>
        <v>Devam Eden Sprint</v>
      </c>
      <c r="H892" t="str">
        <f>IF(IFERROR(VLOOKUP(B892,'Gelecek Sprint'!B:B,1,0),"-")=B892,"Gelecek Sprint","-")</f>
        <v>Gelecek Sprint</v>
      </c>
      <c r="I892" t="str">
        <f t="shared" si="21"/>
        <v>Devam Eden ve Gelecek Sprint</v>
      </c>
      <c r="J892" s="5">
        <v>8</v>
      </c>
    </row>
    <row r="893" spans="1:10" x14ac:dyDescent="0.25">
      <c r="A893" t="s">
        <v>14</v>
      </c>
      <c r="B893" t="s">
        <v>1843</v>
      </c>
      <c r="C893" t="s">
        <v>16</v>
      </c>
      <c r="D893" t="s">
        <v>1842</v>
      </c>
      <c r="E893" s="5" t="s">
        <v>1844</v>
      </c>
      <c r="F893" s="5" t="e">
        <f>VLOOKUP(B893,'Türkkep Jira'!B:F,5,0)</f>
        <v>#N/A</v>
      </c>
      <c r="G893" t="str">
        <f>IF(IFERROR(VLOOKUP(B893,'Devam Eden Sprint'!B:B,1,0),"-")=B893,"Devam Eden Sprint","-")</f>
        <v>-</v>
      </c>
      <c r="H893" t="str">
        <f>IF(IFERROR(VLOOKUP(B893,'Gelecek Sprint'!B:B,1,0),"-")=B893,"Gelecek Sprint","-")</f>
        <v>-</v>
      </c>
      <c r="I893" t="str">
        <f t="shared" ref="I893:I901" si="22">IFERROR(IF(AND(G893="Devam Eden Sprint",H893="Gelecek Sprint"),"Devam Eden ve Gelecek Sprint",IF(G893="Devam Eden Sprint","Devam Eden Sprint",IF(H893="Gelecek Sprint","Gelecek Sprint","Ürün İş Listesi"))),"Ürün İş Listesi")</f>
        <v>Ürün İş Listesi</v>
      </c>
    </row>
    <row r="894" spans="1:10" x14ac:dyDescent="0.25">
      <c r="A894" t="s">
        <v>14</v>
      </c>
      <c r="B894" t="s">
        <v>1846</v>
      </c>
      <c r="C894" t="s">
        <v>16</v>
      </c>
      <c r="D894" t="s">
        <v>1845</v>
      </c>
      <c r="E894" s="5" t="s">
        <v>1844</v>
      </c>
      <c r="F894" s="5" t="e">
        <f>VLOOKUP(B894,'Türkkep Jira'!B:F,5,0)</f>
        <v>#N/A</v>
      </c>
      <c r="G894" t="str">
        <f>IF(IFERROR(VLOOKUP(B894,'Devam Eden Sprint'!B:B,1,0),"-")=B894,"Devam Eden Sprint","-")</f>
        <v>-</v>
      </c>
      <c r="H894" t="str">
        <f>IF(IFERROR(VLOOKUP(B894,'Gelecek Sprint'!B:B,1,0),"-")=B894,"Gelecek Sprint","-")</f>
        <v>-</v>
      </c>
      <c r="I894" t="str">
        <f t="shared" si="22"/>
        <v>Ürün İş Listesi</v>
      </c>
    </row>
    <row r="895" spans="1:10" x14ac:dyDescent="0.25">
      <c r="A895" t="s">
        <v>14</v>
      </c>
      <c r="B895" t="s">
        <v>1848</v>
      </c>
      <c r="C895" t="s">
        <v>16</v>
      </c>
      <c r="D895" t="s">
        <v>1847</v>
      </c>
      <c r="E895" s="5" t="s">
        <v>1844</v>
      </c>
      <c r="F895" s="5" t="e">
        <f>VLOOKUP(B895,'Türkkep Jira'!B:F,5,0)</f>
        <v>#N/A</v>
      </c>
      <c r="G895" t="str">
        <f>IF(IFERROR(VLOOKUP(B895,'Devam Eden Sprint'!B:B,1,0),"-")=B895,"Devam Eden Sprint","-")</f>
        <v>-</v>
      </c>
      <c r="H895" t="str">
        <f>IF(IFERROR(VLOOKUP(B895,'Gelecek Sprint'!B:B,1,0),"-")=B895,"Gelecek Sprint","-")</f>
        <v>-</v>
      </c>
      <c r="I895" t="str">
        <f t="shared" si="22"/>
        <v>Ürün İş Listesi</v>
      </c>
    </row>
    <row r="896" spans="1:10" x14ac:dyDescent="0.25">
      <c r="A896" t="s">
        <v>14</v>
      </c>
      <c r="B896" t="s">
        <v>1850</v>
      </c>
      <c r="C896" t="s">
        <v>16</v>
      </c>
      <c r="D896" t="s">
        <v>1849</v>
      </c>
      <c r="E896" s="5" t="s">
        <v>1844</v>
      </c>
      <c r="F896" s="5" t="e">
        <f>VLOOKUP(B896,'Türkkep Jira'!B:F,5,0)</f>
        <v>#N/A</v>
      </c>
      <c r="G896" t="str">
        <f>IF(IFERROR(VLOOKUP(B896,'Devam Eden Sprint'!B:B,1,0),"-")=B896,"Devam Eden Sprint","-")</f>
        <v>-</v>
      </c>
      <c r="H896" t="str">
        <f>IF(IFERROR(VLOOKUP(B896,'Gelecek Sprint'!B:B,1,0),"-")=B896,"Gelecek Sprint","-")</f>
        <v>-</v>
      </c>
      <c r="I896" t="str">
        <f t="shared" si="22"/>
        <v>Ürün İş Listesi</v>
      </c>
    </row>
    <row r="897" spans="1:9" x14ac:dyDescent="0.25">
      <c r="A897" t="s">
        <v>14</v>
      </c>
      <c r="B897" t="s">
        <v>1852</v>
      </c>
      <c r="C897" t="s">
        <v>26</v>
      </c>
      <c r="D897" t="s">
        <v>1851</v>
      </c>
      <c r="E897" s="5" t="s">
        <v>1844</v>
      </c>
      <c r="F897" s="5" t="e">
        <f>VLOOKUP(B897,'Türkkep Jira'!B:F,5,0)</f>
        <v>#N/A</v>
      </c>
      <c r="G897" t="str">
        <f>IF(IFERROR(VLOOKUP(B897,'Devam Eden Sprint'!B:B,1,0),"-")=B897,"Devam Eden Sprint","-")</f>
        <v>-</v>
      </c>
      <c r="H897" t="str">
        <f>IF(IFERROR(VLOOKUP(B897,'Gelecek Sprint'!B:B,1,0),"-")=B897,"Gelecek Sprint","-")</f>
        <v>-</v>
      </c>
      <c r="I897" t="str">
        <f t="shared" si="22"/>
        <v>Ürün İş Listesi</v>
      </c>
    </row>
    <row r="898" spans="1:9" x14ac:dyDescent="0.25">
      <c r="A898" t="s">
        <v>77</v>
      </c>
      <c r="B898" t="s">
        <v>1854</v>
      </c>
      <c r="C898" t="s">
        <v>16</v>
      </c>
      <c r="D898" t="s">
        <v>1853</v>
      </c>
      <c r="E898" s="5" t="s">
        <v>1844</v>
      </c>
      <c r="F898" s="5" t="e">
        <f>VLOOKUP(B898,'Türkkep Jira'!B:F,5,0)</f>
        <v>#N/A</v>
      </c>
      <c r="G898" t="str">
        <f>IF(IFERROR(VLOOKUP(B898,'Devam Eden Sprint'!B:B,1,0),"-")=B898,"Devam Eden Sprint","-")</f>
        <v>-</v>
      </c>
      <c r="H898" t="str">
        <f>IF(IFERROR(VLOOKUP(B898,'Gelecek Sprint'!B:B,1,0),"-")=B898,"Gelecek Sprint","-")</f>
        <v>-</v>
      </c>
      <c r="I898" t="str">
        <f t="shared" si="22"/>
        <v>Ürün İş Listesi</v>
      </c>
    </row>
    <row r="899" spans="1:9" x14ac:dyDescent="0.25">
      <c r="A899" t="s">
        <v>14</v>
      </c>
      <c r="B899" t="s">
        <v>1856</v>
      </c>
      <c r="C899" t="s">
        <v>16</v>
      </c>
      <c r="D899" t="s">
        <v>1855</v>
      </c>
      <c r="E899" s="5" t="s">
        <v>1844</v>
      </c>
      <c r="F899" s="5" t="e">
        <f>VLOOKUP(B899,'Türkkep Jira'!B:F,5,0)</f>
        <v>#N/A</v>
      </c>
      <c r="G899" t="str">
        <f>IF(IFERROR(VLOOKUP(B899,'Devam Eden Sprint'!B:B,1,0),"-")=B899,"Devam Eden Sprint","-")</f>
        <v>-</v>
      </c>
      <c r="H899" t="str">
        <f>IF(IFERROR(VLOOKUP(B899,'Gelecek Sprint'!B:B,1,0),"-")=B899,"Gelecek Sprint","-")</f>
        <v>-</v>
      </c>
      <c r="I899" t="str">
        <f t="shared" si="22"/>
        <v>Ürün İş Listesi</v>
      </c>
    </row>
    <row r="900" spans="1:9" x14ac:dyDescent="0.25">
      <c r="A900" t="s">
        <v>77</v>
      </c>
      <c r="B900" t="s">
        <v>1858</v>
      </c>
      <c r="C900" t="s">
        <v>16</v>
      </c>
      <c r="D900" t="s">
        <v>1857</v>
      </c>
      <c r="E900" s="5" t="s">
        <v>1844</v>
      </c>
      <c r="F900" s="5" t="e">
        <f>VLOOKUP(B900,'Türkkep Jira'!B:F,5,0)</f>
        <v>#N/A</v>
      </c>
      <c r="G900" t="str">
        <f>IF(IFERROR(VLOOKUP(B900,'Devam Eden Sprint'!B:B,1,0),"-")=B900,"Devam Eden Sprint","-")</f>
        <v>-</v>
      </c>
      <c r="H900" t="str">
        <f>IF(IFERROR(VLOOKUP(B900,'Gelecek Sprint'!B:B,1,0),"-")=B900,"Gelecek Sprint","-")</f>
        <v>-</v>
      </c>
      <c r="I900" t="str">
        <f t="shared" si="22"/>
        <v>Ürün İş Listesi</v>
      </c>
    </row>
    <row r="901" spans="1:9" x14ac:dyDescent="0.25">
      <c r="A901" t="s">
        <v>14</v>
      </c>
      <c r="B901" t="s">
        <v>1860</v>
      </c>
      <c r="C901" t="s">
        <v>16</v>
      </c>
      <c r="D901" t="s">
        <v>1859</v>
      </c>
      <c r="E901" s="5" t="s">
        <v>1844</v>
      </c>
      <c r="F901" s="5" t="e">
        <f>VLOOKUP(B901,'Türkkep Jira'!B:F,5,0)</f>
        <v>#N/A</v>
      </c>
      <c r="G901" t="str">
        <f>IF(IFERROR(VLOOKUP(B901,'Devam Eden Sprint'!B:B,1,0),"-")=B901,"Devam Eden Sprint","-")</f>
        <v>-</v>
      </c>
      <c r="H901" t="str">
        <f>IF(IFERROR(VLOOKUP(B901,'Gelecek Sprint'!B:B,1,0),"-")=B901,"Gelecek Sprint","-")</f>
        <v>-</v>
      </c>
      <c r="I901" t="str">
        <f t="shared" si="22"/>
        <v>Ürün İş Listesi</v>
      </c>
    </row>
    <row r="902" spans="1:9" x14ac:dyDescent="0.25">
      <c r="A902" t="s">
        <v>77</v>
      </c>
      <c r="B902" t="s">
        <v>1861</v>
      </c>
      <c r="C902" t="s">
        <v>16</v>
      </c>
      <c r="D902" t="s">
        <v>1923</v>
      </c>
      <c r="E902" s="5" t="s">
        <v>53</v>
      </c>
      <c r="F902" s="5" t="e">
        <f>VLOOKUP(B902,'Türkkep Jira'!B:F,5,0)</f>
        <v>#N/A</v>
      </c>
      <c r="G902" t="str">
        <f>IF(IFERROR(VLOOKUP(B902,'Devam Eden Sprint'!B:B,1,0),"-")=B902,"Devam Eden Sprint","-")</f>
        <v>-</v>
      </c>
      <c r="H902" t="str">
        <f>IF(IFERROR(VLOOKUP(B902,'Gelecek Sprint'!B:B,1,0),"-")=B902,"Gelecek Sprint","-")</f>
        <v>-</v>
      </c>
      <c r="I902" t="str">
        <f t="shared" ref="I902:I964" si="23">IFERROR(IF(AND(G902="Devam Eden Sprint",H902="Gelecek Sprint"),"Devam Eden ve Gelecek Sprint",IF(G902="Devam Eden Sprint","Devam Eden Sprint",IF(H902="Gelecek Sprint","Gelecek Sprint","Ürün İş Listesi"))),"Ürün İş Listesi")</f>
        <v>Ürün İş Listesi</v>
      </c>
    </row>
    <row r="903" spans="1:9" x14ac:dyDescent="0.25">
      <c r="A903" t="s">
        <v>77</v>
      </c>
      <c r="B903" t="s">
        <v>1862</v>
      </c>
      <c r="C903" t="s">
        <v>16</v>
      </c>
      <c r="D903" t="s">
        <v>1924</v>
      </c>
      <c r="E903" s="5" t="s">
        <v>53</v>
      </c>
      <c r="F903" s="5" t="e">
        <f>VLOOKUP(B903,'Türkkep Jira'!B:F,5,0)</f>
        <v>#N/A</v>
      </c>
      <c r="G903" t="str">
        <f>IF(IFERROR(VLOOKUP(B903,'Devam Eden Sprint'!B:B,1,0),"-")=B903,"Devam Eden Sprint","-")</f>
        <v>-</v>
      </c>
      <c r="H903" t="str">
        <f>IF(IFERROR(VLOOKUP(B903,'Gelecek Sprint'!B:B,1,0),"-")=B903,"Gelecek Sprint","-")</f>
        <v>-</v>
      </c>
      <c r="I903" t="str">
        <f t="shared" si="23"/>
        <v>Ürün İş Listesi</v>
      </c>
    </row>
    <row r="904" spans="1:9" x14ac:dyDescent="0.25">
      <c r="A904" t="s">
        <v>77</v>
      </c>
      <c r="B904" t="s">
        <v>1863</v>
      </c>
      <c r="C904" t="s">
        <v>16</v>
      </c>
      <c r="D904" t="s">
        <v>1925</v>
      </c>
      <c r="E904" s="5" t="s">
        <v>53</v>
      </c>
      <c r="F904" s="5" t="e">
        <f>VLOOKUP(B904,'Türkkep Jira'!B:F,5,0)</f>
        <v>#N/A</v>
      </c>
      <c r="G904" t="str">
        <f>IF(IFERROR(VLOOKUP(B904,'Devam Eden Sprint'!B:B,1,0),"-")=B904,"Devam Eden Sprint","-")</f>
        <v>-</v>
      </c>
      <c r="H904" t="str">
        <f>IF(IFERROR(VLOOKUP(B904,'Gelecek Sprint'!B:B,1,0),"-")=B904,"Gelecek Sprint","-")</f>
        <v>-</v>
      </c>
      <c r="I904" t="str">
        <f t="shared" si="23"/>
        <v>Ürün İş Listesi</v>
      </c>
    </row>
    <row r="905" spans="1:9" x14ac:dyDescent="0.25">
      <c r="A905" t="s">
        <v>77</v>
      </c>
      <c r="B905" t="s">
        <v>1864</v>
      </c>
      <c r="C905" t="s">
        <v>16</v>
      </c>
      <c r="D905" t="s">
        <v>1926</v>
      </c>
      <c r="E905" s="5" t="s">
        <v>127</v>
      </c>
      <c r="F905" s="5" t="e">
        <f>VLOOKUP(B905,'Türkkep Jira'!B:F,5,0)</f>
        <v>#N/A</v>
      </c>
      <c r="G905" t="str">
        <f>IF(IFERROR(VLOOKUP(B905,'Devam Eden Sprint'!B:B,1,0),"-")=B905,"Devam Eden Sprint","-")</f>
        <v>-</v>
      </c>
      <c r="H905" t="str">
        <f>IF(IFERROR(VLOOKUP(B905,'Gelecek Sprint'!B:B,1,0),"-")=B905,"Gelecek Sprint","-")</f>
        <v>-</v>
      </c>
      <c r="I905" t="str">
        <f t="shared" si="23"/>
        <v>Ürün İş Listesi</v>
      </c>
    </row>
    <row r="906" spans="1:9" x14ac:dyDescent="0.25">
      <c r="A906" t="s">
        <v>77</v>
      </c>
      <c r="B906" t="s">
        <v>1865</v>
      </c>
      <c r="C906" t="s">
        <v>16</v>
      </c>
      <c r="D906" t="s">
        <v>1927</v>
      </c>
      <c r="E906" s="5" t="s">
        <v>127</v>
      </c>
      <c r="F906" s="5" t="e">
        <f>VLOOKUP(B906,'Türkkep Jira'!B:F,5,0)</f>
        <v>#N/A</v>
      </c>
      <c r="G906" t="str">
        <f>IF(IFERROR(VLOOKUP(B906,'Devam Eden Sprint'!B:B,1,0),"-")=B906,"Devam Eden Sprint","-")</f>
        <v>-</v>
      </c>
      <c r="H906" t="str">
        <f>IF(IFERROR(VLOOKUP(B906,'Gelecek Sprint'!B:B,1,0),"-")=B906,"Gelecek Sprint","-")</f>
        <v>-</v>
      </c>
      <c r="I906" t="str">
        <f t="shared" si="23"/>
        <v>Ürün İş Listesi</v>
      </c>
    </row>
    <row r="907" spans="1:9" x14ac:dyDescent="0.25">
      <c r="A907" t="s">
        <v>77</v>
      </c>
      <c r="B907" t="s">
        <v>1866</v>
      </c>
      <c r="C907" t="s">
        <v>16</v>
      </c>
      <c r="D907" t="s">
        <v>1928</v>
      </c>
      <c r="E907" s="5" t="s">
        <v>59</v>
      </c>
      <c r="F907" s="5" t="e">
        <f>VLOOKUP(B907,'Türkkep Jira'!B:F,5,0)</f>
        <v>#N/A</v>
      </c>
      <c r="G907" t="str">
        <f>IF(IFERROR(VLOOKUP(B907,'Devam Eden Sprint'!B:B,1,0),"-")=B907,"Devam Eden Sprint","-")</f>
        <v>-</v>
      </c>
      <c r="H907" t="str">
        <f>IF(IFERROR(VLOOKUP(B907,'Gelecek Sprint'!B:B,1,0),"-")=B907,"Gelecek Sprint","-")</f>
        <v>-</v>
      </c>
      <c r="I907" t="str">
        <f t="shared" si="23"/>
        <v>Ürün İş Listesi</v>
      </c>
    </row>
    <row r="908" spans="1:9" x14ac:dyDescent="0.25">
      <c r="A908" t="s">
        <v>77</v>
      </c>
      <c r="B908" t="s">
        <v>1867</v>
      </c>
      <c r="C908" t="s">
        <v>16</v>
      </c>
      <c r="D908" t="s">
        <v>1929</v>
      </c>
      <c r="E908" s="5" t="s">
        <v>59</v>
      </c>
      <c r="F908" s="5" t="e">
        <f>VLOOKUP(B908,'Türkkep Jira'!B:F,5,0)</f>
        <v>#N/A</v>
      </c>
      <c r="G908" t="str">
        <f>IF(IFERROR(VLOOKUP(B908,'Devam Eden Sprint'!B:B,1,0),"-")=B908,"Devam Eden Sprint","-")</f>
        <v>-</v>
      </c>
      <c r="H908" t="str">
        <f>IF(IFERROR(VLOOKUP(B908,'Gelecek Sprint'!B:B,1,0),"-")=B908,"Gelecek Sprint","-")</f>
        <v>-</v>
      </c>
      <c r="I908" t="str">
        <f t="shared" si="23"/>
        <v>Ürün İş Listesi</v>
      </c>
    </row>
    <row r="909" spans="1:9" x14ac:dyDescent="0.25">
      <c r="A909" t="s">
        <v>77</v>
      </c>
      <c r="B909" t="s">
        <v>1868</v>
      </c>
      <c r="C909" t="s">
        <v>16</v>
      </c>
      <c r="D909" t="s">
        <v>1930</v>
      </c>
      <c r="E909" s="5" t="s">
        <v>59</v>
      </c>
      <c r="F909" s="5" t="e">
        <f>VLOOKUP(B909,'Türkkep Jira'!B:F,5,0)</f>
        <v>#N/A</v>
      </c>
      <c r="G909" t="str">
        <f>IF(IFERROR(VLOOKUP(B909,'Devam Eden Sprint'!B:B,1,0),"-")=B909,"Devam Eden Sprint","-")</f>
        <v>-</v>
      </c>
      <c r="H909" t="str">
        <f>IF(IFERROR(VLOOKUP(B909,'Gelecek Sprint'!B:B,1,0),"-")=B909,"Gelecek Sprint","-")</f>
        <v>-</v>
      </c>
      <c r="I909" t="str">
        <f t="shared" si="23"/>
        <v>Ürün İş Listesi</v>
      </c>
    </row>
    <row r="910" spans="1:9" x14ac:dyDescent="0.25">
      <c r="A910" t="s">
        <v>77</v>
      </c>
      <c r="B910" t="s">
        <v>1869</v>
      </c>
      <c r="C910" t="s">
        <v>16</v>
      </c>
      <c r="D910" t="s">
        <v>1931</v>
      </c>
      <c r="E910" s="5" t="s">
        <v>59</v>
      </c>
      <c r="F910" s="5" t="e">
        <f>VLOOKUP(B910,'Türkkep Jira'!B:F,5,0)</f>
        <v>#N/A</v>
      </c>
      <c r="G910" t="str">
        <f>IF(IFERROR(VLOOKUP(B910,'Devam Eden Sprint'!B:B,1,0),"-")=B910,"Devam Eden Sprint","-")</f>
        <v>-</v>
      </c>
      <c r="H910" t="str">
        <f>IF(IFERROR(VLOOKUP(B910,'Gelecek Sprint'!B:B,1,0),"-")=B910,"Gelecek Sprint","-")</f>
        <v>-</v>
      </c>
      <c r="I910" t="str">
        <f t="shared" si="23"/>
        <v>Ürün İş Listesi</v>
      </c>
    </row>
    <row r="911" spans="1:9" x14ac:dyDescent="0.25">
      <c r="A911" t="s">
        <v>77</v>
      </c>
      <c r="B911" t="s">
        <v>1870</v>
      </c>
      <c r="C911" t="s">
        <v>16</v>
      </c>
      <c r="D911" t="s">
        <v>1932</v>
      </c>
      <c r="E911" s="5" t="s">
        <v>455</v>
      </c>
      <c r="F911" s="5" t="e">
        <f>VLOOKUP(B911,'Türkkep Jira'!B:F,5,0)</f>
        <v>#N/A</v>
      </c>
      <c r="G911" t="str">
        <f>IF(IFERROR(VLOOKUP(B911,'Devam Eden Sprint'!B:B,1,0),"-")=B911,"Devam Eden Sprint","-")</f>
        <v>-</v>
      </c>
      <c r="H911" t="str">
        <f>IF(IFERROR(VLOOKUP(B911,'Gelecek Sprint'!B:B,1,0),"-")=B911,"Gelecek Sprint","-")</f>
        <v>-</v>
      </c>
      <c r="I911" t="str">
        <f t="shared" si="23"/>
        <v>Ürün İş Listesi</v>
      </c>
    </row>
    <row r="912" spans="1:9" x14ac:dyDescent="0.25">
      <c r="A912" t="s">
        <v>77</v>
      </c>
      <c r="B912" t="s">
        <v>1871</v>
      </c>
      <c r="C912" t="s">
        <v>16</v>
      </c>
      <c r="D912" t="s">
        <v>1933</v>
      </c>
      <c r="E912" s="5" t="s">
        <v>455</v>
      </c>
      <c r="F912" s="5" t="e">
        <f>VLOOKUP(B912,'Türkkep Jira'!B:F,5,0)</f>
        <v>#N/A</v>
      </c>
      <c r="G912" t="str">
        <f>IF(IFERROR(VLOOKUP(B912,'Devam Eden Sprint'!B:B,1,0),"-")=B912,"Devam Eden Sprint","-")</f>
        <v>-</v>
      </c>
      <c r="H912" t="str">
        <f>IF(IFERROR(VLOOKUP(B912,'Gelecek Sprint'!B:B,1,0),"-")=B912,"Gelecek Sprint","-")</f>
        <v>-</v>
      </c>
      <c r="I912" t="str">
        <f t="shared" si="23"/>
        <v>Ürün İş Listesi</v>
      </c>
    </row>
    <row r="913" spans="1:10" x14ac:dyDescent="0.25">
      <c r="A913" t="s">
        <v>77</v>
      </c>
      <c r="B913" t="s">
        <v>1872</v>
      </c>
      <c r="C913" t="s">
        <v>16</v>
      </c>
      <c r="D913" t="s">
        <v>1934</v>
      </c>
      <c r="E913" s="5" t="s">
        <v>455</v>
      </c>
      <c r="F913" s="5" t="e">
        <f>VLOOKUP(B913,'Türkkep Jira'!B:F,5,0)</f>
        <v>#N/A</v>
      </c>
      <c r="G913" t="str">
        <f>IF(IFERROR(VLOOKUP(B913,'Devam Eden Sprint'!B:B,1,0),"-")=B913,"Devam Eden Sprint","-")</f>
        <v>-</v>
      </c>
      <c r="H913" t="str">
        <f>IF(IFERROR(VLOOKUP(B913,'Gelecek Sprint'!B:B,1,0),"-")=B913,"Gelecek Sprint","-")</f>
        <v>-</v>
      </c>
      <c r="I913" t="str">
        <f t="shared" si="23"/>
        <v>Ürün İş Listesi</v>
      </c>
    </row>
    <row r="914" spans="1:10" x14ac:dyDescent="0.25">
      <c r="A914" t="s">
        <v>77</v>
      </c>
      <c r="B914" t="s">
        <v>1873</v>
      </c>
      <c r="C914" t="s">
        <v>16</v>
      </c>
      <c r="D914" t="s">
        <v>1935</v>
      </c>
      <c r="E914" s="5" t="s">
        <v>455</v>
      </c>
      <c r="F914" s="5" t="e">
        <f>VLOOKUP(B914,'Türkkep Jira'!B:F,5,0)</f>
        <v>#N/A</v>
      </c>
      <c r="G914" t="str">
        <f>IF(IFERROR(VLOOKUP(B914,'Devam Eden Sprint'!B:B,1,0),"-")=B914,"Devam Eden Sprint","-")</f>
        <v>-</v>
      </c>
      <c r="H914" t="str">
        <f>IF(IFERROR(VLOOKUP(B914,'Gelecek Sprint'!B:B,1,0),"-")=B914,"Gelecek Sprint","-")</f>
        <v>-</v>
      </c>
      <c r="I914" t="str">
        <f t="shared" si="23"/>
        <v>Ürün İş Listesi</v>
      </c>
    </row>
    <row r="915" spans="1:10" x14ac:dyDescent="0.25">
      <c r="A915" t="s">
        <v>77</v>
      </c>
      <c r="B915" t="s">
        <v>1874</v>
      </c>
      <c r="C915" t="s">
        <v>16</v>
      </c>
      <c r="D915" t="s">
        <v>1936</v>
      </c>
      <c r="E915" s="5" t="s">
        <v>455</v>
      </c>
      <c r="F915" s="5" t="e">
        <f>VLOOKUP(B915,'Türkkep Jira'!B:F,5,0)</f>
        <v>#N/A</v>
      </c>
      <c r="G915" t="str">
        <f>IF(IFERROR(VLOOKUP(B915,'Devam Eden Sprint'!B:B,1,0),"-")=B915,"Devam Eden Sprint","-")</f>
        <v>-</v>
      </c>
      <c r="H915" t="str">
        <f>IF(IFERROR(VLOOKUP(B915,'Gelecek Sprint'!B:B,1,0),"-")=B915,"Gelecek Sprint","-")</f>
        <v>-</v>
      </c>
      <c r="I915" t="str">
        <f t="shared" si="23"/>
        <v>Ürün İş Listesi</v>
      </c>
    </row>
    <row r="916" spans="1:10" x14ac:dyDescent="0.25">
      <c r="A916" t="s">
        <v>77</v>
      </c>
      <c r="B916" t="s">
        <v>1875</v>
      </c>
      <c r="C916" t="s">
        <v>16</v>
      </c>
      <c r="D916" t="s">
        <v>1937</v>
      </c>
      <c r="E916" s="5" t="s">
        <v>455</v>
      </c>
      <c r="F916" s="5" t="e">
        <f>VLOOKUP(B916,'Türkkep Jira'!B:F,5,0)</f>
        <v>#N/A</v>
      </c>
      <c r="G916" t="str">
        <f>IF(IFERROR(VLOOKUP(B916,'Devam Eden Sprint'!B:B,1,0),"-")=B916,"Devam Eden Sprint","-")</f>
        <v>-</v>
      </c>
      <c r="H916" t="str">
        <f>IF(IFERROR(VLOOKUP(B916,'Gelecek Sprint'!B:B,1,0),"-")=B916,"Gelecek Sprint","-")</f>
        <v>-</v>
      </c>
      <c r="I916" t="str">
        <f t="shared" si="23"/>
        <v>Ürün İş Listesi</v>
      </c>
    </row>
    <row r="917" spans="1:10" x14ac:dyDescent="0.25">
      <c r="A917" t="s">
        <v>77</v>
      </c>
      <c r="B917" t="s">
        <v>1876</v>
      </c>
      <c r="C917" t="s">
        <v>16</v>
      </c>
      <c r="D917" t="s">
        <v>1938</v>
      </c>
      <c r="E917" s="5" t="s">
        <v>455</v>
      </c>
      <c r="F917" s="5" t="e">
        <f>VLOOKUP(B917,'Türkkep Jira'!B:F,5,0)</f>
        <v>#N/A</v>
      </c>
      <c r="G917" t="str">
        <f>IF(IFERROR(VLOOKUP(B917,'Devam Eden Sprint'!B:B,1,0),"-")=B917,"Devam Eden Sprint","-")</f>
        <v>-</v>
      </c>
      <c r="H917" t="str">
        <f>IF(IFERROR(VLOOKUP(B917,'Gelecek Sprint'!B:B,1,0),"-")=B917,"Gelecek Sprint","-")</f>
        <v>-</v>
      </c>
      <c r="I917" t="str">
        <f t="shared" si="23"/>
        <v>Ürün İş Listesi</v>
      </c>
    </row>
    <row r="918" spans="1:10" x14ac:dyDescent="0.25">
      <c r="A918" t="s">
        <v>77</v>
      </c>
      <c r="B918" t="s">
        <v>1877</v>
      </c>
      <c r="C918" t="s">
        <v>16</v>
      </c>
      <c r="D918" t="s">
        <v>1939</v>
      </c>
      <c r="E918" s="5" t="s">
        <v>455</v>
      </c>
      <c r="F918" s="5" t="e">
        <f>VLOOKUP(B918,'Türkkep Jira'!B:F,5,0)</f>
        <v>#N/A</v>
      </c>
      <c r="G918" t="str">
        <f>IF(IFERROR(VLOOKUP(B918,'Devam Eden Sprint'!B:B,1,0),"-")=B918,"Devam Eden Sprint","-")</f>
        <v>-</v>
      </c>
      <c r="H918" t="str">
        <f>IF(IFERROR(VLOOKUP(B918,'Gelecek Sprint'!B:B,1,0),"-")=B918,"Gelecek Sprint","-")</f>
        <v>-</v>
      </c>
      <c r="I918" t="str">
        <f t="shared" si="23"/>
        <v>Ürün İş Listesi</v>
      </c>
    </row>
    <row r="919" spans="1:10" x14ac:dyDescent="0.25">
      <c r="A919" t="s">
        <v>77</v>
      </c>
      <c r="B919" t="s">
        <v>1878</v>
      </c>
      <c r="C919" t="s">
        <v>16</v>
      </c>
      <c r="D919" t="s">
        <v>1940</v>
      </c>
      <c r="E919" s="5" t="s">
        <v>56</v>
      </c>
      <c r="F919" s="5" t="e">
        <f>VLOOKUP(B919,'Türkkep Jira'!B:F,5,0)</f>
        <v>#N/A</v>
      </c>
      <c r="G919" t="str">
        <f>IF(IFERROR(VLOOKUP(B919,'Devam Eden Sprint'!B:B,1,0),"-")=B919,"Devam Eden Sprint","-")</f>
        <v>-</v>
      </c>
      <c r="H919" t="str">
        <f>IF(IFERROR(VLOOKUP(B919,'Gelecek Sprint'!B:B,1,0),"-")=B919,"Gelecek Sprint","-")</f>
        <v>-</v>
      </c>
      <c r="I919" t="str">
        <f t="shared" si="23"/>
        <v>Ürün İş Listesi</v>
      </c>
    </row>
    <row r="920" spans="1:10" x14ac:dyDescent="0.25">
      <c r="A920" t="s">
        <v>77</v>
      </c>
      <c r="B920" t="s">
        <v>1879</v>
      </c>
      <c r="C920" t="s">
        <v>16</v>
      </c>
      <c r="D920" t="s">
        <v>1941</v>
      </c>
      <c r="E920" s="5" t="s">
        <v>56</v>
      </c>
      <c r="F920" s="5" t="e">
        <f>VLOOKUP(B920,'Türkkep Jira'!B:F,5,0)</f>
        <v>#N/A</v>
      </c>
      <c r="G920" t="str">
        <f>IF(IFERROR(VLOOKUP(B920,'Devam Eden Sprint'!B:B,1,0),"-")=B920,"Devam Eden Sprint","-")</f>
        <v>-</v>
      </c>
      <c r="H920" t="str">
        <f>IF(IFERROR(VLOOKUP(B920,'Gelecek Sprint'!B:B,1,0),"-")=B920,"Gelecek Sprint","-")</f>
        <v>-</v>
      </c>
      <c r="I920" t="str">
        <f t="shared" si="23"/>
        <v>Ürün İş Listesi</v>
      </c>
    </row>
    <row r="921" spans="1:10" x14ac:dyDescent="0.25">
      <c r="A921" t="s">
        <v>77</v>
      </c>
      <c r="B921" t="s">
        <v>1880</v>
      </c>
      <c r="C921" t="s">
        <v>16</v>
      </c>
      <c r="D921" t="s">
        <v>1942</v>
      </c>
      <c r="E921" s="5" t="s">
        <v>56</v>
      </c>
      <c r="F921" s="5" t="e">
        <f>VLOOKUP(B921,'Türkkep Jira'!B:F,5,0)</f>
        <v>#N/A</v>
      </c>
      <c r="G921" t="str">
        <f>IF(IFERROR(VLOOKUP(B921,'Devam Eden Sprint'!B:B,1,0),"-")=B921,"Devam Eden Sprint","-")</f>
        <v>-</v>
      </c>
      <c r="H921" t="str">
        <f>IF(IFERROR(VLOOKUP(B921,'Gelecek Sprint'!B:B,1,0),"-")=B921,"Gelecek Sprint","-")</f>
        <v>-</v>
      </c>
      <c r="I921" t="str">
        <f t="shared" si="23"/>
        <v>Ürün İş Listesi</v>
      </c>
    </row>
    <row r="922" spans="1:10" x14ac:dyDescent="0.25">
      <c r="A922" t="s">
        <v>77</v>
      </c>
      <c r="B922" t="s">
        <v>1881</v>
      </c>
      <c r="C922" t="s">
        <v>16</v>
      </c>
      <c r="D922" t="s">
        <v>1943</v>
      </c>
      <c r="E922" s="5" t="s">
        <v>56</v>
      </c>
      <c r="F922" s="5" t="e">
        <f>VLOOKUP(B922,'Türkkep Jira'!B:F,5,0)</f>
        <v>#N/A</v>
      </c>
      <c r="G922" t="str">
        <f>IF(IFERROR(VLOOKUP(B922,'Devam Eden Sprint'!B:B,1,0),"-")=B922,"Devam Eden Sprint","-")</f>
        <v>-</v>
      </c>
      <c r="H922" t="str">
        <f>IF(IFERROR(VLOOKUP(B922,'Gelecek Sprint'!B:B,1,0),"-")=B922,"Gelecek Sprint","-")</f>
        <v>-</v>
      </c>
      <c r="I922" t="str">
        <f t="shared" si="23"/>
        <v>Ürün İş Listesi</v>
      </c>
      <c r="J922" s="5">
        <v>1</v>
      </c>
    </row>
    <row r="923" spans="1:10" x14ac:dyDescent="0.25">
      <c r="A923" t="s">
        <v>77</v>
      </c>
      <c r="B923" t="s">
        <v>1882</v>
      </c>
      <c r="C923" t="s">
        <v>16</v>
      </c>
      <c r="D923" t="s">
        <v>1944</v>
      </c>
      <c r="E923" s="5" t="s">
        <v>56</v>
      </c>
      <c r="F923" s="5" t="e">
        <f>VLOOKUP(B923,'Türkkep Jira'!B:F,5,0)</f>
        <v>#N/A</v>
      </c>
      <c r="G923" t="str">
        <f>IF(IFERROR(VLOOKUP(B923,'Devam Eden Sprint'!B:B,1,0),"-")=B923,"Devam Eden Sprint","-")</f>
        <v>-</v>
      </c>
      <c r="H923" t="str">
        <f>IF(IFERROR(VLOOKUP(B923,'Gelecek Sprint'!B:B,1,0),"-")=B923,"Gelecek Sprint","-")</f>
        <v>-</v>
      </c>
      <c r="I923" t="str">
        <f t="shared" si="23"/>
        <v>Ürün İş Listesi</v>
      </c>
    </row>
    <row r="924" spans="1:10" x14ac:dyDescent="0.25">
      <c r="A924" t="s">
        <v>77</v>
      </c>
      <c r="B924" t="s">
        <v>1883</v>
      </c>
      <c r="C924" t="s">
        <v>16</v>
      </c>
      <c r="D924" t="s">
        <v>1945</v>
      </c>
      <c r="E924" s="5" t="s">
        <v>56</v>
      </c>
      <c r="F924" s="5" t="e">
        <f>VLOOKUP(B924,'Türkkep Jira'!B:F,5,0)</f>
        <v>#N/A</v>
      </c>
      <c r="G924" t="str">
        <f>IF(IFERROR(VLOOKUP(B924,'Devam Eden Sprint'!B:B,1,0),"-")=B924,"Devam Eden Sprint","-")</f>
        <v>-</v>
      </c>
      <c r="H924" t="str">
        <f>IF(IFERROR(VLOOKUP(B924,'Gelecek Sprint'!B:B,1,0),"-")=B924,"Gelecek Sprint","-")</f>
        <v>-</v>
      </c>
      <c r="I924" t="str">
        <f t="shared" si="23"/>
        <v>Ürün İş Listesi</v>
      </c>
    </row>
    <row r="925" spans="1:10" x14ac:dyDescent="0.25">
      <c r="A925" t="s">
        <v>77</v>
      </c>
      <c r="B925" t="s">
        <v>1884</v>
      </c>
      <c r="C925" t="s">
        <v>16</v>
      </c>
      <c r="D925" t="s">
        <v>1946</v>
      </c>
      <c r="E925" s="5" t="s">
        <v>56</v>
      </c>
      <c r="F925" s="5" t="str">
        <f>VLOOKUP(B925,'Türkkep Jira'!B:F,5,0)</f>
        <v>Done</v>
      </c>
      <c r="G925" t="str">
        <f>IF(IFERROR(VLOOKUP(B925,'Devam Eden Sprint'!B:B,1,0),"-")=B925,"Devam Eden Sprint","-")</f>
        <v>Devam Eden Sprint</v>
      </c>
      <c r="H925" t="str">
        <f>IF(IFERROR(VLOOKUP(B925,'Gelecek Sprint'!B:B,1,0),"-")=B925,"Gelecek Sprint","-")</f>
        <v>-</v>
      </c>
      <c r="I925" t="str">
        <f t="shared" si="23"/>
        <v>Devam Eden Sprint</v>
      </c>
    </row>
    <row r="926" spans="1:10" x14ac:dyDescent="0.25">
      <c r="A926" t="s">
        <v>77</v>
      </c>
      <c r="B926" t="s">
        <v>1885</v>
      </c>
      <c r="C926" t="s">
        <v>16</v>
      </c>
      <c r="D926" t="s">
        <v>1947</v>
      </c>
      <c r="E926" s="5" t="s">
        <v>56</v>
      </c>
      <c r="F926" s="5" t="e">
        <f>VLOOKUP(B926,'Türkkep Jira'!B:F,5,0)</f>
        <v>#N/A</v>
      </c>
      <c r="G926" t="str">
        <f>IF(IFERROR(VLOOKUP(B926,'Devam Eden Sprint'!B:B,1,0),"-")=B926,"Devam Eden Sprint","-")</f>
        <v>-</v>
      </c>
      <c r="H926" t="str">
        <f>IF(IFERROR(VLOOKUP(B926,'Gelecek Sprint'!B:B,1,0),"-")=B926,"Gelecek Sprint","-")</f>
        <v>-</v>
      </c>
      <c r="I926" t="str">
        <f t="shared" si="23"/>
        <v>Ürün İş Listesi</v>
      </c>
    </row>
    <row r="927" spans="1:10" x14ac:dyDescent="0.25">
      <c r="A927" t="s">
        <v>77</v>
      </c>
      <c r="B927" t="s">
        <v>1886</v>
      </c>
      <c r="C927" t="s">
        <v>16</v>
      </c>
      <c r="D927" t="s">
        <v>1948</v>
      </c>
      <c r="E927" s="5" t="s">
        <v>47</v>
      </c>
      <c r="F927" s="5" t="e">
        <f>VLOOKUP(B927,'Türkkep Jira'!B:F,5,0)</f>
        <v>#N/A</v>
      </c>
      <c r="G927" t="str">
        <f>IF(IFERROR(VLOOKUP(B927,'Devam Eden Sprint'!B:B,1,0),"-")=B927,"Devam Eden Sprint","-")</f>
        <v>-</v>
      </c>
      <c r="H927" t="str">
        <f>IF(IFERROR(VLOOKUP(B927,'Gelecek Sprint'!B:B,1,0),"-")=B927,"Gelecek Sprint","-")</f>
        <v>-</v>
      </c>
      <c r="I927" t="str">
        <f t="shared" si="23"/>
        <v>Ürün İş Listesi</v>
      </c>
    </row>
    <row r="928" spans="1:10" x14ac:dyDescent="0.25">
      <c r="A928" t="s">
        <v>77</v>
      </c>
      <c r="B928" t="s">
        <v>1887</v>
      </c>
      <c r="C928" t="s">
        <v>16</v>
      </c>
      <c r="D928" t="s">
        <v>1949</v>
      </c>
      <c r="E928" s="5" t="s">
        <v>47</v>
      </c>
      <c r="F928" s="5" t="e">
        <f>VLOOKUP(B928,'Türkkep Jira'!B:F,5,0)</f>
        <v>#N/A</v>
      </c>
      <c r="G928" t="str">
        <f>IF(IFERROR(VLOOKUP(B928,'Devam Eden Sprint'!B:B,1,0),"-")=B928,"Devam Eden Sprint","-")</f>
        <v>-</v>
      </c>
      <c r="H928" t="str">
        <f>IF(IFERROR(VLOOKUP(B928,'Gelecek Sprint'!B:B,1,0),"-")=B928,"Gelecek Sprint","-")</f>
        <v>-</v>
      </c>
      <c r="I928" t="str">
        <f t="shared" si="23"/>
        <v>Ürün İş Listesi</v>
      </c>
    </row>
    <row r="929" spans="1:10" x14ac:dyDescent="0.25">
      <c r="A929" t="s">
        <v>77</v>
      </c>
      <c r="B929" t="s">
        <v>1888</v>
      </c>
      <c r="C929" t="s">
        <v>16</v>
      </c>
      <c r="D929" t="s">
        <v>1950</v>
      </c>
      <c r="E929" s="5" t="s">
        <v>50</v>
      </c>
      <c r="F929" s="5" t="e">
        <f>VLOOKUP(B929,'Türkkep Jira'!B:F,5,0)</f>
        <v>#N/A</v>
      </c>
      <c r="G929" t="str">
        <f>IF(IFERROR(VLOOKUP(B929,'Devam Eden Sprint'!B:B,1,0),"-")=B929,"Devam Eden Sprint","-")</f>
        <v>-</v>
      </c>
      <c r="H929" t="str">
        <f>IF(IFERROR(VLOOKUP(B929,'Gelecek Sprint'!B:B,1,0),"-")=B929,"Gelecek Sprint","-")</f>
        <v>-</v>
      </c>
      <c r="I929" t="str">
        <f t="shared" si="23"/>
        <v>Ürün İş Listesi</v>
      </c>
    </row>
    <row r="930" spans="1:10" x14ac:dyDescent="0.25">
      <c r="A930" t="s">
        <v>77</v>
      </c>
      <c r="B930" t="s">
        <v>1889</v>
      </c>
      <c r="C930" t="s">
        <v>16</v>
      </c>
      <c r="D930" t="s">
        <v>1951</v>
      </c>
      <c r="E930" s="5" t="s">
        <v>50</v>
      </c>
      <c r="F930" s="5" t="e">
        <f>VLOOKUP(B930,'Türkkep Jira'!B:F,5,0)</f>
        <v>#N/A</v>
      </c>
      <c r="G930" t="str">
        <f>IF(IFERROR(VLOOKUP(B930,'Devam Eden Sprint'!B:B,1,0),"-")=B930,"Devam Eden Sprint","-")</f>
        <v>-</v>
      </c>
      <c r="H930" t="str">
        <f>IF(IFERROR(VLOOKUP(B930,'Gelecek Sprint'!B:B,1,0),"-")=B930,"Gelecek Sprint","-")</f>
        <v>-</v>
      </c>
      <c r="I930" t="str">
        <f t="shared" si="23"/>
        <v>Ürün İş Listesi</v>
      </c>
    </row>
    <row r="931" spans="1:10" x14ac:dyDescent="0.25">
      <c r="A931" t="s">
        <v>77</v>
      </c>
      <c r="B931" t="s">
        <v>1890</v>
      </c>
      <c r="C931" t="s">
        <v>16</v>
      </c>
      <c r="D931" t="s">
        <v>1952</v>
      </c>
      <c r="E931" s="5" t="s">
        <v>50</v>
      </c>
      <c r="F931" s="5" t="e">
        <f>VLOOKUP(B931,'Türkkep Jira'!B:F,5,0)</f>
        <v>#N/A</v>
      </c>
      <c r="G931" t="str">
        <f>IF(IFERROR(VLOOKUP(B931,'Devam Eden Sprint'!B:B,1,0),"-")=B931,"Devam Eden Sprint","-")</f>
        <v>-</v>
      </c>
      <c r="H931" t="str">
        <f>IF(IFERROR(VLOOKUP(B931,'Gelecek Sprint'!B:B,1,0),"-")=B931,"Gelecek Sprint","-")</f>
        <v>-</v>
      </c>
      <c r="I931" t="str">
        <f t="shared" si="23"/>
        <v>Ürün İş Listesi</v>
      </c>
    </row>
    <row r="932" spans="1:10" x14ac:dyDescent="0.25">
      <c r="A932" t="s">
        <v>77</v>
      </c>
      <c r="B932" t="s">
        <v>1891</v>
      </c>
      <c r="C932" t="s">
        <v>16</v>
      </c>
      <c r="D932" t="s">
        <v>1953</v>
      </c>
      <c r="E932" s="5" t="s">
        <v>44</v>
      </c>
      <c r="F932" s="5" t="e">
        <f>VLOOKUP(B932,'Türkkep Jira'!B:F,5,0)</f>
        <v>#N/A</v>
      </c>
      <c r="G932" t="str">
        <f>IF(IFERROR(VLOOKUP(B932,'Devam Eden Sprint'!B:B,1,0),"-")=B932,"Devam Eden Sprint","-")</f>
        <v>-</v>
      </c>
      <c r="H932" t="str">
        <f>IF(IFERROR(VLOOKUP(B932,'Gelecek Sprint'!B:B,1,0),"-")=B932,"Gelecek Sprint","-")</f>
        <v>-</v>
      </c>
      <c r="I932" t="str">
        <f t="shared" si="23"/>
        <v>Ürün İş Listesi</v>
      </c>
      <c r="J932" s="5">
        <v>3</v>
      </c>
    </row>
    <row r="933" spans="1:10" x14ac:dyDescent="0.25">
      <c r="A933" t="s">
        <v>77</v>
      </c>
      <c r="B933" t="s">
        <v>1892</v>
      </c>
      <c r="C933" t="s">
        <v>16</v>
      </c>
      <c r="D933" t="s">
        <v>1954</v>
      </c>
      <c r="E933" s="5" t="s">
        <v>44</v>
      </c>
      <c r="F933" s="5" t="e">
        <f>VLOOKUP(B933,'Türkkep Jira'!B:F,5,0)</f>
        <v>#N/A</v>
      </c>
      <c r="G933" t="str">
        <f>IF(IFERROR(VLOOKUP(B933,'Devam Eden Sprint'!B:B,1,0),"-")=B933,"Devam Eden Sprint","-")</f>
        <v>-</v>
      </c>
      <c r="H933" t="str">
        <f>IF(IFERROR(VLOOKUP(B933,'Gelecek Sprint'!B:B,1,0),"-")=B933,"Gelecek Sprint","-")</f>
        <v>-</v>
      </c>
      <c r="I933" t="str">
        <f t="shared" si="23"/>
        <v>Ürün İş Listesi</v>
      </c>
    </row>
    <row r="934" spans="1:10" x14ac:dyDescent="0.25">
      <c r="A934" t="s">
        <v>77</v>
      </c>
      <c r="B934" t="s">
        <v>1893</v>
      </c>
      <c r="C934" t="s">
        <v>10</v>
      </c>
      <c r="D934" t="s">
        <v>1955</v>
      </c>
      <c r="E934" s="5" t="s">
        <v>44</v>
      </c>
      <c r="F934" s="5" t="e">
        <f>VLOOKUP(B934,'Türkkep Jira'!B:F,5,0)</f>
        <v>#N/A</v>
      </c>
      <c r="G934" t="str">
        <f>IF(IFERROR(VLOOKUP(B934,'Devam Eden Sprint'!B:B,1,0),"-")=B934,"Devam Eden Sprint","-")</f>
        <v>-</v>
      </c>
      <c r="H934" t="str">
        <f>IF(IFERROR(VLOOKUP(B934,'Gelecek Sprint'!B:B,1,0),"-")=B934,"Gelecek Sprint","-")</f>
        <v>-</v>
      </c>
      <c r="I934" t="str">
        <f t="shared" si="23"/>
        <v>Ürün İş Listesi</v>
      </c>
    </row>
    <row r="935" spans="1:10" x14ac:dyDescent="0.25">
      <c r="A935" t="s">
        <v>77</v>
      </c>
      <c r="B935" t="s">
        <v>1894</v>
      </c>
      <c r="C935" t="s">
        <v>16</v>
      </c>
      <c r="D935" t="s">
        <v>1956</v>
      </c>
      <c r="E935" s="5" t="s">
        <v>44</v>
      </c>
      <c r="F935" s="5" t="e">
        <f>VLOOKUP(B935,'Türkkep Jira'!B:F,5,0)</f>
        <v>#N/A</v>
      </c>
      <c r="G935" t="str">
        <f>IF(IFERROR(VLOOKUP(B935,'Devam Eden Sprint'!B:B,1,0),"-")=B935,"Devam Eden Sprint","-")</f>
        <v>-</v>
      </c>
      <c r="H935" t="str">
        <f>IF(IFERROR(VLOOKUP(B935,'Gelecek Sprint'!B:B,1,0),"-")=B935,"Gelecek Sprint","-")</f>
        <v>-</v>
      </c>
      <c r="I935" t="str">
        <f t="shared" si="23"/>
        <v>Ürün İş Listesi</v>
      </c>
    </row>
    <row r="936" spans="1:10" x14ac:dyDescent="0.25">
      <c r="A936" t="s">
        <v>77</v>
      </c>
      <c r="B936" t="s">
        <v>1895</v>
      </c>
      <c r="C936" t="s">
        <v>16</v>
      </c>
      <c r="D936" t="s">
        <v>1957</v>
      </c>
      <c r="E936" s="5" t="s">
        <v>44</v>
      </c>
      <c r="F936" s="5" t="e">
        <f>VLOOKUP(B936,'Türkkep Jira'!B:F,5,0)</f>
        <v>#N/A</v>
      </c>
      <c r="G936" t="str">
        <f>IF(IFERROR(VLOOKUP(B936,'Devam Eden Sprint'!B:B,1,0),"-")=B936,"Devam Eden Sprint","-")</f>
        <v>-</v>
      </c>
      <c r="H936" t="str">
        <f>IF(IFERROR(VLOOKUP(B936,'Gelecek Sprint'!B:B,1,0),"-")=B936,"Gelecek Sprint","-")</f>
        <v>-</v>
      </c>
      <c r="I936" t="str">
        <f t="shared" si="23"/>
        <v>Ürün İş Listesi</v>
      </c>
    </row>
    <row r="937" spans="1:10" x14ac:dyDescent="0.25">
      <c r="A937" t="s">
        <v>77</v>
      </c>
      <c r="B937" t="s">
        <v>1896</v>
      </c>
      <c r="C937" t="s">
        <v>10</v>
      </c>
      <c r="D937" t="s">
        <v>1958</v>
      </c>
      <c r="E937" s="5" t="s">
        <v>44</v>
      </c>
      <c r="F937" s="5" t="e">
        <f>VLOOKUP(B937,'Türkkep Jira'!B:F,5,0)</f>
        <v>#N/A</v>
      </c>
      <c r="G937" t="str">
        <f>IF(IFERROR(VLOOKUP(B937,'Devam Eden Sprint'!B:B,1,0),"-")=B937,"Devam Eden Sprint","-")</f>
        <v>-</v>
      </c>
      <c r="H937" t="str">
        <f>IF(IFERROR(VLOOKUP(B937,'Gelecek Sprint'!B:B,1,0),"-")=B937,"Gelecek Sprint","-")</f>
        <v>-</v>
      </c>
      <c r="I937" t="str">
        <f t="shared" si="23"/>
        <v>Ürün İş Listesi</v>
      </c>
    </row>
    <row r="938" spans="1:10" x14ac:dyDescent="0.25">
      <c r="A938" t="s">
        <v>77</v>
      </c>
      <c r="B938" t="s">
        <v>1897</v>
      </c>
      <c r="C938" t="s">
        <v>16</v>
      </c>
      <c r="D938" t="s">
        <v>1959</v>
      </c>
      <c r="E938" s="5" t="s">
        <v>44</v>
      </c>
      <c r="F938" s="5" t="e">
        <f>VLOOKUP(B938,'Türkkep Jira'!B:F,5,0)</f>
        <v>#N/A</v>
      </c>
      <c r="G938" t="str">
        <f>IF(IFERROR(VLOOKUP(B938,'Devam Eden Sprint'!B:B,1,0),"-")=B938,"Devam Eden Sprint","-")</f>
        <v>-</v>
      </c>
      <c r="H938" t="str">
        <f>IF(IFERROR(VLOOKUP(B938,'Gelecek Sprint'!B:B,1,0),"-")=B938,"Gelecek Sprint","-")</f>
        <v>-</v>
      </c>
      <c r="I938" t="str">
        <f t="shared" si="23"/>
        <v>Ürün İş Listesi</v>
      </c>
    </row>
    <row r="939" spans="1:10" x14ac:dyDescent="0.25">
      <c r="A939" t="s">
        <v>77</v>
      </c>
      <c r="B939" t="s">
        <v>1898</v>
      </c>
      <c r="C939" t="s">
        <v>16</v>
      </c>
      <c r="D939" t="s">
        <v>1960</v>
      </c>
      <c r="E939" s="5" t="s">
        <v>44</v>
      </c>
      <c r="F939" s="5" t="e">
        <f>VLOOKUP(B939,'Türkkep Jira'!B:F,5,0)</f>
        <v>#N/A</v>
      </c>
      <c r="G939" t="str">
        <f>IF(IFERROR(VLOOKUP(B939,'Devam Eden Sprint'!B:B,1,0),"-")=B939,"Devam Eden Sprint","-")</f>
        <v>-</v>
      </c>
      <c r="H939" t="str">
        <f>IF(IFERROR(VLOOKUP(B939,'Gelecek Sprint'!B:B,1,0),"-")=B939,"Gelecek Sprint","-")</f>
        <v>-</v>
      </c>
      <c r="I939" t="str">
        <f t="shared" si="23"/>
        <v>Ürün İş Listesi</v>
      </c>
    </row>
    <row r="940" spans="1:10" x14ac:dyDescent="0.25">
      <c r="A940" t="s">
        <v>77</v>
      </c>
      <c r="B940" t="s">
        <v>1899</v>
      </c>
      <c r="C940" t="s">
        <v>16</v>
      </c>
      <c r="D940" t="s">
        <v>1961</v>
      </c>
      <c r="E940" s="5" t="s">
        <v>41</v>
      </c>
      <c r="F940" s="5" t="e">
        <f>VLOOKUP(B940,'Türkkep Jira'!B:F,5,0)</f>
        <v>#N/A</v>
      </c>
      <c r="G940" t="str">
        <f>IF(IFERROR(VLOOKUP(B940,'Devam Eden Sprint'!B:B,1,0),"-")=B940,"Devam Eden Sprint","-")</f>
        <v>-</v>
      </c>
      <c r="H940" t="str">
        <f>IF(IFERROR(VLOOKUP(B940,'Gelecek Sprint'!B:B,1,0),"-")=B940,"Gelecek Sprint","-")</f>
        <v>-</v>
      </c>
      <c r="I940" t="str">
        <f t="shared" si="23"/>
        <v>Ürün İş Listesi</v>
      </c>
    </row>
    <row r="941" spans="1:10" x14ac:dyDescent="0.25">
      <c r="A941" t="s">
        <v>77</v>
      </c>
      <c r="B941" t="s">
        <v>1821</v>
      </c>
      <c r="C941" t="s">
        <v>16</v>
      </c>
      <c r="D941" t="s">
        <v>1822</v>
      </c>
      <c r="E941" s="5" t="s">
        <v>41</v>
      </c>
      <c r="F941" s="5" t="e">
        <f>VLOOKUP(B941,'Türkkep Jira'!B:F,5,0)</f>
        <v>#N/A</v>
      </c>
      <c r="G941" t="str">
        <f>IF(IFERROR(VLOOKUP(B941,'Devam Eden Sprint'!B:B,1,0),"-")=B941,"Devam Eden Sprint","-")</f>
        <v>-</v>
      </c>
      <c r="H941" t="str">
        <f>IF(IFERROR(VLOOKUP(B941,'Gelecek Sprint'!B:B,1,0),"-")=B941,"Gelecek Sprint","-")</f>
        <v>-</v>
      </c>
      <c r="I941" t="str">
        <f t="shared" si="23"/>
        <v>Ürün İş Listesi</v>
      </c>
    </row>
    <row r="942" spans="1:10" x14ac:dyDescent="0.25">
      <c r="A942" t="s">
        <v>77</v>
      </c>
      <c r="B942" t="s">
        <v>1900</v>
      </c>
      <c r="C942" t="s">
        <v>16</v>
      </c>
      <c r="D942" t="s">
        <v>1962</v>
      </c>
      <c r="E942" s="5" t="s">
        <v>41</v>
      </c>
      <c r="F942" s="5" t="e">
        <f>VLOOKUP(B942,'Türkkep Jira'!B:F,5,0)</f>
        <v>#N/A</v>
      </c>
      <c r="G942" t="str">
        <f>IF(IFERROR(VLOOKUP(B942,'Devam Eden Sprint'!B:B,1,0),"-")=B942,"Devam Eden Sprint","-")</f>
        <v>-</v>
      </c>
      <c r="H942" t="str">
        <f>IF(IFERROR(VLOOKUP(B942,'Gelecek Sprint'!B:B,1,0),"-")=B942,"Gelecek Sprint","-")</f>
        <v>-</v>
      </c>
      <c r="I942" t="str">
        <f t="shared" si="23"/>
        <v>Ürün İş Listesi</v>
      </c>
    </row>
    <row r="943" spans="1:10" x14ac:dyDescent="0.25">
      <c r="A943" t="s">
        <v>77</v>
      </c>
      <c r="B943" t="s">
        <v>1901</v>
      </c>
      <c r="C943" t="s">
        <v>16</v>
      </c>
      <c r="D943" t="s">
        <v>1963</v>
      </c>
      <c r="E943" s="5" t="s">
        <v>41</v>
      </c>
      <c r="F943" s="5" t="e">
        <f>VLOOKUP(B943,'Türkkep Jira'!B:F,5,0)</f>
        <v>#N/A</v>
      </c>
      <c r="G943" t="str">
        <f>IF(IFERROR(VLOOKUP(B943,'Devam Eden Sprint'!B:B,1,0),"-")=B943,"Devam Eden Sprint","-")</f>
        <v>-</v>
      </c>
      <c r="H943" t="str">
        <f>IF(IFERROR(VLOOKUP(B943,'Gelecek Sprint'!B:B,1,0),"-")=B943,"Gelecek Sprint","-")</f>
        <v>-</v>
      </c>
      <c r="I943" t="str">
        <f t="shared" si="23"/>
        <v>Ürün İş Listesi</v>
      </c>
    </row>
    <row r="944" spans="1:10" x14ac:dyDescent="0.25">
      <c r="A944" t="s">
        <v>77</v>
      </c>
      <c r="B944" t="s">
        <v>1902</v>
      </c>
      <c r="C944" t="s">
        <v>16</v>
      </c>
      <c r="D944" t="s">
        <v>1964</v>
      </c>
      <c r="E944" s="5" t="s">
        <v>41</v>
      </c>
      <c r="F944" s="5" t="e">
        <f>VLOOKUP(B944,'Türkkep Jira'!B:F,5,0)</f>
        <v>#N/A</v>
      </c>
      <c r="G944" t="str">
        <f>IF(IFERROR(VLOOKUP(B944,'Devam Eden Sprint'!B:B,1,0),"-")=B944,"Devam Eden Sprint","-")</f>
        <v>-</v>
      </c>
      <c r="H944" t="str">
        <f>IF(IFERROR(VLOOKUP(B944,'Gelecek Sprint'!B:B,1,0),"-")=B944,"Gelecek Sprint","-")</f>
        <v>-</v>
      </c>
      <c r="I944" t="str">
        <f t="shared" si="23"/>
        <v>Ürün İş Listesi</v>
      </c>
    </row>
    <row r="945" spans="1:10" x14ac:dyDescent="0.25">
      <c r="A945" t="s">
        <v>77</v>
      </c>
      <c r="B945" t="s">
        <v>1903</v>
      </c>
      <c r="C945" t="s">
        <v>16</v>
      </c>
      <c r="D945" t="s">
        <v>1965</v>
      </c>
      <c r="E945" s="5" t="s">
        <v>41</v>
      </c>
      <c r="F945" s="5" t="e">
        <f>VLOOKUP(B945,'Türkkep Jira'!B:F,5,0)</f>
        <v>#N/A</v>
      </c>
      <c r="G945" t="str">
        <f>IF(IFERROR(VLOOKUP(B945,'Devam Eden Sprint'!B:B,1,0),"-")=B945,"Devam Eden Sprint","-")</f>
        <v>-</v>
      </c>
      <c r="H945" t="str">
        <f>IF(IFERROR(VLOOKUP(B945,'Gelecek Sprint'!B:B,1,0),"-")=B945,"Gelecek Sprint","-")</f>
        <v>-</v>
      </c>
      <c r="I945" t="str">
        <f t="shared" si="23"/>
        <v>Ürün İş Listesi</v>
      </c>
    </row>
    <row r="946" spans="1:10" x14ac:dyDescent="0.25">
      <c r="A946" t="s">
        <v>77</v>
      </c>
      <c r="B946" t="s">
        <v>1904</v>
      </c>
      <c r="C946" t="s">
        <v>16</v>
      </c>
      <c r="D946" t="s">
        <v>1966</v>
      </c>
      <c r="E946" s="5" t="s">
        <v>38</v>
      </c>
      <c r="F946" s="5" t="e">
        <f>VLOOKUP(B946,'Türkkep Jira'!B:F,5,0)</f>
        <v>#N/A</v>
      </c>
      <c r="G946" t="str">
        <f>IF(IFERROR(VLOOKUP(B946,'Devam Eden Sprint'!B:B,1,0),"-")=B946,"Devam Eden Sprint","-")</f>
        <v>-</v>
      </c>
      <c r="H946" t="str">
        <f>IF(IFERROR(VLOOKUP(B946,'Gelecek Sprint'!B:B,1,0),"-")=B946,"Gelecek Sprint","-")</f>
        <v>-</v>
      </c>
      <c r="I946" t="str">
        <f t="shared" si="23"/>
        <v>Ürün İş Listesi</v>
      </c>
      <c r="J946" s="5">
        <v>2</v>
      </c>
    </row>
    <row r="947" spans="1:10" x14ac:dyDescent="0.25">
      <c r="A947" t="s">
        <v>77</v>
      </c>
      <c r="B947" t="s">
        <v>1831</v>
      </c>
      <c r="C947" t="s">
        <v>16</v>
      </c>
      <c r="D947" t="s">
        <v>1832</v>
      </c>
      <c r="E947" s="5" t="s">
        <v>38</v>
      </c>
      <c r="F947" s="5" t="e">
        <f>VLOOKUP(B947,'Türkkep Jira'!B:F,5,0)</f>
        <v>#N/A</v>
      </c>
      <c r="G947" t="str">
        <f>IF(IFERROR(VLOOKUP(B947,'Devam Eden Sprint'!B:B,1,0),"-")=B947,"Devam Eden Sprint","-")</f>
        <v>-</v>
      </c>
      <c r="H947" t="str">
        <f>IF(IFERROR(VLOOKUP(B947,'Gelecek Sprint'!B:B,1,0),"-")=B947,"Gelecek Sprint","-")</f>
        <v>-</v>
      </c>
      <c r="I947" t="str">
        <f t="shared" si="23"/>
        <v>Ürün İş Listesi</v>
      </c>
    </row>
    <row r="948" spans="1:10" x14ac:dyDescent="0.25">
      <c r="A948" t="s">
        <v>77</v>
      </c>
      <c r="B948" t="s">
        <v>1905</v>
      </c>
      <c r="C948" t="s">
        <v>16</v>
      </c>
      <c r="D948" t="s">
        <v>1967</v>
      </c>
      <c r="E948" s="5" t="s">
        <v>38</v>
      </c>
      <c r="F948" s="5" t="e">
        <f>VLOOKUP(B948,'Türkkep Jira'!B:F,5,0)</f>
        <v>#N/A</v>
      </c>
      <c r="G948" t="str">
        <f>IF(IFERROR(VLOOKUP(B948,'Devam Eden Sprint'!B:B,1,0),"-")=B948,"Devam Eden Sprint","-")</f>
        <v>-</v>
      </c>
      <c r="H948" t="str">
        <f>IF(IFERROR(VLOOKUP(B948,'Gelecek Sprint'!B:B,1,0),"-")=B948,"Gelecek Sprint","-")</f>
        <v>-</v>
      </c>
      <c r="I948" t="str">
        <f t="shared" si="23"/>
        <v>Ürün İş Listesi</v>
      </c>
    </row>
    <row r="949" spans="1:10" x14ac:dyDescent="0.25">
      <c r="A949" t="s">
        <v>77</v>
      </c>
      <c r="B949" t="s">
        <v>1906</v>
      </c>
      <c r="C949" t="s">
        <v>16</v>
      </c>
      <c r="D949" t="s">
        <v>1968</v>
      </c>
      <c r="E949" s="5" t="s">
        <v>38</v>
      </c>
      <c r="F949" s="5" t="e">
        <f>VLOOKUP(B949,'Türkkep Jira'!B:F,5,0)</f>
        <v>#N/A</v>
      </c>
      <c r="G949" t="str">
        <f>IF(IFERROR(VLOOKUP(B949,'Devam Eden Sprint'!B:B,1,0),"-")=B949,"Devam Eden Sprint","-")</f>
        <v>-</v>
      </c>
      <c r="H949" t="str">
        <f>IF(IFERROR(VLOOKUP(B949,'Gelecek Sprint'!B:B,1,0),"-")=B949,"Gelecek Sprint","-")</f>
        <v>-</v>
      </c>
      <c r="I949" t="str">
        <f t="shared" si="23"/>
        <v>Ürün İş Listesi</v>
      </c>
    </row>
    <row r="950" spans="1:10" x14ac:dyDescent="0.25">
      <c r="A950" t="s">
        <v>77</v>
      </c>
      <c r="B950" t="s">
        <v>1907</v>
      </c>
      <c r="C950" t="s">
        <v>16</v>
      </c>
      <c r="D950" t="s">
        <v>1969</v>
      </c>
      <c r="E950" s="5" t="s">
        <v>38</v>
      </c>
      <c r="F950" s="5" t="e">
        <f>VLOOKUP(B950,'Türkkep Jira'!B:F,5,0)</f>
        <v>#N/A</v>
      </c>
      <c r="G950" t="str">
        <f>IF(IFERROR(VLOOKUP(B950,'Devam Eden Sprint'!B:B,1,0),"-")=B950,"Devam Eden Sprint","-")</f>
        <v>-</v>
      </c>
      <c r="H950" t="str">
        <f>IF(IFERROR(VLOOKUP(B950,'Gelecek Sprint'!B:B,1,0),"-")=B950,"Gelecek Sprint","-")</f>
        <v>-</v>
      </c>
      <c r="I950" t="str">
        <f t="shared" si="23"/>
        <v>Ürün İş Listesi</v>
      </c>
    </row>
    <row r="951" spans="1:10" x14ac:dyDescent="0.25">
      <c r="A951" t="s">
        <v>77</v>
      </c>
      <c r="B951" t="s">
        <v>1908</v>
      </c>
      <c r="C951" t="s">
        <v>16</v>
      </c>
      <c r="D951" t="s">
        <v>1970</v>
      </c>
      <c r="E951" s="5" t="s">
        <v>38</v>
      </c>
      <c r="F951" s="5" t="e">
        <f>VLOOKUP(B951,'Türkkep Jira'!B:F,5,0)</f>
        <v>#N/A</v>
      </c>
      <c r="G951" t="str">
        <f>IF(IFERROR(VLOOKUP(B951,'Devam Eden Sprint'!B:B,1,0),"-")=B951,"Devam Eden Sprint","-")</f>
        <v>-</v>
      </c>
      <c r="H951" t="str">
        <f>IF(IFERROR(VLOOKUP(B951,'Gelecek Sprint'!B:B,1,0),"-")=B951,"Gelecek Sprint","-")</f>
        <v>-</v>
      </c>
      <c r="I951" t="str">
        <f t="shared" si="23"/>
        <v>Ürün İş Listesi</v>
      </c>
    </row>
    <row r="952" spans="1:10" x14ac:dyDescent="0.25">
      <c r="A952" t="s">
        <v>77</v>
      </c>
      <c r="B952" t="s">
        <v>1909</v>
      </c>
      <c r="C952" t="s">
        <v>16</v>
      </c>
      <c r="D952" t="s">
        <v>1971</v>
      </c>
      <c r="E952" s="5" t="s">
        <v>35</v>
      </c>
      <c r="F952" s="5" t="e">
        <f>VLOOKUP(B952,'Türkkep Jira'!B:F,5,0)</f>
        <v>#N/A</v>
      </c>
      <c r="G952" t="str">
        <f>IF(IFERROR(VLOOKUP(B952,'Devam Eden Sprint'!B:B,1,0),"-")=B952,"Devam Eden Sprint","-")</f>
        <v>-</v>
      </c>
      <c r="H952" t="str">
        <f>IF(IFERROR(VLOOKUP(B952,'Gelecek Sprint'!B:B,1,0),"-")=B952,"Gelecek Sprint","-")</f>
        <v>-</v>
      </c>
      <c r="I952" t="str">
        <f t="shared" si="23"/>
        <v>Ürün İş Listesi</v>
      </c>
    </row>
    <row r="953" spans="1:10" x14ac:dyDescent="0.25">
      <c r="A953" t="s">
        <v>77</v>
      </c>
      <c r="B953" t="s">
        <v>1910</v>
      </c>
      <c r="C953" t="s">
        <v>16</v>
      </c>
      <c r="D953" t="s">
        <v>1972</v>
      </c>
      <c r="E953" s="5" t="s">
        <v>35</v>
      </c>
      <c r="F953" s="5" t="e">
        <f>VLOOKUP(B953,'Türkkep Jira'!B:F,5,0)</f>
        <v>#N/A</v>
      </c>
      <c r="G953" t="str">
        <f>IF(IFERROR(VLOOKUP(B953,'Devam Eden Sprint'!B:B,1,0),"-")=B953,"Devam Eden Sprint","-")</f>
        <v>-</v>
      </c>
      <c r="H953" t="str">
        <f>IF(IFERROR(VLOOKUP(B953,'Gelecek Sprint'!B:B,1,0),"-")=B953,"Gelecek Sprint","-")</f>
        <v>-</v>
      </c>
      <c r="I953" t="str">
        <f t="shared" si="23"/>
        <v>Ürün İş Listesi</v>
      </c>
    </row>
    <row r="954" spans="1:10" x14ac:dyDescent="0.25">
      <c r="A954" t="s">
        <v>77</v>
      </c>
      <c r="B954" t="s">
        <v>1911</v>
      </c>
      <c r="C954" t="s">
        <v>16</v>
      </c>
      <c r="D954" t="s">
        <v>1973</v>
      </c>
      <c r="E954" s="5" t="s">
        <v>35</v>
      </c>
      <c r="F954" s="5" t="e">
        <f>VLOOKUP(B954,'Türkkep Jira'!B:F,5,0)</f>
        <v>#N/A</v>
      </c>
      <c r="G954" t="str">
        <f>IF(IFERROR(VLOOKUP(B954,'Devam Eden Sprint'!B:B,1,0),"-")=B954,"Devam Eden Sprint","-")</f>
        <v>-</v>
      </c>
      <c r="H954" t="str">
        <f>IF(IFERROR(VLOOKUP(B954,'Gelecek Sprint'!B:B,1,0),"-")=B954,"Gelecek Sprint","-")</f>
        <v>-</v>
      </c>
      <c r="I954" t="str">
        <f t="shared" si="23"/>
        <v>Ürün İş Listesi</v>
      </c>
    </row>
    <row r="955" spans="1:10" x14ac:dyDescent="0.25">
      <c r="A955" t="s">
        <v>77</v>
      </c>
      <c r="B955" t="s">
        <v>1912</v>
      </c>
      <c r="C955" t="s">
        <v>16</v>
      </c>
      <c r="D955" t="s">
        <v>1974</v>
      </c>
      <c r="E955" s="5" t="s">
        <v>35</v>
      </c>
      <c r="F955" s="5" t="e">
        <f>VLOOKUP(B955,'Türkkep Jira'!B:F,5,0)</f>
        <v>#N/A</v>
      </c>
      <c r="G955" t="str">
        <f>IF(IFERROR(VLOOKUP(B955,'Devam Eden Sprint'!B:B,1,0),"-")=B955,"Devam Eden Sprint","-")</f>
        <v>-</v>
      </c>
      <c r="H955" t="str">
        <f>IF(IFERROR(VLOOKUP(B955,'Gelecek Sprint'!B:B,1,0),"-")=B955,"Gelecek Sprint","-")</f>
        <v>-</v>
      </c>
      <c r="I955" t="str">
        <f t="shared" si="23"/>
        <v>Ürün İş Listesi</v>
      </c>
    </row>
    <row r="956" spans="1:10" x14ac:dyDescent="0.25">
      <c r="A956" t="s">
        <v>77</v>
      </c>
      <c r="B956" t="s">
        <v>1913</v>
      </c>
      <c r="C956" t="s">
        <v>16</v>
      </c>
      <c r="D956" t="s">
        <v>1975</v>
      </c>
      <c r="E956" s="5" t="s">
        <v>35</v>
      </c>
      <c r="F956" s="5" t="e">
        <f>VLOOKUP(B956,'Türkkep Jira'!B:F,5,0)</f>
        <v>#N/A</v>
      </c>
      <c r="G956" t="str">
        <f>IF(IFERROR(VLOOKUP(B956,'Devam Eden Sprint'!B:B,1,0),"-")=B956,"Devam Eden Sprint","-")</f>
        <v>-</v>
      </c>
      <c r="H956" t="str">
        <f>IF(IFERROR(VLOOKUP(B956,'Gelecek Sprint'!B:B,1,0),"-")=B956,"Gelecek Sprint","-")</f>
        <v>-</v>
      </c>
      <c r="I956" t="str">
        <f t="shared" si="23"/>
        <v>Ürün İş Listesi</v>
      </c>
    </row>
    <row r="957" spans="1:10" x14ac:dyDescent="0.25">
      <c r="A957" t="s">
        <v>77</v>
      </c>
      <c r="B957" t="s">
        <v>1914</v>
      </c>
      <c r="C957" t="s">
        <v>16</v>
      </c>
      <c r="D957" t="s">
        <v>1976</v>
      </c>
      <c r="E957" s="5" t="s">
        <v>35</v>
      </c>
      <c r="F957" s="5" t="e">
        <f>VLOOKUP(B957,'Türkkep Jira'!B:F,5,0)</f>
        <v>#N/A</v>
      </c>
      <c r="G957" t="str">
        <f>IF(IFERROR(VLOOKUP(B957,'Devam Eden Sprint'!B:B,1,0),"-")=B957,"Devam Eden Sprint","-")</f>
        <v>-</v>
      </c>
      <c r="H957" t="str">
        <f>IF(IFERROR(VLOOKUP(B957,'Gelecek Sprint'!B:B,1,0),"-")=B957,"Gelecek Sprint","-")</f>
        <v>-</v>
      </c>
      <c r="I957" t="str">
        <f t="shared" si="23"/>
        <v>Ürün İş Listesi</v>
      </c>
    </row>
    <row r="958" spans="1:10" x14ac:dyDescent="0.25">
      <c r="A958" t="s">
        <v>77</v>
      </c>
      <c r="B958" t="s">
        <v>1915</v>
      </c>
      <c r="C958" t="s">
        <v>16</v>
      </c>
      <c r="D958" t="s">
        <v>1977</v>
      </c>
      <c r="E958" s="5" t="s">
        <v>35</v>
      </c>
      <c r="F958" s="5" t="e">
        <f>VLOOKUP(B958,'Türkkep Jira'!B:F,5,0)</f>
        <v>#N/A</v>
      </c>
      <c r="G958" t="str">
        <f>IF(IFERROR(VLOOKUP(B958,'Devam Eden Sprint'!B:B,1,0),"-")=B958,"Devam Eden Sprint","-")</f>
        <v>-</v>
      </c>
      <c r="H958" t="str">
        <f>IF(IFERROR(VLOOKUP(B958,'Gelecek Sprint'!B:B,1,0),"-")=B958,"Gelecek Sprint","-")</f>
        <v>-</v>
      </c>
      <c r="I958" t="str">
        <f t="shared" si="23"/>
        <v>Ürün İş Listesi</v>
      </c>
    </row>
    <row r="959" spans="1:10" x14ac:dyDescent="0.25">
      <c r="A959" t="s">
        <v>77</v>
      </c>
      <c r="B959" t="s">
        <v>1916</v>
      </c>
      <c r="C959" t="s">
        <v>16</v>
      </c>
      <c r="D959" t="s">
        <v>1978</v>
      </c>
      <c r="E959" s="5" t="s">
        <v>35</v>
      </c>
      <c r="F959" s="5" t="e">
        <f>VLOOKUP(B959,'Türkkep Jira'!B:F,5,0)</f>
        <v>#N/A</v>
      </c>
      <c r="G959" t="str">
        <f>IF(IFERROR(VLOOKUP(B959,'Devam Eden Sprint'!B:B,1,0),"-")=B959,"Devam Eden Sprint","-")</f>
        <v>-</v>
      </c>
      <c r="H959" t="str">
        <f>IF(IFERROR(VLOOKUP(B959,'Gelecek Sprint'!B:B,1,0),"-")=B959,"Gelecek Sprint","-")</f>
        <v>-</v>
      </c>
      <c r="I959" t="str">
        <f t="shared" si="23"/>
        <v>Ürün İş Listesi</v>
      </c>
    </row>
    <row r="960" spans="1:10" x14ac:dyDescent="0.25">
      <c r="A960" t="s">
        <v>77</v>
      </c>
      <c r="B960" t="s">
        <v>1917</v>
      </c>
      <c r="C960" t="s">
        <v>16</v>
      </c>
      <c r="D960" t="s">
        <v>1979</v>
      </c>
      <c r="E960" s="5" t="s">
        <v>35</v>
      </c>
      <c r="F960" s="5" t="e">
        <f>VLOOKUP(B960,'Türkkep Jira'!B:F,5,0)</f>
        <v>#N/A</v>
      </c>
      <c r="G960" t="str">
        <f>IF(IFERROR(VLOOKUP(B960,'Devam Eden Sprint'!B:B,1,0),"-")=B960,"Devam Eden Sprint","-")</f>
        <v>-</v>
      </c>
      <c r="H960" t="str">
        <f>IF(IFERROR(VLOOKUP(B960,'Gelecek Sprint'!B:B,1,0),"-")=B960,"Gelecek Sprint","-")</f>
        <v>-</v>
      </c>
      <c r="I960" t="str">
        <f t="shared" si="23"/>
        <v>Ürün İş Listesi</v>
      </c>
    </row>
    <row r="961" spans="1:10" x14ac:dyDescent="0.25">
      <c r="A961" t="s">
        <v>77</v>
      </c>
      <c r="B961" t="s">
        <v>1918</v>
      </c>
      <c r="C961" t="s">
        <v>16</v>
      </c>
      <c r="D961" t="s">
        <v>1980</v>
      </c>
      <c r="E961" s="5" t="s">
        <v>12</v>
      </c>
      <c r="F961" s="5" t="e">
        <f>VLOOKUP(B961,'Türkkep Jira'!B:F,5,0)</f>
        <v>#N/A</v>
      </c>
      <c r="G961" t="str">
        <f>IF(IFERROR(VLOOKUP(B961,'Devam Eden Sprint'!B:B,1,0),"-")=B961,"Devam Eden Sprint","-")</f>
        <v>-</v>
      </c>
      <c r="H961" t="str">
        <f>IF(IFERROR(VLOOKUP(B961,'Gelecek Sprint'!B:B,1,0),"-")=B961,"Gelecek Sprint","-")</f>
        <v>-</v>
      </c>
      <c r="I961" t="str">
        <f t="shared" si="23"/>
        <v>Ürün İş Listesi</v>
      </c>
    </row>
    <row r="962" spans="1:10" x14ac:dyDescent="0.25">
      <c r="A962" t="s">
        <v>77</v>
      </c>
      <c r="B962" t="s">
        <v>1919</v>
      </c>
      <c r="C962" t="s">
        <v>16</v>
      </c>
      <c r="D962" t="s">
        <v>1981</v>
      </c>
      <c r="E962" s="5" t="s">
        <v>12</v>
      </c>
      <c r="F962" s="5" t="e">
        <f>VLOOKUP(B962,'Türkkep Jira'!B:F,5,0)</f>
        <v>#N/A</v>
      </c>
      <c r="G962" t="str">
        <f>IF(IFERROR(VLOOKUP(B962,'Devam Eden Sprint'!B:B,1,0),"-")=B962,"Devam Eden Sprint","-")</f>
        <v>-</v>
      </c>
      <c r="H962" t="str">
        <f>IF(IFERROR(VLOOKUP(B962,'Gelecek Sprint'!B:B,1,0),"-")=B962,"Gelecek Sprint","-")</f>
        <v>-</v>
      </c>
      <c r="I962" t="str">
        <f t="shared" si="23"/>
        <v>Ürün İş Listesi</v>
      </c>
    </row>
    <row r="963" spans="1:10" x14ac:dyDescent="0.25">
      <c r="A963" t="s">
        <v>77</v>
      </c>
      <c r="B963" t="s">
        <v>1920</v>
      </c>
      <c r="C963" t="s">
        <v>16</v>
      </c>
      <c r="D963" t="s">
        <v>1982</v>
      </c>
      <c r="E963" s="5" t="s">
        <v>12</v>
      </c>
      <c r="F963" s="5" t="e">
        <f>VLOOKUP(B963,'Türkkep Jira'!B:F,5,0)</f>
        <v>#N/A</v>
      </c>
      <c r="G963" t="str">
        <f>IF(IFERROR(VLOOKUP(B963,'Devam Eden Sprint'!B:B,1,0),"-")=B963,"Devam Eden Sprint","-")</f>
        <v>-</v>
      </c>
      <c r="H963" t="str">
        <f>IF(IFERROR(VLOOKUP(B963,'Gelecek Sprint'!B:B,1,0),"-")=B963,"Gelecek Sprint","-")</f>
        <v>-</v>
      </c>
      <c r="I963" t="str">
        <f t="shared" si="23"/>
        <v>Ürün İş Listesi</v>
      </c>
    </row>
    <row r="964" spans="1:10" x14ac:dyDescent="0.25">
      <c r="A964" t="s">
        <v>77</v>
      </c>
      <c r="B964" t="s">
        <v>1921</v>
      </c>
      <c r="C964" t="s">
        <v>16</v>
      </c>
      <c r="D964" t="s">
        <v>1983</v>
      </c>
      <c r="E964" s="5" t="s">
        <v>12</v>
      </c>
      <c r="F964" s="5" t="e">
        <f>VLOOKUP(B964,'Türkkep Jira'!B:F,5,0)</f>
        <v>#N/A</v>
      </c>
      <c r="G964" t="str">
        <f>IF(IFERROR(VLOOKUP(B964,'Devam Eden Sprint'!B:B,1,0),"-")=B964,"Devam Eden Sprint","-")</f>
        <v>-</v>
      </c>
      <c r="H964" t="str">
        <f>IF(IFERROR(VLOOKUP(B964,'Gelecek Sprint'!B:B,1,0),"-")=B964,"Gelecek Sprint","-")</f>
        <v>-</v>
      </c>
      <c r="I964" t="str">
        <f t="shared" si="23"/>
        <v>Ürün İş Listesi</v>
      </c>
    </row>
    <row r="965" spans="1:10" x14ac:dyDescent="0.25">
      <c r="A965" t="s">
        <v>14</v>
      </c>
      <c r="B965" t="s">
        <v>1988</v>
      </c>
      <c r="C965" t="s">
        <v>16</v>
      </c>
      <c r="D965" t="s">
        <v>1989</v>
      </c>
      <c r="E965" s="5" t="s">
        <v>12</v>
      </c>
      <c r="F965" s="5" t="e">
        <f>VLOOKUP(B965,'Türkkep Jira'!B:F,5,0)</f>
        <v>#N/A</v>
      </c>
      <c r="G965" t="str">
        <f>IF(IFERROR(VLOOKUP(B965,'Devam Eden Sprint'!B:B,1,0),"-")=B965,"Devam Eden Sprint","-")</f>
        <v>-</v>
      </c>
      <c r="H965" t="str">
        <f>IF(IFERROR(VLOOKUP(B965,'Gelecek Sprint'!B:B,1,0),"-")=B965,"Gelecek Sprint","-")</f>
        <v>-</v>
      </c>
      <c r="I965" t="str">
        <f t="shared" ref="I965:I998" si="24">IFERROR(IF(AND(G965="Devam Eden Sprint",H965="Gelecek Sprint"),"Devam Eden ve Gelecek Sprint",IF(G965="Devam Eden Sprint","Devam Eden Sprint",IF(H965="Gelecek Sprint","Gelecek Sprint","Ürün İş Listesi"))),"Ürün İş Listesi")</f>
        <v>Ürün İş Listesi</v>
      </c>
      <c r="J965" s="5">
        <v>1</v>
      </c>
    </row>
    <row r="966" spans="1:10" x14ac:dyDescent="0.25">
      <c r="A966" t="s">
        <v>14</v>
      </c>
      <c r="B966" t="s">
        <v>1990</v>
      </c>
      <c r="C966" t="s">
        <v>16</v>
      </c>
      <c r="D966" t="s">
        <v>1991</v>
      </c>
      <c r="E966" s="5" t="s">
        <v>12</v>
      </c>
      <c r="F966" s="5" t="e">
        <f>VLOOKUP(B966,'Türkkep Jira'!B:F,5,0)</f>
        <v>#N/A</v>
      </c>
      <c r="G966" t="str">
        <f>IF(IFERROR(VLOOKUP(B966,'Devam Eden Sprint'!B:B,1,0),"-")=B966,"Devam Eden Sprint","-")</f>
        <v>-</v>
      </c>
      <c r="H966" t="str">
        <f>IF(IFERROR(VLOOKUP(B966,'Gelecek Sprint'!B:B,1,0),"-")=B966,"Gelecek Sprint","-")</f>
        <v>-</v>
      </c>
      <c r="I966" t="str">
        <f t="shared" si="24"/>
        <v>Ürün İş Listesi</v>
      </c>
      <c r="J966" s="5">
        <v>1</v>
      </c>
    </row>
    <row r="967" spans="1:10" x14ac:dyDescent="0.25">
      <c r="A967" t="s">
        <v>14</v>
      </c>
      <c r="B967" t="s">
        <v>1992</v>
      </c>
      <c r="C967" t="s">
        <v>16</v>
      </c>
      <c r="D967" t="s">
        <v>1993</v>
      </c>
      <c r="E967" s="5" t="s">
        <v>12</v>
      </c>
      <c r="F967" s="5" t="e">
        <f>VLOOKUP(B967,'Türkkep Jira'!B:F,5,0)</f>
        <v>#N/A</v>
      </c>
      <c r="G967" t="str">
        <f>IF(IFERROR(VLOOKUP(B967,'Devam Eden Sprint'!B:B,1,0),"-")=B967,"Devam Eden Sprint","-")</f>
        <v>-</v>
      </c>
      <c r="H967" t="str">
        <f>IF(IFERROR(VLOOKUP(B967,'Gelecek Sprint'!B:B,1,0),"-")=B967,"Gelecek Sprint","-")</f>
        <v>-</v>
      </c>
      <c r="I967" t="str">
        <f t="shared" si="24"/>
        <v>Ürün İş Listesi</v>
      </c>
      <c r="J967" s="5">
        <v>3</v>
      </c>
    </row>
    <row r="968" spans="1:10" x14ac:dyDescent="0.25">
      <c r="A968" t="s">
        <v>14</v>
      </c>
      <c r="B968" t="s">
        <v>1994</v>
      </c>
      <c r="C968" t="s">
        <v>28</v>
      </c>
      <c r="D968" t="s">
        <v>1995</v>
      </c>
      <c r="E968" s="5" t="s">
        <v>12</v>
      </c>
      <c r="F968" s="5" t="e">
        <f>VLOOKUP(B968,'Türkkep Jira'!B:F,5,0)</f>
        <v>#N/A</v>
      </c>
      <c r="G968" t="str">
        <f>IF(IFERROR(VLOOKUP(B968,'Devam Eden Sprint'!B:B,1,0),"-")=B968,"Devam Eden Sprint","-")</f>
        <v>-</v>
      </c>
      <c r="H968" t="str">
        <f>IF(IFERROR(VLOOKUP(B968,'Gelecek Sprint'!B:B,1,0),"-")=B968,"Gelecek Sprint","-")</f>
        <v>-</v>
      </c>
      <c r="I968" t="str">
        <f t="shared" si="24"/>
        <v>Ürün İş Listesi</v>
      </c>
      <c r="J968" s="5">
        <v>3</v>
      </c>
    </row>
    <row r="969" spans="1:10" x14ac:dyDescent="0.25">
      <c r="A969" t="s">
        <v>14</v>
      </c>
      <c r="B969" t="s">
        <v>1996</v>
      </c>
      <c r="C969" t="s">
        <v>16</v>
      </c>
      <c r="D969" t="s">
        <v>1997</v>
      </c>
      <c r="E969" s="5" t="s">
        <v>12</v>
      </c>
      <c r="F969" s="5" t="e">
        <f>VLOOKUP(B969,'Türkkep Jira'!B:F,5,0)</f>
        <v>#N/A</v>
      </c>
      <c r="G969" t="str">
        <f>IF(IFERROR(VLOOKUP(B969,'Devam Eden Sprint'!B:B,1,0),"-")=B969,"Devam Eden Sprint","-")</f>
        <v>-</v>
      </c>
      <c r="H969" t="str">
        <f>IF(IFERROR(VLOOKUP(B969,'Gelecek Sprint'!B:B,1,0),"-")=B969,"Gelecek Sprint","-")</f>
        <v>-</v>
      </c>
      <c r="I969" t="str">
        <f t="shared" si="24"/>
        <v>Ürün İş Listesi</v>
      </c>
      <c r="J969" s="5">
        <v>3</v>
      </c>
    </row>
    <row r="970" spans="1:10" x14ac:dyDescent="0.25">
      <c r="A970" t="s">
        <v>14</v>
      </c>
      <c r="B970" t="s">
        <v>1998</v>
      </c>
      <c r="C970" t="s">
        <v>28</v>
      </c>
      <c r="D970" t="s">
        <v>1999</v>
      </c>
      <c r="E970" s="5" t="s">
        <v>12</v>
      </c>
      <c r="F970" s="5" t="e">
        <f>VLOOKUP(B970,'Türkkep Jira'!B:F,5,0)</f>
        <v>#N/A</v>
      </c>
      <c r="G970" t="str">
        <f>IF(IFERROR(VLOOKUP(B970,'Devam Eden Sprint'!B:B,1,0),"-")=B970,"Devam Eden Sprint","-")</f>
        <v>-</v>
      </c>
      <c r="H970" t="str">
        <f>IF(IFERROR(VLOOKUP(B970,'Gelecek Sprint'!B:B,1,0),"-")=B970,"Gelecek Sprint","-")</f>
        <v>-</v>
      </c>
      <c r="I970" t="str">
        <f t="shared" si="24"/>
        <v>Ürün İş Listesi</v>
      </c>
      <c r="J970" s="5">
        <v>3</v>
      </c>
    </row>
    <row r="971" spans="1:10" x14ac:dyDescent="0.25">
      <c r="A971" t="s">
        <v>14</v>
      </c>
      <c r="B971" t="s">
        <v>2000</v>
      </c>
      <c r="C971" t="s">
        <v>16</v>
      </c>
      <c r="D971" t="s">
        <v>2001</v>
      </c>
      <c r="E971" s="5" t="s">
        <v>12</v>
      </c>
      <c r="F971" s="5" t="e">
        <f>VLOOKUP(B971,'Türkkep Jira'!B:F,5,0)</f>
        <v>#N/A</v>
      </c>
      <c r="G971" t="str">
        <f>IF(IFERROR(VLOOKUP(B971,'Devam Eden Sprint'!B:B,1,0),"-")=B971,"Devam Eden Sprint","-")</f>
        <v>-</v>
      </c>
      <c r="H971" t="str">
        <f>IF(IFERROR(VLOOKUP(B971,'Gelecek Sprint'!B:B,1,0),"-")=B971,"Gelecek Sprint","-")</f>
        <v>-</v>
      </c>
      <c r="I971" t="str">
        <f t="shared" si="24"/>
        <v>Ürün İş Listesi</v>
      </c>
      <c r="J971" s="5">
        <v>2</v>
      </c>
    </row>
    <row r="972" spans="1:10" x14ac:dyDescent="0.25">
      <c r="A972" t="s">
        <v>14</v>
      </c>
      <c r="B972" t="s">
        <v>2002</v>
      </c>
      <c r="C972" t="s">
        <v>16</v>
      </c>
      <c r="D972" t="s">
        <v>2003</v>
      </c>
      <c r="E972" s="5" t="s">
        <v>12</v>
      </c>
      <c r="F972" s="5" t="e">
        <f>VLOOKUP(B972,'Türkkep Jira'!B:F,5,0)</f>
        <v>#N/A</v>
      </c>
      <c r="G972" t="str">
        <f>IF(IFERROR(VLOOKUP(B972,'Devam Eden Sprint'!B:B,1,0),"-")=B972,"Devam Eden Sprint","-")</f>
        <v>-</v>
      </c>
      <c r="H972" t="str">
        <f>IF(IFERROR(VLOOKUP(B972,'Gelecek Sprint'!B:B,1,0),"-")=B972,"Gelecek Sprint","-")</f>
        <v>-</v>
      </c>
      <c r="I972" t="str">
        <f t="shared" si="24"/>
        <v>Ürün İş Listesi</v>
      </c>
      <c r="J972" s="5">
        <v>3</v>
      </c>
    </row>
    <row r="973" spans="1:10" x14ac:dyDescent="0.25">
      <c r="A973" t="s">
        <v>14</v>
      </c>
      <c r="B973" t="s">
        <v>2004</v>
      </c>
      <c r="C973" t="s">
        <v>16</v>
      </c>
      <c r="D973" t="s">
        <v>2005</v>
      </c>
      <c r="E973" s="5" t="s">
        <v>12</v>
      </c>
      <c r="F973" s="5" t="e">
        <f>VLOOKUP(B973,'Türkkep Jira'!B:F,5,0)</f>
        <v>#N/A</v>
      </c>
      <c r="G973" t="str">
        <f>IF(IFERROR(VLOOKUP(B973,'Devam Eden Sprint'!B:B,1,0),"-")=B973,"Devam Eden Sprint","-")</f>
        <v>-</v>
      </c>
      <c r="H973" t="str">
        <f>IF(IFERROR(VLOOKUP(B973,'Gelecek Sprint'!B:B,1,0),"-")=B973,"Gelecek Sprint","-")</f>
        <v>-</v>
      </c>
      <c r="I973" t="str">
        <f t="shared" si="24"/>
        <v>Ürün İş Listesi</v>
      </c>
      <c r="J973" s="5">
        <v>2</v>
      </c>
    </row>
    <row r="974" spans="1:10" x14ac:dyDescent="0.25">
      <c r="A974" t="s">
        <v>14</v>
      </c>
      <c r="B974" t="s">
        <v>2006</v>
      </c>
      <c r="C974" t="s">
        <v>16</v>
      </c>
      <c r="D974" t="s">
        <v>2007</v>
      </c>
      <c r="E974" s="5" t="s">
        <v>12</v>
      </c>
      <c r="F974" s="5" t="e">
        <f>VLOOKUP(B974,'Türkkep Jira'!B:F,5,0)</f>
        <v>#N/A</v>
      </c>
      <c r="G974" t="str">
        <f>IF(IFERROR(VLOOKUP(B974,'Devam Eden Sprint'!B:B,1,0),"-")=B974,"Devam Eden Sprint","-")</f>
        <v>-</v>
      </c>
      <c r="H974" t="str">
        <f>IF(IFERROR(VLOOKUP(B974,'Gelecek Sprint'!B:B,1,0),"-")=B974,"Gelecek Sprint","-")</f>
        <v>-</v>
      </c>
      <c r="I974" t="str">
        <f t="shared" si="24"/>
        <v>Ürün İş Listesi</v>
      </c>
      <c r="J974" s="5">
        <v>1</v>
      </c>
    </row>
    <row r="975" spans="1:10" x14ac:dyDescent="0.25">
      <c r="A975" t="s">
        <v>14</v>
      </c>
      <c r="B975" t="s">
        <v>2008</v>
      </c>
      <c r="C975" t="s">
        <v>16</v>
      </c>
      <c r="D975" t="s">
        <v>2009</v>
      </c>
      <c r="E975" s="5" t="s">
        <v>12</v>
      </c>
      <c r="F975" s="5" t="e">
        <f>VLOOKUP(B975,'Türkkep Jira'!B:F,5,0)</f>
        <v>#N/A</v>
      </c>
      <c r="G975" t="str">
        <f>IF(IFERROR(VLOOKUP(B975,'Devam Eden Sprint'!B:B,1,0),"-")=B975,"Devam Eden Sprint","-")</f>
        <v>-</v>
      </c>
      <c r="H975" t="str">
        <f>IF(IFERROR(VLOOKUP(B975,'Gelecek Sprint'!B:B,1,0),"-")=B975,"Gelecek Sprint","-")</f>
        <v>-</v>
      </c>
      <c r="I975" t="str">
        <f t="shared" si="24"/>
        <v>Ürün İş Listesi</v>
      </c>
      <c r="J975" s="5">
        <v>1</v>
      </c>
    </row>
    <row r="976" spans="1:10" x14ac:dyDescent="0.25">
      <c r="A976" t="s">
        <v>14</v>
      </c>
      <c r="B976" t="s">
        <v>2014</v>
      </c>
      <c r="C976" t="s">
        <v>16</v>
      </c>
      <c r="D976" t="s">
        <v>2019</v>
      </c>
      <c r="E976" s="5" t="s">
        <v>44</v>
      </c>
      <c r="F976" s="5" t="e">
        <f>VLOOKUP(B976,'Türkkep Jira'!B:F,5,0)</f>
        <v>#N/A</v>
      </c>
      <c r="G976" t="str">
        <f>IF(IFERROR(VLOOKUP(B976,'Devam Eden Sprint'!B:B,1,0),"-")=B976,"Devam Eden Sprint","-")</f>
        <v>-</v>
      </c>
      <c r="H976" t="str">
        <f>IF(IFERROR(VLOOKUP(B976,'Gelecek Sprint'!B:B,1,0),"-")=B976,"Gelecek Sprint","-")</f>
        <v>-</v>
      </c>
      <c r="I976" t="str">
        <f t="shared" si="24"/>
        <v>Ürün İş Listesi</v>
      </c>
      <c r="J976" s="5">
        <v>5</v>
      </c>
    </row>
    <row r="977" spans="1:10" x14ac:dyDescent="0.25">
      <c r="A977" t="s">
        <v>77</v>
      </c>
      <c r="B977" t="s">
        <v>2015</v>
      </c>
      <c r="C977" t="s">
        <v>16</v>
      </c>
      <c r="D977" t="s">
        <v>2020</v>
      </c>
      <c r="E977" s="5" t="s">
        <v>44</v>
      </c>
      <c r="F977" s="5" t="e">
        <f>VLOOKUP(B977,'Türkkep Jira'!B:F,5,0)</f>
        <v>#N/A</v>
      </c>
      <c r="G977" t="str">
        <f>IF(IFERROR(VLOOKUP(B977,'Devam Eden Sprint'!B:B,1,0),"-")=B977,"Devam Eden Sprint","-")</f>
        <v>-</v>
      </c>
      <c r="H977" t="str">
        <f>IF(IFERROR(VLOOKUP(B977,'Gelecek Sprint'!B:B,1,0),"-")=B977,"Gelecek Sprint","-")</f>
        <v>-</v>
      </c>
      <c r="I977" t="str">
        <f t="shared" si="24"/>
        <v>Ürün İş Listesi</v>
      </c>
      <c r="J977" s="5">
        <v>3</v>
      </c>
    </row>
    <row r="978" spans="1:10" x14ac:dyDescent="0.25">
      <c r="A978" t="s">
        <v>14</v>
      </c>
      <c r="B978" t="s">
        <v>2016</v>
      </c>
      <c r="C978" t="s">
        <v>16</v>
      </c>
      <c r="D978" t="s">
        <v>2021</v>
      </c>
      <c r="E978" s="5" t="s">
        <v>50</v>
      </c>
      <c r="F978" s="5" t="str">
        <f>VLOOKUP(B978,'Türkkep Jira'!B:F,5,0)</f>
        <v>Done</v>
      </c>
      <c r="G978" t="str">
        <f>IF(IFERROR(VLOOKUP(B978,'Devam Eden Sprint'!B:B,1,0),"-")=B978,"Devam Eden Sprint","-")</f>
        <v>-</v>
      </c>
      <c r="H978" t="str">
        <f>IF(IFERROR(VLOOKUP(B978,'Gelecek Sprint'!B:B,1,0),"-")=B978,"Gelecek Sprint","-")</f>
        <v>-</v>
      </c>
      <c r="I978" t="str">
        <f t="shared" si="24"/>
        <v>Ürün İş Listesi</v>
      </c>
      <c r="J978" s="5">
        <v>5</v>
      </c>
    </row>
    <row r="979" spans="1:10" x14ac:dyDescent="0.25">
      <c r="A979" t="s">
        <v>14</v>
      </c>
      <c r="B979" t="s">
        <v>2017</v>
      </c>
      <c r="C979" t="s">
        <v>16</v>
      </c>
      <c r="D979" t="s">
        <v>2022</v>
      </c>
      <c r="E979" s="5" t="s">
        <v>50</v>
      </c>
      <c r="F979" s="5" t="e">
        <f>VLOOKUP(B979,'Türkkep Jira'!B:F,5,0)</f>
        <v>#N/A</v>
      </c>
      <c r="G979" t="str">
        <f>IF(IFERROR(VLOOKUP(B979,'Devam Eden Sprint'!B:B,1,0),"-")=B979,"Devam Eden Sprint","-")</f>
        <v>-</v>
      </c>
      <c r="H979" t="str">
        <f>IF(IFERROR(VLOOKUP(B979,'Gelecek Sprint'!B:B,1,0),"-")=B979,"Gelecek Sprint","-")</f>
        <v>-</v>
      </c>
      <c r="I979" t="str">
        <f t="shared" si="24"/>
        <v>Ürün İş Listesi</v>
      </c>
      <c r="J979" s="5">
        <v>2</v>
      </c>
    </row>
    <row r="980" spans="1:10" x14ac:dyDescent="0.25">
      <c r="A980" t="s">
        <v>14</v>
      </c>
      <c r="B980" t="s">
        <v>2018</v>
      </c>
      <c r="C980" t="s">
        <v>16</v>
      </c>
      <c r="D980" t="s">
        <v>2023</v>
      </c>
      <c r="E980" s="5" t="s">
        <v>59</v>
      </c>
      <c r="F980" s="5" t="e">
        <f>VLOOKUP(B980,'Türkkep Jira'!B:F,5,0)</f>
        <v>#N/A</v>
      </c>
      <c r="G980" t="str">
        <f>IF(IFERROR(VLOOKUP(B980,'Devam Eden Sprint'!B:B,1,0),"-")=B980,"Devam Eden Sprint","-")</f>
        <v>-</v>
      </c>
      <c r="H980" t="str">
        <f>IF(IFERROR(VLOOKUP(B980,'Gelecek Sprint'!B:B,1,0),"-")=B980,"Gelecek Sprint","-")</f>
        <v>-</v>
      </c>
      <c r="I980" t="str">
        <f t="shared" si="24"/>
        <v>Ürün İş Listesi</v>
      </c>
      <c r="J980" s="5">
        <v>5</v>
      </c>
    </row>
    <row r="981" spans="1:10" x14ac:dyDescent="0.25">
      <c r="A981" t="s">
        <v>14</v>
      </c>
      <c r="B981" t="s">
        <v>2010</v>
      </c>
      <c r="C981" t="s">
        <v>28</v>
      </c>
      <c r="D981" t="s">
        <v>2011</v>
      </c>
      <c r="E981" s="5" t="s">
        <v>12</v>
      </c>
      <c r="F981" s="5" t="e">
        <f>VLOOKUP(B981,'Türkkep Jira'!B:F,5,0)</f>
        <v>#N/A</v>
      </c>
      <c r="G981" t="str">
        <f>IF(IFERROR(VLOOKUP(B981,'Devam Eden Sprint'!B:B,1,0),"-")=B981,"Devam Eden Sprint","-")</f>
        <v>-</v>
      </c>
      <c r="H981" t="str">
        <f>IF(IFERROR(VLOOKUP(B981,'Gelecek Sprint'!B:B,1,0),"-")=B981,"Gelecek Sprint","-")</f>
        <v>-</v>
      </c>
      <c r="I981" t="str">
        <f t="shared" si="24"/>
        <v>Ürün İş Listesi</v>
      </c>
      <c r="J981" s="5">
        <v>5</v>
      </c>
    </row>
    <row r="982" spans="1:10" x14ac:dyDescent="0.25">
      <c r="A982" t="s">
        <v>14</v>
      </c>
      <c r="B982" t="s">
        <v>2012</v>
      </c>
      <c r="C982" t="s">
        <v>16</v>
      </c>
      <c r="D982" t="s">
        <v>2013</v>
      </c>
      <c r="E982" s="5" t="s">
        <v>12</v>
      </c>
      <c r="F982" s="5" t="e">
        <f>VLOOKUP(B982,'Türkkep Jira'!B:F,5,0)</f>
        <v>#N/A</v>
      </c>
      <c r="G982" t="str">
        <f>IF(IFERROR(VLOOKUP(B982,'Devam Eden Sprint'!B:B,1,0),"-")=B982,"Devam Eden Sprint","-")</f>
        <v>-</v>
      </c>
      <c r="H982" t="str">
        <f>IF(IFERROR(VLOOKUP(B982,'Gelecek Sprint'!B:B,1,0),"-")=B982,"Gelecek Sprint","-")</f>
        <v>-</v>
      </c>
      <c r="I982" t="str">
        <f t="shared" si="24"/>
        <v>Ürün İş Listesi</v>
      </c>
      <c r="J982" s="5">
        <v>3</v>
      </c>
    </row>
    <row r="983" spans="1:10" x14ac:dyDescent="0.25">
      <c r="A983" t="s">
        <v>14</v>
      </c>
      <c r="B983" t="s">
        <v>2024</v>
      </c>
      <c r="C983" t="s">
        <v>16</v>
      </c>
      <c r="D983" t="s">
        <v>2031</v>
      </c>
      <c r="E983" s="5" t="s">
        <v>44</v>
      </c>
      <c r="F983" s="5" t="e">
        <f>VLOOKUP(B983,'Türkkep Jira'!B:F,5,0)</f>
        <v>#N/A</v>
      </c>
      <c r="G983" t="str">
        <f>IF(IFERROR(VLOOKUP(B983,'Devam Eden Sprint'!B:B,1,0),"-")=B983,"Devam Eden Sprint","-")</f>
        <v>-</v>
      </c>
      <c r="H983" t="str">
        <f>IF(IFERROR(VLOOKUP(B983,'Gelecek Sprint'!B:B,1,0),"-")=B983,"Gelecek Sprint","-")</f>
        <v>-</v>
      </c>
      <c r="I983" t="str">
        <f t="shared" si="24"/>
        <v>Ürün İş Listesi</v>
      </c>
      <c r="J983" s="5">
        <v>3</v>
      </c>
    </row>
    <row r="984" spans="1:10" x14ac:dyDescent="0.25">
      <c r="A984" t="s">
        <v>14</v>
      </c>
      <c r="B984" t="s">
        <v>2025</v>
      </c>
      <c r="C984" t="s">
        <v>16</v>
      </c>
      <c r="D984" t="s">
        <v>2032</v>
      </c>
      <c r="E984" s="5" t="s">
        <v>44</v>
      </c>
      <c r="F984" s="5" t="e">
        <f>VLOOKUP(B984,'Türkkep Jira'!B:F,5,0)</f>
        <v>#N/A</v>
      </c>
      <c r="G984" t="str">
        <f>IF(IFERROR(VLOOKUP(B984,'Devam Eden Sprint'!B:B,1,0),"-")=B984,"Devam Eden Sprint","-")</f>
        <v>-</v>
      </c>
      <c r="H984" t="str">
        <f>IF(IFERROR(VLOOKUP(B984,'Gelecek Sprint'!B:B,1,0),"-")=B984,"Gelecek Sprint","-")</f>
        <v>-</v>
      </c>
      <c r="I984" t="str">
        <f t="shared" si="24"/>
        <v>Ürün İş Listesi</v>
      </c>
      <c r="J984" s="5">
        <v>3</v>
      </c>
    </row>
    <row r="985" spans="1:10" x14ac:dyDescent="0.25">
      <c r="A985" t="s">
        <v>14</v>
      </c>
      <c r="B985" t="s">
        <v>2026</v>
      </c>
      <c r="C985" t="s">
        <v>26</v>
      </c>
      <c r="D985" t="s">
        <v>1719</v>
      </c>
      <c r="E985" s="5" t="s">
        <v>56</v>
      </c>
      <c r="F985" s="5" t="e">
        <f>VLOOKUP(B985,'Türkkep Jira'!B:F,5,0)</f>
        <v>#N/A</v>
      </c>
      <c r="G985" t="str">
        <f>IF(IFERROR(VLOOKUP(B985,'Devam Eden Sprint'!B:B,1,0),"-")=B985,"Devam Eden Sprint","-")</f>
        <v>-</v>
      </c>
      <c r="H985" t="str">
        <f>IF(IFERROR(VLOOKUP(B985,'Gelecek Sprint'!B:B,1,0),"-")=B985,"Gelecek Sprint","-")</f>
        <v>-</v>
      </c>
      <c r="I985" t="str">
        <f t="shared" si="24"/>
        <v>Ürün İş Listesi</v>
      </c>
      <c r="J985" s="5">
        <v>8</v>
      </c>
    </row>
    <row r="986" spans="1:10" x14ac:dyDescent="0.25">
      <c r="A986" t="s">
        <v>14</v>
      </c>
      <c r="B986" t="s">
        <v>2027</v>
      </c>
      <c r="C986" t="s">
        <v>16</v>
      </c>
      <c r="D986" t="s">
        <v>2033</v>
      </c>
      <c r="E986" s="5" t="s">
        <v>56</v>
      </c>
      <c r="F986" s="5" t="e">
        <f>VLOOKUP(B986,'Türkkep Jira'!B:F,5,0)</f>
        <v>#N/A</v>
      </c>
      <c r="G986" t="str">
        <f>IF(IFERROR(VLOOKUP(B986,'Devam Eden Sprint'!B:B,1,0),"-")=B986,"Devam Eden Sprint","-")</f>
        <v>-</v>
      </c>
      <c r="H986" t="str">
        <f>IF(IFERROR(VLOOKUP(B986,'Gelecek Sprint'!B:B,1,0),"-")=B986,"Gelecek Sprint","-")</f>
        <v>-</v>
      </c>
      <c r="I986" t="str">
        <f t="shared" si="24"/>
        <v>Ürün İş Listesi</v>
      </c>
      <c r="J986" s="5">
        <v>2</v>
      </c>
    </row>
    <row r="987" spans="1:10" x14ac:dyDescent="0.25">
      <c r="A987" t="s">
        <v>14</v>
      </c>
      <c r="B987" t="s">
        <v>2028</v>
      </c>
      <c r="C987" t="s">
        <v>16</v>
      </c>
      <c r="D987" t="s">
        <v>2034</v>
      </c>
      <c r="E987" s="5" t="s">
        <v>56</v>
      </c>
      <c r="F987" s="5" t="e">
        <f>VLOOKUP(B987,'Türkkep Jira'!B:F,5,0)</f>
        <v>#N/A</v>
      </c>
      <c r="G987" t="str">
        <f>IF(IFERROR(VLOOKUP(B987,'Devam Eden Sprint'!B:B,1,0),"-")=B987,"Devam Eden Sprint","-")</f>
        <v>-</v>
      </c>
      <c r="H987" t="str">
        <f>IF(IFERROR(VLOOKUP(B987,'Gelecek Sprint'!B:B,1,0),"-")=B987,"Gelecek Sprint","-")</f>
        <v>-</v>
      </c>
      <c r="I987" t="str">
        <f t="shared" si="24"/>
        <v>Ürün İş Listesi</v>
      </c>
      <c r="J987" s="5">
        <v>2</v>
      </c>
    </row>
    <row r="988" spans="1:10" x14ac:dyDescent="0.25">
      <c r="A988" t="s">
        <v>14</v>
      </c>
      <c r="B988" t="s">
        <v>2029</v>
      </c>
      <c r="C988" t="s">
        <v>16</v>
      </c>
      <c r="D988" t="s">
        <v>2035</v>
      </c>
      <c r="E988" s="5" t="s">
        <v>59</v>
      </c>
      <c r="F988" s="5" t="e">
        <f>VLOOKUP(B988,'Türkkep Jira'!B:F,5,0)</f>
        <v>#N/A</v>
      </c>
      <c r="G988" t="str">
        <f>IF(IFERROR(VLOOKUP(B988,'Devam Eden Sprint'!B:B,1,0),"-")=B988,"Devam Eden Sprint","-")</f>
        <v>-</v>
      </c>
      <c r="H988" t="str">
        <f>IF(IFERROR(VLOOKUP(B988,'Gelecek Sprint'!B:B,1,0),"-")=B988,"Gelecek Sprint","-")</f>
        <v>-</v>
      </c>
      <c r="I988" t="str">
        <f t="shared" si="24"/>
        <v>Ürün İş Listesi</v>
      </c>
    </row>
    <row r="989" spans="1:10" x14ac:dyDescent="0.25">
      <c r="A989" t="s">
        <v>14</v>
      </c>
      <c r="B989" t="s">
        <v>2030</v>
      </c>
      <c r="C989" t="s">
        <v>16</v>
      </c>
      <c r="D989" t="s">
        <v>2036</v>
      </c>
      <c r="E989" s="5" t="s">
        <v>59</v>
      </c>
      <c r="F989" s="5" t="e">
        <f>VLOOKUP(B989,'Türkkep Jira'!B:F,5,0)</f>
        <v>#N/A</v>
      </c>
      <c r="G989" t="str">
        <f>IF(IFERROR(VLOOKUP(B989,'Devam Eden Sprint'!B:B,1,0),"-")=B989,"Devam Eden Sprint","-")</f>
        <v>-</v>
      </c>
      <c r="H989" t="str">
        <f>IF(IFERROR(VLOOKUP(B989,'Gelecek Sprint'!B:B,1,0),"-")=B989,"Gelecek Sprint","-")</f>
        <v>-</v>
      </c>
      <c r="I989" t="str">
        <f t="shared" si="24"/>
        <v>Ürün İş Listesi</v>
      </c>
      <c r="J989" s="5">
        <v>3</v>
      </c>
    </row>
    <row r="990" spans="1:10" x14ac:dyDescent="0.25">
      <c r="A990" t="s">
        <v>14</v>
      </c>
      <c r="B990" t="s">
        <v>2037</v>
      </c>
      <c r="C990" t="s">
        <v>16</v>
      </c>
      <c r="D990" t="s">
        <v>2038</v>
      </c>
      <c r="E990" s="5" t="s">
        <v>127</v>
      </c>
      <c r="F990" s="5" t="e">
        <f>VLOOKUP(B990,'Türkkep Jira'!B:F,5,0)</f>
        <v>#N/A</v>
      </c>
      <c r="G990" t="str">
        <f>IF(IFERROR(VLOOKUP(B990,'Devam Eden Sprint'!B:B,1,0),"-")=B990,"Devam Eden Sprint","-")</f>
        <v>-</v>
      </c>
      <c r="H990" t="str">
        <f>IF(IFERROR(VLOOKUP(B990,'Gelecek Sprint'!B:B,1,0),"-")=B990,"Gelecek Sprint","-")</f>
        <v>-</v>
      </c>
      <c r="I990" t="str">
        <f t="shared" si="24"/>
        <v>Ürün İş Listesi</v>
      </c>
      <c r="J990" s="5">
        <v>2</v>
      </c>
    </row>
    <row r="991" spans="1:10" x14ac:dyDescent="0.25">
      <c r="A991" t="s">
        <v>14</v>
      </c>
      <c r="B991" t="s">
        <v>2039</v>
      </c>
      <c r="C991" t="s">
        <v>16</v>
      </c>
      <c r="D991" t="s">
        <v>2040</v>
      </c>
      <c r="E991" s="5" t="s">
        <v>127</v>
      </c>
      <c r="F991" s="5" t="e">
        <f>VLOOKUP(B991,'Türkkep Jira'!B:F,5,0)</f>
        <v>#N/A</v>
      </c>
      <c r="G991" t="str">
        <f>IF(IFERROR(VLOOKUP(B991,'Devam Eden Sprint'!B:B,1,0),"-")=B991,"Devam Eden Sprint","-")</f>
        <v>-</v>
      </c>
      <c r="H991" t="str">
        <f>IF(IFERROR(VLOOKUP(B991,'Gelecek Sprint'!B:B,1,0),"-")=B991,"Gelecek Sprint","-")</f>
        <v>-</v>
      </c>
      <c r="I991" t="str">
        <f t="shared" si="24"/>
        <v>Ürün İş Listesi</v>
      </c>
      <c r="J991" s="5">
        <v>2</v>
      </c>
    </row>
    <row r="992" spans="1:10" x14ac:dyDescent="0.25">
      <c r="A992" t="s">
        <v>14</v>
      </c>
      <c r="B992" t="s">
        <v>2041</v>
      </c>
      <c r="C992" t="s">
        <v>16</v>
      </c>
      <c r="D992" t="s">
        <v>2042</v>
      </c>
      <c r="E992" s="5" t="s">
        <v>127</v>
      </c>
      <c r="F992" s="5" t="e">
        <f>VLOOKUP(B992,'Türkkep Jira'!B:F,5,0)</f>
        <v>#N/A</v>
      </c>
      <c r="G992" t="str">
        <f>IF(IFERROR(VLOOKUP(B992,'Devam Eden Sprint'!B:B,1,0),"-")=B992,"Devam Eden Sprint","-")</f>
        <v>-</v>
      </c>
      <c r="H992" t="str">
        <f>IF(IFERROR(VLOOKUP(B992,'Gelecek Sprint'!B:B,1,0),"-")=B992,"Gelecek Sprint","-")</f>
        <v>-</v>
      </c>
      <c r="I992" t="str">
        <f t="shared" si="24"/>
        <v>Ürün İş Listesi</v>
      </c>
      <c r="J992" s="5">
        <v>2</v>
      </c>
    </row>
    <row r="993" spans="1:10" x14ac:dyDescent="0.25">
      <c r="A993" t="s">
        <v>14</v>
      </c>
      <c r="B993" t="s">
        <v>2043</v>
      </c>
      <c r="C993" t="s">
        <v>16</v>
      </c>
      <c r="D993" t="s">
        <v>2044</v>
      </c>
      <c r="E993" s="5" t="s">
        <v>127</v>
      </c>
      <c r="F993" s="5" t="e">
        <f>VLOOKUP(B993,'Türkkep Jira'!B:F,5,0)</f>
        <v>#N/A</v>
      </c>
      <c r="G993" t="str">
        <f>IF(IFERROR(VLOOKUP(B993,'Devam Eden Sprint'!B:B,1,0),"-")=B993,"Devam Eden Sprint","-")</f>
        <v>-</v>
      </c>
      <c r="H993" t="str">
        <f>IF(IFERROR(VLOOKUP(B993,'Gelecek Sprint'!B:B,1,0),"-")=B993,"Gelecek Sprint","-")</f>
        <v>-</v>
      </c>
      <c r="I993" t="str">
        <f t="shared" si="24"/>
        <v>Ürün İş Listesi</v>
      </c>
      <c r="J993" s="5">
        <v>2</v>
      </c>
    </row>
    <row r="994" spans="1:10" x14ac:dyDescent="0.25">
      <c r="A994" t="s">
        <v>14</v>
      </c>
      <c r="B994" t="s">
        <v>2045</v>
      </c>
      <c r="C994" t="s">
        <v>16</v>
      </c>
      <c r="D994" t="s">
        <v>2046</v>
      </c>
      <c r="E994" s="5" t="s">
        <v>127</v>
      </c>
      <c r="F994" s="5" t="e">
        <f>VLOOKUP(B994,'Türkkep Jira'!B:F,5,0)</f>
        <v>#N/A</v>
      </c>
      <c r="G994" t="str">
        <f>IF(IFERROR(VLOOKUP(B994,'Devam Eden Sprint'!B:B,1,0),"-")=B994,"Devam Eden Sprint","-")</f>
        <v>-</v>
      </c>
      <c r="H994" t="str">
        <f>IF(IFERROR(VLOOKUP(B994,'Gelecek Sprint'!B:B,1,0),"-")=B994,"Gelecek Sprint","-")</f>
        <v>-</v>
      </c>
      <c r="I994" t="str">
        <f t="shared" si="24"/>
        <v>Ürün İş Listesi</v>
      </c>
      <c r="J994" s="5">
        <v>1</v>
      </c>
    </row>
    <row r="995" spans="1:10" x14ac:dyDescent="0.25">
      <c r="A995" t="s">
        <v>14</v>
      </c>
      <c r="B995" t="s">
        <v>2047</v>
      </c>
      <c r="C995" t="s">
        <v>16</v>
      </c>
      <c r="D995" t="s">
        <v>2048</v>
      </c>
      <c r="E995" s="5" t="s">
        <v>127</v>
      </c>
      <c r="F995" s="5" t="e">
        <f>VLOOKUP(B995,'Türkkep Jira'!B:F,5,0)</f>
        <v>#N/A</v>
      </c>
      <c r="G995" t="str">
        <f>IF(IFERROR(VLOOKUP(B995,'Devam Eden Sprint'!B:B,1,0),"-")=B995,"Devam Eden Sprint","-")</f>
        <v>-</v>
      </c>
      <c r="H995" t="str">
        <f>IF(IFERROR(VLOOKUP(B995,'Gelecek Sprint'!B:B,1,0),"-")=B995,"Gelecek Sprint","-")</f>
        <v>-</v>
      </c>
      <c r="I995" t="str">
        <f t="shared" si="24"/>
        <v>Ürün İş Listesi</v>
      </c>
      <c r="J995" s="5">
        <v>1</v>
      </c>
    </row>
    <row r="996" spans="1:10" x14ac:dyDescent="0.25">
      <c r="A996" t="s">
        <v>14</v>
      </c>
      <c r="B996" t="s">
        <v>2049</v>
      </c>
      <c r="C996" t="s">
        <v>16</v>
      </c>
      <c r="D996" t="s">
        <v>2050</v>
      </c>
      <c r="E996" s="5" t="s">
        <v>127</v>
      </c>
      <c r="F996" s="5" t="e">
        <f>VLOOKUP(B996,'Türkkep Jira'!B:F,5,0)</f>
        <v>#N/A</v>
      </c>
      <c r="G996" t="str">
        <f>IF(IFERROR(VLOOKUP(B996,'Devam Eden Sprint'!B:B,1,0),"-")=B996,"Devam Eden Sprint","-")</f>
        <v>-</v>
      </c>
      <c r="H996" t="str">
        <f>IF(IFERROR(VLOOKUP(B996,'Gelecek Sprint'!B:B,1,0),"-")=B996,"Gelecek Sprint","-")</f>
        <v>-</v>
      </c>
      <c r="I996" t="str">
        <f t="shared" si="24"/>
        <v>Ürün İş Listesi</v>
      </c>
      <c r="J996" s="5">
        <v>1</v>
      </c>
    </row>
    <row r="997" spans="1:10" x14ac:dyDescent="0.25">
      <c r="A997" t="s">
        <v>14</v>
      </c>
      <c r="B997" t="s">
        <v>2051</v>
      </c>
      <c r="C997" t="s">
        <v>16</v>
      </c>
      <c r="D997" t="s">
        <v>2052</v>
      </c>
      <c r="E997" s="5" t="s">
        <v>127</v>
      </c>
      <c r="F997" s="5" t="e">
        <f>VLOOKUP(B997,'Türkkep Jira'!B:F,5,0)</f>
        <v>#N/A</v>
      </c>
      <c r="G997" t="str">
        <f>IF(IFERROR(VLOOKUP(B997,'Devam Eden Sprint'!B:B,1,0),"-")=B997,"Devam Eden Sprint","-")</f>
        <v>-</v>
      </c>
      <c r="H997" t="str">
        <f>IF(IFERROR(VLOOKUP(B997,'Gelecek Sprint'!B:B,1,0),"-")=B997,"Gelecek Sprint","-")</f>
        <v>-</v>
      </c>
      <c r="I997" t="str">
        <f t="shared" si="24"/>
        <v>Ürün İş Listesi</v>
      </c>
      <c r="J997" s="5">
        <v>1</v>
      </c>
    </row>
    <row r="998" spans="1:10" x14ac:dyDescent="0.25">
      <c r="A998" t="s">
        <v>14</v>
      </c>
      <c r="B998" t="s">
        <v>2053</v>
      </c>
      <c r="C998" t="s">
        <v>16</v>
      </c>
      <c r="D998" t="s">
        <v>2054</v>
      </c>
      <c r="E998" s="5" t="s">
        <v>127</v>
      </c>
      <c r="F998" s="5" t="e">
        <f>VLOOKUP(B998,'Türkkep Jira'!B:F,5,0)</f>
        <v>#N/A</v>
      </c>
      <c r="G998" t="str">
        <f>IF(IFERROR(VLOOKUP(B998,'Devam Eden Sprint'!B:B,1,0),"-")=B998,"Devam Eden Sprint","-")</f>
        <v>-</v>
      </c>
      <c r="H998" t="str">
        <f>IF(IFERROR(VLOOKUP(B998,'Gelecek Sprint'!B:B,1,0),"-")=B998,"Gelecek Sprint","-")</f>
        <v>-</v>
      </c>
      <c r="I998" t="str">
        <f t="shared" si="24"/>
        <v>Ürün İş Listesi</v>
      </c>
      <c r="J998" s="5">
        <v>1</v>
      </c>
    </row>
    <row r="999" spans="1:10" x14ac:dyDescent="0.25">
      <c r="A999" t="s">
        <v>14</v>
      </c>
      <c r="B999" t="s">
        <v>2125</v>
      </c>
      <c r="C999" t="s">
        <v>16</v>
      </c>
      <c r="D999" t="s">
        <v>2124</v>
      </c>
      <c r="E999" s="5" t="s">
        <v>1844</v>
      </c>
      <c r="F999" s="5" t="e">
        <f>VLOOKUP(B999,'Türkkep Jira'!B:F,5,0)</f>
        <v>#N/A</v>
      </c>
      <c r="G999" t="str">
        <f>IF(IFERROR(VLOOKUP(B999,'Devam Eden Sprint'!B:B,1,0),"-")=B999,"Devam Eden Sprint","-")</f>
        <v>-</v>
      </c>
      <c r="H999" t="str">
        <f>IF(IFERROR(VLOOKUP(B999,'Gelecek Sprint'!B:B,1,0),"-")=B999,"Gelecek Sprint","-")</f>
        <v>-</v>
      </c>
      <c r="I999" t="str">
        <f t="shared" ref="I999:I1016" si="25">IFERROR(IF(AND(G999="Devam Eden Sprint",H999="Gelecek Sprint"),"Devam Eden ve Gelecek Sprint",IF(G999="Devam Eden Sprint","Devam Eden Sprint",IF(H999="Gelecek Sprint","Gelecek Sprint","Ürün İş Listesi"))),"Ürün İş Listesi")</f>
        <v>Ürün İş Listesi</v>
      </c>
    </row>
    <row r="1000" spans="1:10" x14ac:dyDescent="0.25">
      <c r="A1000" t="s">
        <v>14</v>
      </c>
      <c r="B1000" t="s">
        <v>2133</v>
      </c>
      <c r="C1000" t="s">
        <v>10</v>
      </c>
      <c r="D1000" t="s">
        <v>2132</v>
      </c>
      <c r="E1000" s="5" t="s">
        <v>1844</v>
      </c>
      <c r="F1000" s="5" t="e">
        <f>VLOOKUP(B1000,'Türkkep Jira'!B:F,5,0)</f>
        <v>#N/A</v>
      </c>
      <c r="G1000" t="str">
        <f>IF(IFERROR(VLOOKUP(B1000,'Devam Eden Sprint'!B:B,1,0),"-")=B1000,"Devam Eden Sprint","-")</f>
        <v>-</v>
      </c>
      <c r="H1000" t="str">
        <f>IF(IFERROR(VLOOKUP(B1000,'Gelecek Sprint'!B:B,1,0),"-")=B1000,"Gelecek Sprint","-")</f>
        <v>-</v>
      </c>
      <c r="I1000" t="str">
        <f t="shared" si="25"/>
        <v>Ürün İş Listesi</v>
      </c>
    </row>
    <row r="1001" spans="1:10" x14ac:dyDescent="0.25">
      <c r="A1001" t="s">
        <v>14</v>
      </c>
      <c r="B1001" t="s">
        <v>2147</v>
      </c>
      <c r="C1001" t="s">
        <v>16</v>
      </c>
      <c r="D1001" t="s">
        <v>2146</v>
      </c>
      <c r="E1001" s="5" t="s">
        <v>127</v>
      </c>
      <c r="F1001" s="5" t="e">
        <f>VLOOKUP(B1001,'Türkkep Jira'!B:F,5,0)</f>
        <v>#N/A</v>
      </c>
      <c r="G1001" t="str">
        <f>IF(IFERROR(VLOOKUP(B1001,'Devam Eden Sprint'!B:B,1,0),"-")=B1001,"Devam Eden Sprint","-")</f>
        <v>-</v>
      </c>
      <c r="H1001" t="str">
        <f>IF(IFERROR(VLOOKUP(B1001,'Gelecek Sprint'!B:B,1,0),"-")=B1001,"Gelecek Sprint","-")</f>
        <v>-</v>
      </c>
      <c r="I1001" t="str">
        <f t="shared" si="25"/>
        <v>Ürün İş Listesi</v>
      </c>
    </row>
    <row r="1002" spans="1:10" x14ac:dyDescent="0.25">
      <c r="A1002" t="s">
        <v>14</v>
      </c>
      <c r="B1002" t="s">
        <v>2149</v>
      </c>
      <c r="C1002" t="s">
        <v>10</v>
      </c>
      <c r="D1002" t="s">
        <v>2148</v>
      </c>
      <c r="E1002" s="5" t="s">
        <v>127</v>
      </c>
      <c r="F1002" s="5" t="e">
        <f>VLOOKUP(B1002,'Türkkep Jira'!B:F,5,0)</f>
        <v>#N/A</v>
      </c>
      <c r="G1002" t="str">
        <f>IF(IFERROR(VLOOKUP(B1002,'Devam Eden Sprint'!B:B,1,0),"-")=B1002,"Devam Eden Sprint","-")</f>
        <v>-</v>
      </c>
      <c r="H1002" t="str">
        <f>IF(IFERROR(VLOOKUP(B1002,'Gelecek Sprint'!B:B,1,0),"-")=B1002,"Gelecek Sprint","-")</f>
        <v>-</v>
      </c>
      <c r="I1002" t="str">
        <f t="shared" si="25"/>
        <v>Ürün İş Listesi</v>
      </c>
    </row>
    <row r="1003" spans="1:10" x14ac:dyDescent="0.25">
      <c r="A1003" t="s">
        <v>14</v>
      </c>
      <c r="B1003" t="s">
        <v>2162</v>
      </c>
      <c r="C1003" t="s">
        <v>27</v>
      </c>
      <c r="D1003" t="s">
        <v>2161</v>
      </c>
      <c r="E1003" s="5" t="s">
        <v>56</v>
      </c>
      <c r="F1003" s="5" t="e">
        <f>VLOOKUP(B1003,'Türkkep Jira'!B:F,5,0)</f>
        <v>#N/A</v>
      </c>
      <c r="G1003" t="str">
        <f>IF(IFERROR(VLOOKUP(B1003,'Devam Eden Sprint'!B:B,1,0),"-")=B1003,"Devam Eden Sprint","-")</f>
        <v>-</v>
      </c>
      <c r="H1003" t="str">
        <f>IF(IFERROR(VLOOKUP(B1003,'Gelecek Sprint'!B:B,1,0),"-")=B1003,"Gelecek Sprint","-")</f>
        <v>-</v>
      </c>
      <c r="I1003" t="str">
        <f t="shared" si="25"/>
        <v>Ürün İş Listesi</v>
      </c>
      <c r="J1003" s="5">
        <v>5</v>
      </c>
    </row>
    <row r="1004" spans="1:10" x14ac:dyDescent="0.25">
      <c r="A1004" t="s">
        <v>1379</v>
      </c>
      <c r="B1004" t="s">
        <v>2184</v>
      </c>
      <c r="C1004" t="s">
        <v>16</v>
      </c>
      <c r="D1004" t="s">
        <v>2183</v>
      </c>
      <c r="E1004" s="5" t="s">
        <v>41</v>
      </c>
      <c r="F1004" s="5" t="e">
        <f>VLOOKUP(B1004,'Türkkep Jira'!B:F,5,0)</f>
        <v>#N/A</v>
      </c>
      <c r="G1004" t="str">
        <f>IF(IFERROR(VLOOKUP(B1004,'Devam Eden Sprint'!B:B,1,0),"-")=B1004,"Devam Eden Sprint","-")</f>
        <v>-</v>
      </c>
      <c r="H1004" t="str">
        <f>IF(IFERROR(VLOOKUP(B1004,'Gelecek Sprint'!B:B,1,0),"-")=B1004,"Gelecek Sprint","-")</f>
        <v>-</v>
      </c>
      <c r="I1004" t="str">
        <f t="shared" si="25"/>
        <v>Ürün İş Listesi</v>
      </c>
    </row>
    <row r="1005" spans="1:10" x14ac:dyDescent="0.25">
      <c r="A1005" t="s">
        <v>14</v>
      </c>
      <c r="B1005" t="s">
        <v>2189</v>
      </c>
      <c r="C1005" t="s">
        <v>10</v>
      </c>
      <c r="D1005" t="s">
        <v>2188</v>
      </c>
      <c r="E1005" s="5" t="s">
        <v>41</v>
      </c>
      <c r="F1005" s="5" t="e">
        <f>VLOOKUP(B1005,'Türkkep Jira'!B:F,5,0)</f>
        <v>#N/A</v>
      </c>
      <c r="G1005" t="str">
        <f>IF(IFERROR(VLOOKUP(B1005,'Devam Eden Sprint'!B:B,1,0),"-")=B1005,"Devam Eden Sprint","-")</f>
        <v>-</v>
      </c>
      <c r="H1005" t="str">
        <f>IF(IFERROR(VLOOKUP(B1005,'Gelecek Sprint'!B:B,1,0),"-")=B1005,"Gelecek Sprint","-")</f>
        <v>-</v>
      </c>
      <c r="I1005" t="str">
        <f t="shared" si="25"/>
        <v>Ürün İş Listesi</v>
      </c>
    </row>
    <row r="1006" spans="1:10" x14ac:dyDescent="0.25">
      <c r="A1006" t="s">
        <v>14</v>
      </c>
      <c r="B1006" t="s">
        <v>2192</v>
      </c>
      <c r="C1006" t="s">
        <v>10</v>
      </c>
      <c r="D1006" t="s">
        <v>2191</v>
      </c>
      <c r="E1006" s="5" t="s">
        <v>41</v>
      </c>
      <c r="F1006" s="5" t="e">
        <f>VLOOKUP(B1006,'Türkkep Jira'!B:F,5,0)</f>
        <v>#N/A</v>
      </c>
      <c r="G1006" t="str">
        <f>IF(IFERROR(VLOOKUP(B1006,'Devam Eden Sprint'!B:B,1,0),"-")=B1006,"Devam Eden Sprint","-")</f>
        <v>-</v>
      </c>
      <c r="H1006" t="str">
        <f>IF(IFERROR(VLOOKUP(B1006,'Gelecek Sprint'!B:B,1,0),"-")=B1006,"Gelecek Sprint","-")</f>
        <v>-</v>
      </c>
      <c r="I1006" t="str">
        <f t="shared" si="25"/>
        <v>Ürün İş Listesi</v>
      </c>
    </row>
    <row r="1007" spans="1:10" x14ac:dyDescent="0.25">
      <c r="A1007" t="s">
        <v>14</v>
      </c>
      <c r="B1007" t="s">
        <v>1827</v>
      </c>
      <c r="C1007" t="s">
        <v>16</v>
      </c>
      <c r="D1007" t="s">
        <v>2193</v>
      </c>
      <c r="E1007" s="5" t="s">
        <v>41</v>
      </c>
      <c r="F1007" s="5" t="e">
        <f>VLOOKUP(B1007,'Türkkep Jira'!B:F,5,0)</f>
        <v>#N/A</v>
      </c>
      <c r="G1007" t="str">
        <f>IF(IFERROR(VLOOKUP(B1007,'Devam Eden Sprint'!B:B,1,0),"-")=B1007,"Devam Eden Sprint","-")</f>
        <v>-</v>
      </c>
      <c r="H1007" t="str">
        <f>IF(IFERROR(VLOOKUP(B1007,'Gelecek Sprint'!B:B,1,0),"-")=B1007,"Gelecek Sprint","-")</f>
        <v>-</v>
      </c>
      <c r="I1007" t="str">
        <f t="shared" si="25"/>
        <v>Ürün İş Listesi</v>
      </c>
    </row>
    <row r="1008" spans="1:10" x14ac:dyDescent="0.25">
      <c r="A1008" t="s">
        <v>14</v>
      </c>
      <c r="B1008" t="s">
        <v>1828</v>
      </c>
      <c r="C1008" t="s">
        <v>16</v>
      </c>
      <c r="D1008" t="s">
        <v>2194</v>
      </c>
      <c r="E1008" s="5" t="s">
        <v>41</v>
      </c>
      <c r="F1008" s="5" t="e">
        <f>VLOOKUP(B1008,'Türkkep Jira'!B:F,5,0)</f>
        <v>#N/A</v>
      </c>
      <c r="G1008" t="str">
        <f>IF(IFERROR(VLOOKUP(B1008,'Devam Eden Sprint'!B:B,1,0),"-")=B1008,"Devam Eden Sprint","-")</f>
        <v>-</v>
      </c>
      <c r="H1008" t="str">
        <f>IF(IFERROR(VLOOKUP(B1008,'Gelecek Sprint'!B:B,1,0),"-")=B1008,"Gelecek Sprint","-")</f>
        <v>-</v>
      </c>
      <c r="I1008" t="str">
        <f t="shared" si="25"/>
        <v>Ürün İş Listesi</v>
      </c>
    </row>
    <row r="1009" spans="1:10" x14ac:dyDescent="0.25">
      <c r="A1009" t="s">
        <v>14</v>
      </c>
      <c r="B1009" t="s">
        <v>2176</v>
      </c>
      <c r="C1009" t="s">
        <v>16</v>
      </c>
      <c r="D1009" t="s">
        <v>2197</v>
      </c>
      <c r="E1009" s="5" t="s">
        <v>35</v>
      </c>
      <c r="F1009" s="5" t="e">
        <f>VLOOKUP(B1009,'Türkkep Jira'!B:F,5,0)</f>
        <v>#N/A</v>
      </c>
      <c r="G1009" t="str">
        <f>IF(IFERROR(VLOOKUP(B1009,'Devam Eden Sprint'!B:B,1,0),"-")=B1009,"Devam Eden Sprint","-")</f>
        <v>-</v>
      </c>
      <c r="H1009" t="str">
        <f>IF(IFERROR(VLOOKUP(B1009,'Gelecek Sprint'!B:B,1,0),"-")=B1009,"Gelecek Sprint","-")</f>
        <v>-</v>
      </c>
      <c r="I1009" t="str">
        <f t="shared" si="25"/>
        <v>Ürün İş Listesi</v>
      </c>
    </row>
    <row r="1010" spans="1:10" x14ac:dyDescent="0.25">
      <c r="A1010" t="s">
        <v>14</v>
      </c>
      <c r="B1010" t="s">
        <v>2202</v>
      </c>
      <c r="C1010" t="s">
        <v>10</v>
      </c>
      <c r="D1010" t="s">
        <v>2201</v>
      </c>
      <c r="E1010" s="5" t="s">
        <v>12</v>
      </c>
      <c r="F1010" s="5" t="e">
        <f>VLOOKUP(B1010,'Türkkep Jira'!B:F,5,0)</f>
        <v>#N/A</v>
      </c>
      <c r="G1010" t="str">
        <f>IF(IFERROR(VLOOKUP(B1010,'Devam Eden Sprint'!B:B,1,0),"-")=B1010,"Devam Eden Sprint","-")</f>
        <v>-</v>
      </c>
      <c r="H1010" t="str">
        <f>IF(IFERROR(VLOOKUP(B1010,'Gelecek Sprint'!B:B,1,0),"-")=B1010,"Gelecek Sprint","-")</f>
        <v>-</v>
      </c>
      <c r="I1010" t="str">
        <f t="shared" si="25"/>
        <v>Ürün İş Listesi</v>
      </c>
    </row>
    <row r="1011" spans="1:10" x14ac:dyDescent="0.25">
      <c r="A1011" t="s">
        <v>14</v>
      </c>
      <c r="B1011" t="s">
        <v>2204</v>
      </c>
      <c r="C1011" t="s">
        <v>16</v>
      </c>
      <c r="D1011" t="s">
        <v>2203</v>
      </c>
      <c r="E1011" s="5" t="s">
        <v>12</v>
      </c>
      <c r="F1011" s="5" t="e">
        <f>VLOOKUP(B1011,'Türkkep Jira'!B:F,5,0)</f>
        <v>#N/A</v>
      </c>
      <c r="G1011" t="str">
        <f>IF(IFERROR(VLOOKUP(B1011,'Devam Eden Sprint'!B:B,1,0),"-")=B1011,"Devam Eden Sprint","-")</f>
        <v>-</v>
      </c>
      <c r="H1011" t="str">
        <f>IF(IFERROR(VLOOKUP(B1011,'Gelecek Sprint'!B:B,1,0),"-")=B1011,"Gelecek Sprint","-")</f>
        <v>-</v>
      </c>
      <c r="I1011" t="str">
        <f t="shared" si="25"/>
        <v>Ürün İş Listesi</v>
      </c>
      <c r="J1011" s="5">
        <v>2</v>
      </c>
    </row>
    <row r="1012" spans="1:10" x14ac:dyDescent="0.25">
      <c r="A1012" t="s">
        <v>14</v>
      </c>
      <c r="B1012" t="s">
        <v>2207</v>
      </c>
      <c r="C1012" t="s">
        <v>27</v>
      </c>
      <c r="D1012" t="s">
        <v>2206</v>
      </c>
      <c r="E1012" s="5" t="s">
        <v>12</v>
      </c>
      <c r="F1012" s="5" t="str">
        <f>VLOOKUP(B1012,'Türkkep Jira'!B:F,5,0)</f>
        <v>TO TEST</v>
      </c>
      <c r="G1012" t="str">
        <f>IF(IFERROR(VLOOKUP(B1012,'Devam Eden Sprint'!B:B,1,0),"-")=B1012,"Devam Eden Sprint","-")</f>
        <v>Devam Eden Sprint</v>
      </c>
      <c r="H1012" t="str">
        <f>IF(IFERROR(VLOOKUP(B1012,'Gelecek Sprint'!B:B,1,0),"-")=B1012,"Gelecek Sprint","-")</f>
        <v>Gelecek Sprint</v>
      </c>
      <c r="I1012" t="str">
        <f t="shared" si="25"/>
        <v>Devam Eden ve Gelecek Sprint</v>
      </c>
    </row>
    <row r="1013" spans="1:10" x14ac:dyDescent="0.25">
      <c r="A1013" t="s">
        <v>14</v>
      </c>
      <c r="B1013" t="s">
        <v>2209</v>
      </c>
      <c r="C1013" t="s">
        <v>28</v>
      </c>
      <c r="D1013" t="s">
        <v>2208</v>
      </c>
      <c r="E1013" s="5" t="s">
        <v>12</v>
      </c>
      <c r="F1013" s="5" t="str">
        <f>VLOOKUP(B1013,'Türkkep Jira'!B:F,5,0)</f>
        <v>In Test</v>
      </c>
      <c r="G1013" t="str">
        <f>IF(IFERROR(VLOOKUP(B1013,'Devam Eden Sprint'!B:B,1,0),"-")=B1013,"Devam Eden Sprint","-")</f>
        <v>Devam Eden Sprint</v>
      </c>
      <c r="H1013" t="str">
        <f>IF(IFERROR(VLOOKUP(B1013,'Gelecek Sprint'!B:B,1,0),"-")=B1013,"Gelecek Sprint","-")</f>
        <v>Gelecek Sprint</v>
      </c>
      <c r="I1013" t="str">
        <f t="shared" si="25"/>
        <v>Devam Eden ve Gelecek Sprint</v>
      </c>
      <c r="J1013" s="5">
        <v>2</v>
      </c>
    </row>
    <row r="1014" spans="1:10" x14ac:dyDescent="0.25">
      <c r="A1014" t="s">
        <v>14</v>
      </c>
      <c r="B1014" t="s">
        <v>2211</v>
      </c>
      <c r="C1014" t="s">
        <v>10</v>
      </c>
      <c r="D1014" t="s">
        <v>2210</v>
      </c>
      <c r="E1014" s="5" t="s">
        <v>12</v>
      </c>
      <c r="F1014" s="5" t="e">
        <f>VLOOKUP(B1014,'Türkkep Jira'!B:F,5,0)</f>
        <v>#N/A</v>
      </c>
      <c r="G1014" t="str">
        <f>IF(IFERROR(VLOOKUP(B1014,'Devam Eden Sprint'!B:B,1,0),"-")=B1014,"Devam Eden Sprint","-")</f>
        <v>-</v>
      </c>
      <c r="H1014" t="str">
        <f>IF(IFERROR(VLOOKUP(B1014,'Gelecek Sprint'!B:B,1,0),"-")=B1014,"Gelecek Sprint","-")</f>
        <v>-</v>
      </c>
      <c r="I1014" t="str">
        <f t="shared" si="25"/>
        <v>Ürün İş Listesi</v>
      </c>
    </row>
    <row r="1015" spans="1:10" x14ac:dyDescent="0.25">
      <c r="A1015" t="s">
        <v>14</v>
      </c>
      <c r="B1015" t="s">
        <v>2213</v>
      </c>
      <c r="C1015" t="s">
        <v>10</v>
      </c>
      <c r="D1015" t="s">
        <v>2212</v>
      </c>
      <c r="E1015" s="5" t="s">
        <v>12</v>
      </c>
      <c r="F1015" s="5" t="e">
        <f>VLOOKUP(B1015,'Türkkep Jira'!B:F,5,0)</f>
        <v>#N/A</v>
      </c>
      <c r="G1015" t="str">
        <f>IF(IFERROR(VLOOKUP(B1015,'Devam Eden Sprint'!B:B,1,0),"-")=B1015,"Devam Eden Sprint","-")</f>
        <v>-</v>
      </c>
      <c r="H1015" t="str">
        <f>IF(IFERROR(VLOOKUP(B1015,'Gelecek Sprint'!B:B,1,0),"-")=B1015,"Gelecek Sprint","-")</f>
        <v>-</v>
      </c>
      <c r="I1015" t="str">
        <f t="shared" si="25"/>
        <v>Ürün İş Listesi</v>
      </c>
    </row>
    <row r="1016" spans="1:10" x14ac:dyDescent="0.25">
      <c r="A1016" t="s">
        <v>14</v>
      </c>
      <c r="B1016" t="s">
        <v>2215</v>
      </c>
      <c r="C1016" t="s">
        <v>10</v>
      </c>
      <c r="D1016" t="s">
        <v>2214</v>
      </c>
      <c r="E1016" s="5" t="s">
        <v>12</v>
      </c>
      <c r="F1016" s="5" t="e">
        <f>VLOOKUP(B1016,'Türkkep Jira'!B:F,5,0)</f>
        <v>#N/A</v>
      </c>
      <c r="G1016" t="str">
        <f>IF(IFERROR(VLOOKUP(B1016,'Devam Eden Sprint'!B:B,1,0),"-")=B1016,"Devam Eden Sprint","-")</f>
        <v>-</v>
      </c>
      <c r="H1016" t="str">
        <f>IF(IFERROR(VLOOKUP(B1016,'Gelecek Sprint'!B:B,1,0),"-")=B1016,"Gelecek Sprint","-")</f>
        <v>-</v>
      </c>
      <c r="I1016" t="str">
        <f t="shared" si="25"/>
        <v>Ürün İş Listesi</v>
      </c>
    </row>
    <row r="1017" spans="1:10" x14ac:dyDescent="0.25">
      <c r="A1017" t="s">
        <v>14</v>
      </c>
      <c r="B1017" t="s">
        <v>2055</v>
      </c>
      <c r="C1017" t="s">
        <v>16</v>
      </c>
      <c r="D1017" t="s">
        <v>2056</v>
      </c>
      <c r="E1017" s="5" t="s">
        <v>127</v>
      </c>
      <c r="F1017" s="5" t="e">
        <f>VLOOKUP(B1017,'Türkkep Jira'!B:F,5,0)</f>
        <v>#N/A</v>
      </c>
      <c r="G1017" t="str">
        <f>IF(IFERROR(VLOOKUP(B1017,'Devam Eden Sprint'!B:B,1,0),"-")=B1017,"Devam Eden Sprint","-")</f>
        <v>-</v>
      </c>
      <c r="H1017" t="str">
        <f>IF(IFERROR(VLOOKUP(B1017,'Gelecek Sprint'!B:B,1,0),"-")=B1017,"Gelecek Sprint","-")</f>
        <v>-</v>
      </c>
      <c r="I1017" t="str">
        <f t="shared" ref="I1017:I1019" si="26">IFERROR(IF(AND(G1017="Devam Eden Sprint",H1017="Gelecek Sprint"),"Devam Eden ve Gelecek Sprint",IF(G1017="Devam Eden Sprint","Devam Eden Sprint",IF(H1017="Gelecek Sprint","Gelecek Sprint","Ürün İş Listesi"))),"Ürün İş Listesi")</f>
        <v>Ürün İş Listesi</v>
      </c>
      <c r="J1017" s="5">
        <v>3</v>
      </c>
    </row>
    <row r="1018" spans="1:10" x14ac:dyDescent="0.25">
      <c r="A1018" t="s">
        <v>14</v>
      </c>
      <c r="B1018" t="s">
        <v>2057</v>
      </c>
      <c r="C1018" t="s">
        <v>16</v>
      </c>
      <c r="D1018" t="s">
        <v>2058</v>
      </c>
      <c r="E1018" s="5" t="s">
        <v>53</v>
      </c>
      <c r="F1018" s="5" t="e">
        <f>VLOOKUP(B1018,'Türkkep Jira'!B:F,5,0)</f>
        <v>#N/A</v>
      </c>
      <c r="G1018" t="str">
        <f>IF(IFERROR(VLOOKUP(B1018,'Devam Eden Sprint'!B:B,1,0),"-")=B1018,"Devam Eden Sprint","-")</f>
        <v>-</v>
      </c>
      <c r="H1018" t="str">
        <f>IF(IFERROR(VLOOKUP(B1018,'Gelecek Sprint'!B:B,1,0),"-")=B1018,"Gelecek Sprint","-")</f>
        <v>-</v>
      </c>
      <c r="I1018" t="str">
        <f t="shared" si="26"/>
        <v>Ürün İş Listesi</v>
      </c>
      <c r="J1018" s="5">
        <v>5</v>
      </c>
    </row>
    <row r="1019" spans="1:10" x14ac:dyDescent="0.25">
      <c r="A1019" t="s">
        <v>14</v>
      </c>
      <c r="B1019" t="s">
        <v>2059</v>
      </c>
      <c r="C1019" t="s">
        <v>16</v>
      </c>
      <c r="D1019" t="s">
        <v>2060</v>
      </c>
      <c r="E1019" s="5" t="s">
        <v>53</v>
      </c>
      <c r="F1019" s="5" t="e">
        <f>VLOOKUP(B1019,'Türkkep Jira'!B:F,5,0)</f>
        <v>#N/A</v>
      </c>
      <c r="G1019" t="str">
        <f>IF(IFERROR(VLOOKUP(B1019,'Devam Eden Sprint'!B:B,1,0),"-")=B1019,"Devam Eden Sprint","-")</f>
        <v>-</v>
      </c>
      <c r="H1019" t="str">
        <f>IF(IFERROR(VLOOKUP(B1019,'Gelecek Sprint'!B:B,1,0),"-")=B1019,"Gelecek Sprint","-")</f>
        <v>-</v>
      </c>
      <c r="I1019" t="str">
        <f t="shared" si="26"/>
        <v>Ürün İş Listesi</v>
      </c>
      <c r="J1019" s="5">
        <v>5</v>
      </c>
    </row>
    <row r="1020" spans="1:10" x14ac:dyDescent="0.25">
      <c r="A1020" t="s">
        <v>14</v>
      </c>
      <c r="B1020" t="s">
        <v>2240</v>
      </c>
      <c r="C1020" t="s">
        <v>16</v>
      </c>
      <c r="D1020" t="s">
        <v>2241</v>
      </c>
      <c r="E1020" s="5" t="s">
        <v>41</v>
      </c>
      <c r="F1020" s="5" t="e">
        <f>VLOOKUP(B1020,'Türkkep Jira'!B:F,5,0)</f>
        <v>#N/A</v>
      </c>
      <c r="G1020" t="str">
        <f>IF(IFERROR(VLOOKUP(B1020,'Devam Eden Sprint'!B:B,1,0),"-")=B1020,"Devam Eden Sprint","-")</f>
        <v>-</v>
      </c>
      <c r="H1020" t="str">
        <f>IF(IFERROR(VLOOKUP(B1020,'Gelecek Sprint'!B:B,1,0),"-")=B1020,"Gelecek Sprint","-")</f>
        <v>-</v>
      </c>
      <c r="I1020" t="str">
        <f t="shared" ref="I1020:I1026" si="27">IFERROR(IF(AND(G1020="Devam Eden Sprint",H1020="Gelecek Sprint"),"Devam Eden ve Gelecek Sprint",IF(G1020="Devam Eden Sprint","Devam Eden Sprint",IF(H1020="Gelecek Sprint","Gelecek Sprint","Ürün İş Listesi"))),"Ürün İş Listesi")</f>
        <v>Ürün İş Listesi</v>
      </c>
      <c r="J1020" s="5">
        <v>8</v>
      </c>
    </row>
    <row r="1021" spans="1:10" x14ac:dyDescent="0.25">
      <c r="A1021" t="s">
        <v>14</v>
      </c>
      <c r="B1021" t="s">
        <v>2242</v>
      </c>
      <c r="C1021" t="s">
        <v>16</v>
      </c>
      <c r="D1021" t="s">
        <v>2243</v>
      </c>
      <c r="E1021" s="5" t="s">
        <v>41</v>
      </c>
      <c r="F1021" s="5" t="e">
        <f>VLOOKUP(B1021,'Türkkep Jira'!B:F,5,0)</f>
        <v>#N/A</v>
      </c>
      <c r="G1021" t="str">
        <f>IF(IFERROR(VLOOKUP(B1021,'Devam Eden Sprint'!B:B,1,0),"-")=B1021,"Devam Eden Sprint","-")</f>
        <v>-</v>
      </c>
      <c r="H1021" t="str">
        <f>IF(IFERROR(VLOOKUP(B1021,'Gelecek Sprint'!B:B,1,0),"-")=B1021,"Gelecek Sprint","-")</f>
        <v>-</v>
      </c>
      <c r="I1021" t="str">
        <f t="shared" si="27"/>
        <v>Ürün İş Listesi</v>
      </c>
      <c r="J1021" s="5">
        <v>8</v>
      </c>
    </row>
    <row r="1022" spans="1:10" x14ac:dyDescent="0.25">
      <c r="A1022" t="s">
        <v>14</v>
      </c>
      <c r="B1022" t="s">
        <v>2244</v>
      </c>
      <c r="C1022" t="s">
        <v>10</v>
      </c>
      <c r="D1022" t="s">
        <v>1966</v>
      </c>
      <c r="E1022" s="5" t="s">
        <v>41</v>
      </c>
      <c r="F1022" s="5" t="e">
        <f>VLOOKUP(B1022,'Türkkep Jira'!B:F,5,0)</f>
        <v>#N/A</v>
      </c>
      <c r="G1022" t="str">
        <f>IF(IFERROR(VLOOKUP(B1022,'Devam Eden Sprint'!B:B,1,0),"-")=B1022,"Devam Eden Sprint","-")</f>
        <v>-</v>
      </c>
      <c r="H1022" t="str">
        <f>IF(IFERROR(VLOOKUP(B1022,'Gelecek Sprint'!B:B,1,0),"-")=B1022,"Gelecek Sprint","-")</f>
        <v>-</v>
      </c>
      <c r="I1022" t="str">
        <f t="shared" si="27"/>
        <v>Ürün İş Listesi</v>
      </c>
      <c r="J1022" s="5">
        <v>2</v>
      </c>
    </row>
    <row r="1023" spans="1:10" x14ac:dyDescent="0.25">
      <c r="A1023" t="s">
        <v>14</v>
      </c>
      <c r="B1023" t="s">
        <v>1833</v>
      </c>
      <c r="C1023" t="s">
        <v>16</v>
      </c>
      <c r="D1023" t="s">
        <v>1834</v>
      </c>
      <c r="E1023" s="5" t="s">
        <v>38</v>
      </c>
      <c r="F1023" s="5" t="e">
        <f>VLOOKUP(B1023,'Türkkep Jira'!B:F,5,0)</f>
        <v>#N/A</v>
      </c>
      <c r="G1023" t="str">
        <f>IF(IFERROR(VLOOKUP(B1023,'Devam Eden Sprint'!B:B,1,0),"-")=B1023,"Devam Eden Sprint","-")</f>
        <v>-</v>
      </c>
      <c r="H1023" t="str">
        <f>IF(IFERROR(VLOOKUP(B1023,'Gelecek Sprint'!B:B,1,0),"-")=B1023,"Gelecek Sprint","-")</f>
        <v>-</v>
      </c>
      <c r="I1023" t="str">
        <f t="shared" si="27"/>
        <v>Ürün İş Listesi</v>
      </c>
      <c r="J1023" s="5">
        <v>3</v>
      </c>
    </row>
    <row r="1024" spans="1:10" x14ac:dyDescent="0.25">
      <c r="A1024" t="s">
        <v>14</v>
      </c>
      <c r="B1024" t="s">
        <v>1823</v>
      </c>
      <c r="C1024" t="s">
        <v>16</v>
      </c>
      <c r="D1024" t="s">
        <v>1824</v>
      </c>
      <c r="E1024" s="5" t="s">
        <v>41</v>
      </c>
      <c r="F1024" s="5" t="e">
        <f>VLOOKUP(B1024,'Türkkep Jira'!B:F,5,0)</f>
        <v>#N/A</v>
      </c>
      <c r="G1024" t="str">
        <f>IF(IFERROR(VLOOKUP(B1024,'Devam Eden Sprint'!B:B,1,0),"-")=B1024,"Devam Eden Sprint","-")</f>
        <v>-</v>
      </c>
      <c r="H1024" t="str">
        <f>IF(IFERROR(VLOOKUP(B1024,'Gelecek Sprint'!B:B,1,0),"-")=B1024,"Gelecek Sprint","-")</f>
        <v>-</v>
      </c>
      <c r="I1024" t="str">
        <f t="shared" si="27"/>
        <v>Ürün İş Listesi</v>
      </c>
      <c r="J1024" s="5">
        <v>2</v>
      </c>
    </row>
    <row r="1025" spans="1:10" x14ac:dyDescent="0.25">
      <c r="A1025" t="s">
        <v>14</v>
      </c>
      <c r="B1025" t="s">
        <v>1825</v>
      </c>
      <c r="C1025" t="s">
        <v>16</v>
      </c>
      <c r="D1025" t="s">
        <v>1826</v>
      </c>
      <c r="E1025" s="5" t="s">
        <v>41</v>
      </c>
      <c r="F1025" s="5" t="e">
        <f>VLOOKUP(B1025,'Türkkep Jira'!B:F,5,0)</f>
        <v>#N/A</v>
      </c>
      <c r="G1025" t="str">
        <f>IF(IFERROR(VLOOKUP(B1025,'Devam Eden Sprint'!B:B,1,0),"-")=B1025,"Devam Eden Sprint","-")</f>
        <v>-</v>
      </c>
      <c r="H1025" t="str">
        <f>IF(IFERROR(VLOOKUP(B1025,'Gelecek Sprint'!B:B,1,0),"-")=B1025,"Gelecek Sprint","-")</f>
        <v>-</v>
      </c>
      <c r="I1025" t="str">
        <f t="shared" si="27"/>
        <v>Ürün İş Listesi</v>
      </c>
      <c r="J1025" s="5">
        <v>1</v>
      </c>
    </row>
    <row r="1026" spans="1:10" x14ac:dyDescent="0.25">
      <c r="A1026" t="s">
        <v>14</v>
      </c>
      <c r="B1026" t="s">
        <v>1829</v>
      </c>
      <c r="C1026" t="s">
        <v>16</v>
      </c>
      <c r="D1026" t="s">
        <v>1830</v>
      </c>
      <c r="E1026" s="5" t="s">
        <v>41</v>
      </c>
      <c r="F1026" s="5" t="e">
        <f>VLOOKUP(B1026,'Türkkep Jira'!B:F,5,0)</f>
        <v>#N/A</v>
      </c>
      <c r="G1026" t="str">
        <f>IF(IFERROR(VLOOKUP(B1026,'Devam Eden Sprint'!B:B,1,0),"-")=B1026,"Devam Eden Sprint","-")</f>
        <v>-</v>
      </c>
      <c r="H1026" t="str">
        <f>IF(IFERROR(VLOOKUP(B1026,'Gelecek Sprint'!B:B,1,0),"-")=B1026,"Gelecek Sprint","-")</f>
        <v>-</v>
      </c>
      <c r="I1026" t="str">
        <f t="shared" si="27"/>
        <v>Ürün İş Listesi</v>
      </c>
      <c r="J1026" s="5">
        <v>5</v>
      </c>
    </row>
    <row r="1027" spans="1:10" x14ac:dyDescent="0.25">
      <c r="A1027" t="s">
        <v>77</v>
      </c>
      <c r="B1027" t="s">
        <v>2245</v>
      </c>
      <c r="C1027" t="s">
        <v>16</v>
      </c>
      <c r="D1027" t="s">
        <v>2254</v>
      </c>
      <c r="E1027" s="5" t="s">
        <v>44</v>
      </c>
      <c r="F1027" s="5" t="e">
        <f>VLOOKUP(B1027,'Türkkep Jira'!B:F,5,0)</f>
        <v>#N/A</v>
      </c>
      <c r="G1027" t="str">
        <f>IF(IFERROR(VLOOKUP(B1027,'Devam Eden Sprint'!B:B,1,0),"-")=B1027,"Devam Eden Sprint","-")</f>
        <v>-</v>
      </c>
      <c r="H1027" t="str">
        <f>IF(IFERROR(VLOOKUP(B1027,'Gelecek Sprint'!B:B,1,0),"-")=B1027,"Gelecek Sprint","-")</f>
        <v>-</v>
      </c>
      <c r="I1027" t="str">
        <f t="shared" ref="I1027:I1055" si="28">IFERROR(IF(AND(G1027="Devam Eden Sprint",H1027="Gelecek Sprint"),"Devam Eden ve Gelecek Sprint",IF(G1027="Devam Eden Sprint","Devam Eden Sprint",IF(H1027="Gelecek Sprint","Gelecek Sprint","Ürün İş Listesi"))),"Ürün İş Listesi")</f>
        <v>Ürün İş Listesi</v>
      </c>
      <c r="J1027" s="5">
        <v>3</v>
      </c>
    </row>
    <row r="1028" spans="1:10" x14ac:dyDescent="0.25">
      <c r="A1028" t="s">
        <v>14</v>
      </c>
      <c r="B1028" t="s">
        <v>2247</v>
      </c>
      <c r="C1028" t="s">
        <v>16</v>
      </c>
      <c r="D1028" t="s">
        <v>332</v>
      </c>
      <c r="E1028" s="5" t="s">
        <v>50</v>
      </c>
      <c r="F1028" s="5" t="e">
        <f>VLOOKUP(B1028,'Türkkep Jira'!B:F,5,0)</f>
        <v>#N/A</v>
      </c>
      <c r="G1028" t="str">
        <f>IF(IFERROR(VLOOKUP(B1028,'Devam Eden Sprint'!B:B,1,0),"-")=B1028,"Devam Eden Sprint","-")</f>
        <v>-</v>
      </c>
      <c r="H1028" t="str">
        <f>IF(IFERROR(VLOOKUP(B1028,'Gelecek Sprint'!B:B,1,0),"-")=B1028,"Gelecek Sprint","-")</f>
        <v>-</v>
      </c>
      <c r="I1028" t="str">
        <f t="shared" si="28"/>
        <v>Ürün İş Listesi</v>
      </c>
      <c r="J1028" s="5">
        <v>3</v>
      </c>
    </row>
    <row r="1029" spans="1:10" x14ac:dyDescent="0.25">
      <c r="A1029" t="s">
        <v>77</v>
      </c>
      <c r="B1029" t="s">
        <v>2262</v>
      </c>
      <c r="C1029" t="s">
        <v>16</v>
      </c>
      <c r="D1029" t="s">
        <v>2264</v>
      </c>
      <c r="E1029" s="5" t="s">
        <v>50</v>
      </c>
      <c r="F1029" s="5" t="e">
        <f>VLOOKUP(B1029,'Türkkep Jira'!B:F,5,0)</f>
        <v>#N/A</v>
      </c>
      <c r="G1029" t="str">
        <f>IF(IFERROR(VLOOKUP(B1029,'Devam Eden Sprint'!B:B,1,0),"-")=B1029,"Devam Eden Sprint","-")</f>
        <v>-</v>
      </c>
      <c r="H1029" t="str">
        <f>IF(IFERROR(VLOOKUP(B1029,'Gelecek Sprint'!B:B,1,0),"-")=B1029,"Gelecek Sprint","-")</f>
        <v>-</v>
      </c>
      <c r="I1029" t="str">
        <f t="shared" si="28"/>
        <v>Ürün İş Listesi</v>
      </c>
      <c r="J1029" s="5">
        <v>1</v>
      </c>
    </row>
    <row r="1030" spans="1:10" x14ac:dyDescent="0.25">
      <c r="A1030" t="s">
        <v>14</v>
      </c>
      <c r="B1030" t="s">
        <v>2248</v>
      </c>
      <c r="C1030" t="s">
        <v>16</v>
      </c>
      <c r="D1030" t="s">
        <v>2256</v>
      </c>
      <c r="E1030" s="5" t="s">
        <v>56</v>
      </c>
      <c r="F1030" s="5" t="e">
        <f>VLOOKUP(B1030,'Türkkep Jira'!B:F,5,0)</f>
        <v>#N/A</v>
      </c>
      <c r="G1030" t="str">
        <f>IF(IFERROR(VLOOKUP(B1030,'Devam Eden Sprint'!B:B,1,0),"-")=B1030,"Devam Eden Sprint","-")</f>
        <v>-</v>
      </c>
      <c r="H1030" t="str">
        <f>IF(IFERROR(VLOOKUP(B1030,'Gelecek Sprint'!B:B,1,0),"-")=B1030,"Gelecek Sprint","-")</f>
        <v>-</v>
      </c>
      <c r="I1030" t="str">
        <f t="shared" si="28"/>
        <v>Ürün İş Listesi</v>
      </c>
      <c r="J1030" s="5">
        <v>3</v>
      </c>
    </row>
    <row r="1031" spans="1:10" x14ac:dyDescent="0.25">
      <c r="A1031" t="s">
        <v>14</v>
      </c>
      <c r="B1031" t="s">
        <v>2249</v>
      </c>
      <c r="C1031" t="s">
        <v>16</v>
      </c>
      <c r="D1031" t="s">
        <v>2257</v>
      </c>
      <c r="E1031" s="5" t="s">
        <v>56</v>
      </c>
      <c r="F1031" s="5" t="e">
        <f>VLOOKUP(B1031,'Türkkep Jira'!B:F,5,0)</f>
        <v>#N/A</v>
      </c>
      <c r="G1031" t="str">
        <f>IF(IFERROR(VLOOKUP(B1031,'Devam Eden Sprint'!B:B,1,0),"-")=B1031,"Devam Eden Sprint","-")</f>
        <v>-</v>
      </c>
      <c r="H1031" t="str">
        <f>IF(IFERROR(VLOOKUP(B1031,'Gelecek Sprint'!B:B,1,0),"-")=B1031,"Gelecek Sprint","-")</f>
        <v>-</v>
      </c>
      <c r="I1031" t="str">
        <f t="shared" si="28"/>
        <v>Ürün İş Listesi</v>
      </c>
      <c r="J1031" s="5">
        <v>1</v>
      </c>
    </row>
    <row r="1032" spans="1:10" x14ac:dyDescent="0.25">
      <c r="A1032" t="s">
        <v>14</v>
      </c>
      <c r="B1032" t="s">
        <v>2263</v>
      </c>
      <c r="C1032" t="s">
        <v>16</v>
      </c>
      <c r="D1032" t="s">
        <v>2266</v>
      </c>
      <c r="E1032" s="5" t="s">
        <v>56</v>
      </c>
      <c r="F1032" s="5" t="e">
        <f>VLOOKUP(B1032,'Türkkep Jira'!B:F,5,0)</f>
        <v>#N/A</v>
      </c>
      <c r="G1032" t="str">
        <f>IF(IFERROR(VLOOKUP(B1032,'Devam Eden Sprint'!B:B,1,0),"-")=B1032,"Devam Eden Sprint","-")</f>
        <v>-</v>
      </c>
      <c r="H1032" t="str">
        <f>IF(IFERROR(VLOOKUP(B1032,'Gelecek Sprint'!B:B,1,0),"-")=B1032,"Gelecek Sprint","-")</f>
        <v>-</v>
      </c>
      <c r="I1032" t="str">
        <f t="shared" si="28"/>
        <v>Ürün İş Listesi</v>
      </c>
      <c r="J1032" s="5">
        <v>3</v>
      </c>
    </row>
    <row r="1033" spans="1:10" x14ac:dyDescent="0.25">
      <c r="A1033" t="s">
        <v>77</v>
      </c>
      <c r="B1033" t="s">
        <v>2269</v>
      </c>
      <c r="C1033" t="s">
        <v>16</v>
      </c>
      <c r="D1033" t="s">
        <v>2270</v>
      </c>
      <c r="E1033" s="5" t="s">
        <v>41</v>
      </c>
      <c r="F1033" s="5" t="e">
        <f>VLOOKUP(B1033,'Türkkep Jira'!B:F,5,0)</f>
        <v>#N/A</v>
      </c>
      <c r="G1033" t="str">
        <f>IF(IFERROR(VLOOKUP(B1033,'Devam Eden Sprint'!B:B,1,0),"-")=B1033,"Devam Eden Sprint","-")</f>
        <v>-</v>
      </c>
      <c r="H1033" t="str">
        <f>IF(IFERROR(VLOOKUP(B1033,'Gelecek Sprint'!B:B,1,0),"-")=B1033,"Gelecek Sprint","-")</f>
        <v>-</v>
      </c>
      <c r="I1033" t="str">
        <f t="shared" si="28"/>
        <v>Ürün İş Listesi</v>
      </c>
      <c r="J1033" s="5">
        <v>1</v>
      </c>
    </row>
    <row r="1034" spans="1:10" x14ac:dyDescent="0.25">
      <c r="A1034" t="s">
        <v>14</v>
      </c>
      <c r="B1034" t="s">
        <v>2271</v>
      </c>
      <c r="C1034" t="s">
        <v>16</v>
      </c>
      <c r="D1034" t="s">
        <v>2272</v>
      </c>
      <c r="E1034" s="5" t="s">
        <v>41</v>
      </c>
      <c r="F1034" s="5" t="e">
        <f>VLOOKUP(B1034,'Türkkep Jira'!B:F,5,0)</f>
        <v>#N/A</v>
      </c>
      <c r="G1034" t="str">
        <f>IF(IFERROR(VLOOKUP(B1034,'Devam Eden Sprint'!B:B,1,0),"-")=B1034,"Devam Eden Sprint","-")</f>
        <v>-</v>
      </c>
      <c r="H1034" t="str">
        <f>IF(IFERROR(VLOOKUP(B1034,'Gelecek Sprint'!B:B,1,0),"-")=B1034,"Gelecek Sprint","-")</f>
        <v>-</v>
      </c>
      <c r="I1034" t="str">
        <f t="shared" si="28"/>
        <v>Ürün İş Listesi</v>
      </c>
      <c r="J1034" s="5">
        <v>1</v>
      </c>
    </row>
    <row r="1035" spans="1:10" x14ac:dyDescent="0.25">
      <c r="A1035" t="s">
        <v>14</v>
      </c>
      <c r="B1035" t="s">
        <v>2273</v>
      </c>
      <c r="C1035" t="s">
        <v>10</v>
      </c>
      <c r="D1035" t="s">
        <v>2274</v>
      </c>
      <c r="E1035" s="5" t="s">
        <v>41</v>
      </c>
      <c r="F1035" s="5" t="e">
        <f>VLOOKUP(B1035,'Türkkep Jira'!B:F,5,0)</f>
        <v>#N/A</v>
      </c>
      <c r="G1035" t="str">
        <f>IF(IFERROR(VLOOKUP(B1035,'Devam Eden Sprint'!B:B,1,0),"-")=B1035,"Devam Eden Sprint","-")</f>
        <v>-</v>
      </c>
      <c r="H1035" t="str">
        <f>IF(IFERROR(VLOOKUP(B1035,'Gelecek Sprint'!B:B,1,0),"-")=B1035,"Gelecek Sprint","-")</f>
        <v>-</v>
      </c>
      <c r="I1035" t="str">
        <f t="shared" si="28"/>
        <v>Ürün İş Listesi</v>
      </c>
      <c r="J1035" s="5">
        <v>8</v>
      </c>
    </row>
    <row r="1036" spans="1:10" x14ac:dyDescent="0.25">
      <c r="A1036" t="s">
        <v>14</v>
      </c>
      <c r="B1036" t="s">
        <v>2275</v>
      </c>
      <c r="C1036" t="s">
        <v>10</v>
      </c>
      <c r="D1036" t="s">
        <v>2276</v>
      </c>
      <c r="E1036" s="5" t="s">
        <v>41</v>
      </c>
      <c r="F1036" s="5" t="e">
        <f>VLOOKUP(B1036,'Türkkep Jira'!B:F,5,0)</f>
        <v>#N/A</v>
      </c>
      <c r="G1036" t="str">
        <f>IF(IFERROR(VLOOKUP(B1036,'Devam Eden Sprint'!B:B,1,0),"-")=B1036,"Devam Eden Sprint","-")</f>
        <v>-</v>
      </c>
      <c r="H1036" t="str">
        <f>IF(IFERROR(VLOOKUP(B1036,'Gelecek Sprint'!B:B,1,0),"-")=B1036,"Gelecek Sprint","-")</f>
        <v>-</v>
      </c>
      <c r="I1036" t="str">
        <f t="shared" si="28"/>
        <v>Ürün İş Listesi</v>
      </c>
      <c r="J1036" s="5">
        <v>13</v>
      </c>
    </row>
    <row r="1037" spans="1:10" x14ac:dyDescent="0.25">
      <c r="A1037" t="s">
        <v>77</v>
      </c>
      <c r="B1037" t="s">
        <v>2278</v>
      </c>
      <c r="C1037" t="s">
        <v>16</v>
      </c>
      <c r="D1037" t="s">
        <v>2279</v>
      </c>
      <c r="E1037" s="5" t="s">
        <v>53</v>
      </c>
      <c r="F1037" s="5" t="e">
        <f>VLOOKUP(B1037,'Türkkep Jira'!B:F,5,0)</f>
        <v>#N/A</v>
      </c>
      <c r="G1037" t="str">
        <f>IF(IFERROR(VLOOKUP(B1037,'Devam Eden Sprint'!B:B,1,0),"-")=B1037,"Devam Eden Sprint","-")</f>
        <v>-</v>
      </c>
      <c r="H1037" t="str">
        <f>IF(IFERROR(VLOOKUP(B1037,'Gelecek Sprint'!B:B,1,0),"-")=B1037,"Gelecek Sprint","-")</f>
        <v>-</v>
      </c>
      <c r="I1037" t="str">
        <f t="shared" si="28"/>
        <v>Ürün İş Listesi</v>
      </c>
      <c r="J1037" s="5">
        <v>1</v>
      </c>
    </row>
    <row r="1038" spans="1:10" x14ac:dyDescent="0.25">
      <c r="A1038" t="s">
        <v>77</v>
      </c>
      <c r="B1038" t="s">
        <v>2280</v>
      </c>
      <c r="C1038" t="s">
        <v>16</v>
      </c>
      <c r="D1038" t="s">
        <v>2281</v>
      </c>
      <c r="E1038" s="5" t="s">
        <v>53</v>
      </c>
      <c r="F1038" s="5" t="e">
        <f>VLOOKUP(B1038,'Türkkep Jira'!B:F,5,0)</f>
        <v>#N/A</v>
      </c>
      <c r="G1038" t="str">
        <f>IF(IFERROR(VLOOKUP(B1038,'Devam Eden Sprint'!B:B,1,0),"-")=B1038,"Devam Eden Sprint","-")</f>
        <v>-</v>
      </c>
      <c r="H1038" t="str">
        <f>IF(IFERROR(VLOOKUP(B1038,'Gelecek Sprint'!B:B,1,0),"-")=B1038,"Gelecek Sprint","-")</f>
        <v>-</v>
      </c>
      <c r="I1038" t="str">
        <f t="shared" si="28"/>
        <v>Ürün İş Listesi</v>
      </c>
      <c r="J1038" s="5">
        <v>1</v>
      </c>
    </row>
    <row r="1039" spans="1:10" x14ac:dyDescent="0.25">
      <c r="A1039" t="s">
        <v>77</v>
      </c>
      <c r="B1039" t="s">
        <v>2282</v>
      </c>
      <c r="C1039" t="s">
        <v>16</v>
      </c>
      <c r="D1039" t="s">
        <v>2283</v>
      </c>
      <c r="E1039" s="5" t="s">
        <v>53</v>
      </c>
      <c r="F1039" s="5" t="e">
        <f>VLOOKUP(B1039,'Türkkep Jira'!B:F,5,0)</f>
        <v>#N/A</v>
      </c>
      <c r="G1039" t="str">
        <f>IF(IFERROR(VLOOKUP(B1039,'Devam Eden Sprint'!B:B,1,0),"-")=B1039,"Devam Eden Sprint","-")</f>
        <v>-</v>
      </c>
      <c r="H1039" t="str">
        <f>IF(IFERROR(VLOOKUP(B1039,'Gelecek Sprint'!B:B,1,0),"-")=B1039,"Gelecek Sprint","-")</f>
        <v>-</v>
      </c>
      <c r="I1039" t="str">
        <f t="shared" si="28"/>
        <v>Ürün İş Listesi</v>
      </c>
      <c r="J1039" s="5">
        <v>2</v>
      </c>
    </row>
    <row r="1040" spans="1:10" x14ac:dyDescent="0.25">
      <c r="A1040" t="s">
        <v>14</v>
      </c>
      <c r="B1040" t="s">
        <v>2284</v>
      </c>
      <c r="C1040" t="s">
        <v>16</v>
      </c>
      <c r="D1040" t="s">
        <v>2285</v>
      </c>
      <c r="E1040" s="5" t="s">
        <v>53</v>
      </c>
      <c r="F1040" s="5" t="e">
        <f>VLOOKUP(B1040,'Türkkep Jira'!B:F,5,0)</f>
        <v>#N/A</v>
      </c>
      <c r="G1040" t="str">
        <f>IF(IFERROR(VLOOKUP(B1040,'Devam Eden Sprint'!B:B,1,0),"-")=B1040,"Devam Eden Sprint","-")</f>
        <v>-</v>
      </c>
      <c r="H1040" t="str">
        <f>IF(IFERROR(VLOOKUP(B1040,'Gelecek Sprint'!B:B,1,0),"-")=B1040,"Gelecek Sprint","-")</f>
        <v>-</v>
      </c>
      <c r="I1040" t="str">
        <f t="shared" si="28"/>
        <v>Ürün İş Listesi</v>
      </c>
      <c r="J1040" s="5">
        <v>1</v>
      </c>
    </row>
    <row r="1041" spans="1:10" x14ac:dyDescent="0.25">
      <c r="A1041" t="s">
        <v>14</v>
      </c>
      <c r="B1041" t="s">
        <v>2286</v>
      </c>
      <c r="C1041" t="s">
        <v>16</v>
      </c>
      <c r="D1041" t="s">
        <v>2287</v>
      </c>
      <c r="E1041" s="5" t="s">
        <v>53</v>
      </c>
      <c r="F1041" s="5" t="e">
        <f>VLOOKUP(B1041,'Türkkep Jira'!B:F,5,0)</f>
        <v>#N/A</v>
      </c>
      <c r="G1041" t="str">
        <f>IF(IFERROR(VLOOKUP(B1041,'Devam Eden Sprint'!B:B,1,0),"-")=B1041,"Devam Eden Sprint","-")</f>
        <v>-</v>
      </c>
      <c r="H1041" t="str">
        <f>IF(IFERROR(VLOOKUP(B1041,'Gelecek Sprint'!B:B,1,0),"-")=B1041,"Gelecek Sprint","-")</f>
        <v>-</v>
      </c>
      <c r="I1041" t="str">
        <f t="shared" si="28"/>
        <v>Ürün İş Listesi</v>
      </c>
      <c r="J1041" s="5">
        <v>3</v>
      </c>
    </row>
    <row r="1042" spans="1:10" x14ac:dyDescent="0.25">
      <c r="A1042" t="s">
        <v>14</v>
      </c>
      <c r="B1042" t="s">
        <v>2288</v>
      </c>
      <c r="C1042" t="s">
        <v>16</v>
      </c>
      <c r="D1042" t="s">
        <v>2289</v>
      </c>
      <c r="E1042" s="5" t="s">
        <v>53</v>
      </c>
      <c r="F1042" s="5" t="e">
        <f>VLOOKUP(B1042,'Türkkep Jira'!B:F,5,0)</f>
        <v>#N/A</v>
      </c>
      <c r="G1042" t="str">
        <f>IF(IFERROR(VLOOKUP(B1042,'Devam Eden Sprint'!B:B,1,0),"-")=B1042,"Devam Eden Sprint","-")</f>
        <v>-</v>
      </c>
      <c r="H1042" t="str">
        <f>IF(IFERROR(VLOOKUP(B1042,'Gelecek Sprint'!B:B,1,0),"-")=B1042,"Gelecek Sprint","-")</f>
        <v>-</v>
      </c>
      <c r="I1042" t="str">
        <f t="shared" si="28"/>
        <v>Ürün İş Listesi</v>
      </c>
      <c r="J1042" s="5">
        <v>3</v>
      </c>
    </row>
    <row r="1043" spans="1:10" x14ac:dyDescent="0.25">
      <c r="A1043" t="s">
        <v>14</v>
      </c>
      <c r="B1043" t="s">
        <v>2290</v>
      </c>
      <c r="C1043" t="s">
        <v>16</v>
      </c>
      <c r="D1043" t="s">
        <v>2291</v>
      </c>
      <c r="E1043" s="5" t="s">
        <v>127</v>
      </c>
      <c r="F1043" s="5" t="e">
        <f>VLOOKUP(B1043,'Türkkep Jira'!B:F,5,0)</f>
        <v>#N/A</v>
      </c>
      <c r="G1043" t="str">
        <f>IF(IFERROR(VLOOKUP(B1043,'Devam Eden Sprint'!B:B,1,0),"-")=B1043,"Devam Eden Sprint","-")</f>
        <v>-</v>
      </c>
      <c r="H1043" t="str">
        <f>IF(IFERROR(VLOOKUP(B1043,'Gelecek Sprint'!B:B,1,0),"-")=B1043,"Gelecek Sprint","-")</f>
        <v>-</v>
      </c>
      <c r="I1043" t="str">
        <f t="shared" si="28"/>
        <v>Ürün İş Listesi</v>
      </c>
      <c r="J1043" s="5">
        <v>1</v>
      </c>
    </row>
    <row r="1044" spans="1:10" x14ac:dyDescent="0.25">
      <c r="A1044" t="s">
        <v>14</v>
      </c>
      <c r="B1044" t="s">
        <v>2292</v>
      </c>
      <c r="C1044" t="s">
        <v>16</v>
      </c>
      <c r="D1044" t="s">
        <v>2293</v>
      </c>
      <c r="E1044" s="5" t="s">
        <v>12</v>
      </c>
      <c r="F1044" s="5" t="e">
        <f>VLOOKUP(B1044,'Türkkep Jira'!B:F,5,0)</f>
        <v>#N/A</v>
      </c>
      <c r="G1044" t="str">
        <f>IF(IFERROR(VLOOKUP(B1044,'Devam Eden Sprint'!B:B,1,0),"-")=B1044,"Devam Eden Sprint","-")</f>
        <v>-</v>
      </c>
      <c r="H1044" t="str">
        <f>IF(IFERROR(VLOOKUP(B1044,'Gelecek Sprint'!B:B,1,0),"-")=B1044,"Gelecek Sprint","-")</f>
        <v>-</v>
      </c>
      <c r="I1044" t="str">
        <f t="shared" si="28"/>
        <v>Ürün İş Listesi</v>
      </c>
      <c r="J1044" s="5">
        <v>1</v>
      </c>
    </row>
    <row r="1045" spans="1:10" x14ac:dyDescent="0.25">
      <c r="A1045" t="s">
        <v>14</v>
      </c>
      <c r="B1045" t="s">
        <v>2294</v>
      </c>
      <c r="C1045" t="s">
        <v>27</v>
      </c>
      <c r="D1045" t="s">
        <v>2295</v>
      </c>
      <c r="E1045" s="5" t="s">
        <v>12</v>
      </c>
      <c r="F1045" s="5" t="e">
        <f>VLOOKUP(B1045,'Türkkep Jira'!B:F,5,0)</f>
        <v>#N/A</v>
      </c>
      <c r="G1045" t="str">
        <f>IF(IFERROR(VLOOKUP(B1045,'Devam Eden Sprint'!B:B,1,0),"-")=B1045,"Devam Eden Sprint","-")</f>
        <v>-</v>
      </c>
      <c r="H1045" t="str">
        <f>IF(IFERROR(VLOOKUP(B1045,'Gelecek Sprint'!B:B,1,0),"-")=B1045,"Gelecek Sprint","-")</f>
        <v>-</v>
      </c>
      <c r="I1045" t="str">
        <f t="shared" si="28"/>
        <v>Ürün İş Listesi</v>
      </c>
      <c r="J1045" s="5">
        <v>1</v>
      </c>
    </row>
    <row r="1046" spans="1:10" x14ac:dyDescent="0.25">
      <c r="A1046" t="s">
        <v>14</v>
      </c>
      <c r="B1046" t="s">
        <v>2296</v>
      </c>
      <c r="C1046" t="s">
        <v>27</v>
      </c>
      <c r="D1046" t="s">
        <v>2297</v>
      </c>
      <c r="E1046" s="5" t="s">
        <v>12</v>
      </c>
      <c r="F1046" s="5" t="str">
        <f>VLOOKUP(B1046,'Türkkep Jira'!B:F,5,0)</f>
        <v>TO TEST</v>
      </c>
      <c r="G1046" t="str">
        <f>IF(IFERROR(VLOOKUP(B1046,'Devam Eden Sprint'!B:B,1,0),"-")=B1046,"Devam Eden Sprint","-")</f>
        <v>Devam Eden Sprint</v>
      </c>
      <c r="H1046" t="str">
        <f>IF(IFERROR(VLOOKUP(B1046,'Gelecek Sprint'!B:B,1,0),"-")=B1046,"Gelecek Sprint","-")</f>
        <v>Gelecek Sprint</v>
      </c>
      <c r="I1046" t="str">
        <f t="shared" si="28"/>
        <v>Devam Eden ve Gelecek Sprint</v>
      </c>
      <c r="J1046" s="5">
        <v>1</v>
      </c>
    </row>
    <row r="1047" spans="1:10" x14ac:dyDescent="0.25">
      <c r="A1047" t="s">
        <v>14</v>
      </c>
      <c r="B1047" t="s">
        <v>2300</v>
      </c>
      <c r="C1047" t="s">
        <v>27</v>
      </c>
      <c r="D1047" t="s">
        <v>2301</v>
      </c>
      <c r="E1047" s="5" t="s">
        <v>12</v>
      </c>
      <c r="F1047" s="5" t="e">
        <f>VLOOKUP(B1047,'Türkkep Jira'!B:F,5,0)</f>
        <v>#N/A</v>
      </c>
      <c r="G1047" t="str">
        <f>IF(IFERROR(VLOOKUP(B1047,'Devam Eden Sprint'!B:B,1,0),"-")=B1047,"Devam Eden Sprint","-")</f>
        <v>-</v>
      </c>
      <c r="H1047" t="str">
        <f>IF(IFERROR(VLOOKUP(B1047,'Gelecek Sprint'!B:B,1,0),"-")=B1047,"Gelecek Sprint","-")</f>
        <v>-</v>
      </c>
      <c r="I1047" t="str">
        <f t="shared" si="28"/>
        <v>Ürün İş Listesi</v>
      </c>
      <c r="J1047" s="5">
        <v>1</v>
      </c>
    </row>
    <row r="1048" spans="1:10" x14ac:dyDescent="0.25">
      <c r="A1048" t="s">
        <v>14</v>
      </c>
      <c r="B1048" t="s">
        <v>2246</v>
      </c>
      <c r="C1048" t="s">
        <v>16</v>
      </c>
      <c r="D1048" t="s">
        <v>2255</v>
      </c>
      <c r="E1048" s="5" t="s">
        <v>50</v>
      </c>
      <c r="F1048" s="5" t="e">
        <f>VLOOKUP(B1048,'Türkkep Jira'!B:F,5,0)</f>
        <v>#N/A</v>
      </c>
      <c r="G1048" t="str">
        <f>IF(IFERROR(VLOOKUP(B1048,'Devam Eden Sprint'!B:B,1,0),"-")=B1048,"Devam Eden Sprint","-")</f>
        <v>-</v>
      </c>
      <c r="H1048" t="str">
        <f>IF(IFERROR(VLOOKUP(B1048,'Gelecek Sprint'!B:B,1,0),"-")=B1048,"Gelecek Sprint","-")</f>
        <v>-</v>
      </c>
      <c r="I1048" t="str">
        <f t="shared" si="28"/>
        <v>Ürün İş Listesi</v>
      </c>
    </row>
    <row r="1049" spans="1:10" x14ac:dyDescent="0.25">
      <c r="A1049" t="s">
        <v>14</v>
      </c>
      <c r="B1049" t="s">
        <v>2250</v>
      </c>
      <c r="C1049" t="s">
        <v>16</v>
      </c>
      <c r="D1049" t="s">
        <v>2258</v>
      </c>
      <c r="E1049" s="5" t="s">
        <v>59</v>
      </c>
      <c r="F1049" s="5" t="e">
        <f>VLOOKUP(B1049,'Türkkep Jira'!B:F,5,0)</f>
        <v>#N/A</v>
      </c>
      <c r="G1049" t="str">
        <f>IF(IFERROR(VLOOKUP(B1049,'Devam Eden Sprint'!B:B,1,0),"-")=B1049,"Devam Eden Sprint","-")</f>
        <v>-</v>
      </c>
      <c r="H1049" t="str">
        <f>IF(IFERROR(VLOOKUP(B1049,'Gelecek Sprint'!B:B,1,0),"-")=B1049,"Gelecek Sprint","-")</f>
        <v>-</v>
      </c>
      <c r="I1049" t="str">
        <f t="shared" si="28"/>
        <v>Ürün İş Listesi</v>
      </c>
      <c r="J1049" s="5">
        <v>3</v>
      </c>
    </row>
    <row r="1050" spans="1:10" x14ac:dyDescent="0.25">
      <c r="A1050" t="s">
        <v>14</v>
      </c>
      <c r="B1050" t="s">
        <v>2251</v>
      </c>
      <c r="C1050" t="s">
        <v>16</v>
      </c>
      <c r="D1050" t="s">
        <v>2259</v>
      </c>
      <c r="E1050" s="5" t="s">
        <v>59</v>
      </c>
      <c r="F1050" s="5" t="e">
        <f>VLOOKUP(B1050,'Türkkep Jira'!B:F,5,0)</f>
        <v>#N/A</v>
      </c>
      <c r="G1050" t="str">
        <f>IF(IFERROR(VLOOKUP(B1050,'Devam Eden Sprint'!B:B,1,0),"-")=B1050,"Devam Eden Sprint","-")</f>
        <v>-</v>
      </c>
      <c r="H1050" t="str">
        <f>IF(IFERROR(VLOOKUP(B1050,'Gelecek Sprint'!B:B,1,0),"-")=B1050,"Gelecek Sprint","-")</f>
        <v>-</v>
      </c>
      <c r="I1050" t="str">
        <f t="shared" si="28"/>
        <v>Ürün İş Listesi</v>
      </c>
      <c r="J1050" s="5">
        <v>1</v>
      </c>
    </row>
    <row r="1051" spans="1:10" x14ac:dyDescent="0.25">
      <c r="A1051" t="s">
        <v>14</v>
      </c>
      <c r="B1051" t="s">
        <v>2252</v>
      </c>
      <c r="C1051" t="s">
        <v>16</v>
      </c>
      <c r="D1051" t="s">
        <v>2260</v>
      </c>
      <c r="E1051" s="5" t="s">
        <v>59</v>
      </c>
      <c r="F1051" s="5" t="e">
        <f>VLOOKUP(B1051,'Türkkep Jira'!B:F,5,0)</f>
        <v>#N/A</v>
      </c>
      <c r="G1051" t="str">
        <f>IF(IFERROR(VLOOKUP(B1051,'Devam Eden Sprint'!B:B,1,0),"-")=B1051,"Devam Eden Sprint","-")</f>
        <v>-</v>
      </c>
      <c r="H1051" t="str">
        <f>IF(IFERROR(VLOOKUP(B1051,'Gelecek Sprint'!B:B,1,0),"-")=B1051,"Gelecek Sprint","-")</f>
        <v>-</v>
      </c>
      <c r="I1051" t="str">
        <f t="shared" si="28"/>
        <v>Ürün İş Listesi</v>
      </c>
      <c r="J1051" s="5">
        <v>5</v>
      </c>
    </row>
    <row r="1052" spans="1:10" x14ac:dyDescent="0.25">
      <c r="A1052" t="s">
        <v>14</v>
      </c>
      <c r="B1052" t="s">
        <v>2253</v>
      </c>
      <c r="C1052" t="s">
        <v>16</v>
      </c>
      <c r="D1052" t="s">
        <v>2261</v>
      </c>
      <c r="E1052" s="5" t="s">
        <v>59</v>
      </c>
      <c r="F1052" s="5" t="e">
        <f>VLOOKUP(B1052,'Türkkep Jira'!B:F,5,0)</f>
        <v>#N/A</v>
      </c>
      <c r="G1052" t="str">
        <f>IF(IFERROR(VLOOKUP(B1052,'Devam Eden Sprint'!B:B,1,0),"-")=B1052,"Devam Eden Sprint","-")</f>
        <v>-</v>
      </c>
      <c r="H1052" t="str">
        <f>IF(IFERROR(VLOOKUP(B1052,'Gelecek Sprint'!B:B,1,0),"-")=B1052,"Gelecek Sprint","-")</f>
        <v>-</v>
      </c>
      <c r="I1052" t="str">
        <f t="shared" si="28"/>
        <v>Ürün İş Listesi</v>
      </c>
      <c r="J1052" s="5">
        <v>3</v>
      </c>
    </row>
    <row r="1053" spans="1:10" x14ac:dyDescent="0.25">
      <c r="A1053" t="s">
        <v>77</v>
      </c>
      <c r="B1053" t="s">
        <v>2267</v>
      </c>
      <c r="C1053" t="s">
        <v>16</v>
      </c>
      <c r="D1053" t="s">
        <v>2268</v>
      </c>
      <c r="E1053" s="5" t="s">
        <v>41</v>
      </c>
      <c r="F1053" s="5" t="e">
        <f>VLOOKUP(B1053,'Türkkep Jira'!B:F,5,0)</f>
        <v>#N/A</v>
      </c>
      <c r="G1053" t="str">
        <f>IF(IFERROR(VLOOKUP(B1053,'Devam Eden Sprint'!B:B,1,0),"-")=B1053,"Devam Eden Sprint","-")</f>
        <v>-</v>
      </c>
      <c r="H1053" t="str">
        <f>IF(IFERROR(VLOOKUP(B1053,'Gelecek Sprint'!B:B,1,0),"-")=B1053,"Gelecek Sprint","-")</f>
        <v>-</v>
      </c>
      <c r="I1053" t="str">
        <f t="shared" si="28"/>
        <v>Ürün İş Listesi</v>
      </c>
      <c r="J1053" s="5">
        <v>3</v>
      </c>
    </row>
    <row r="1054" spans="1:10" x14ac:dyDescent="0.25">
      <c r="A1054" t="s">
        <v>14</v>
      </c>
      <c r="B1054" t="s">
        <v>2277</v>
      </c>
      <c r="C1054" t="s">
        <v>16</v>
      </c>
      <c r="D1054" t="s">
        <v>1603</v>
      </c>
      <c r="E1054" s="5" t="s">
        <v>127</v>
      </c>
      <c r="F1054" s="5" t="e">
        <f>VLOOKUP(B1054,'Türkkep Jira'!B:F,5,0)</f>
        <v>#N/A</v>
      </c>
      <c r="G1054" t="str">
        <f>IF(IFERROR(VLOOKUP(B1054,'Devam Eden Sprint'!B:B,1,0),"-")=B1054,"Devam Eden Sprint","-")</f>
        <v>-</v>
      </c>
      <c r="H1054" t="str">
        <f>IF(IFERROR(VLOOKUP(B1054,'Gelecek Sprint'!B:B,1,0),"-")=B1054,"Gelecek Sprint","-")</f>
        <v>-</v>
      </c>
      <c r="I1054" t="str">
        <f t="shared" si="28"/>
        <v>Ürün İş Listesi</v>
      </c>
      <c r="J1054" s="5">
        <v>2</v>
      </c>
    </row>
    <row r="1055" spans="1:10" x14ac:dyDescent="0.25">
      <c r="A1055" t="s">
        <v>14</v>
      </c>
      <c r="B1055" t="s">
        <v>2298</v>
      </c>
      <c r="C1055" t="s">
        <v>16</v>
      </c>
      <c r="D1055" t="s">
        <v>2299</v>
      </c>
      <c r="E1055" s="5" t="s">
        <v>12</v>
      </c>
      <c r="F1055" s="5" t="e">
        <f>VLOOKUP(B1055,'Türkkep Jira'!B:F,5,0)</f>
        <v>#N/A</v>
      </c>
      <c r="G1055" t="str">
        <f>IF(IFERROR(VLOOKUP(B1055,'Devam Eden Sprint'!B:B,1,0),"-")=B1055,"Devam Eden Sprint","-")</f>
        <v>-</v>
      </c>
      <c r="H1055" t="str">
        <f>IF(IFERROR(VLOOKUP(B1055,'Gelecek Sprint'!B:B,1,0),"-")=B1055,"Gelecek Sprint","-")</f>
        <v>-</v>
      </c>
      <c r="I1055" t="str">
        <f t="shared" si="28"/>
        <v>Ürün İş Listesi</v>
      </c>
      <c r="J1055" s="5">
        <v>1</v>
      </c>
    </row>
    <row r="1056" spans="1:10" x14ac:dyDescent="0.25">
      <c r="A1056" t="s">
        <v>14</v>
      </c>
      <c r="B1056" t="s">
        <v>2324</v>
      </c>
      <c r="C1056" t="s">
        <v>16</v>
      </c>
      <c r="D1056" t="s">
        <v>1298</v>
      </c>
      <c r="E1056" s="5" t="s">
        <v>59</v>
      </c>
      <c r="F1056" s="5" t="e">
        <f>VLOOKUP(B1056,'Türkkep Jira'!B:F,5,0)</f>
        <v>#N/A</v>
      </c>
      <c r="G1056" t="str">
        <f>IF(IFERROR(VLOOKUP(B1056,'Devam Eden Sprint'!B:B,1,0),"-")=B1056,"Devam Eden Sprint","-")</f>
        <v>-</v>
      </c>
      <c r="H1056" t="str">
        <f>IF(IFERROR(VLOOKUP(B1056,'Gelecek Sprint'!B:B,1,0),"-")=B1056,"Gelecek Sprint","-")</f>
        <v>-</v>
      </c>
      <c r="I1056" t="str">
        <f t="shared" ref="I1056:I1071" si="29">IFERROR(IF(AND(G1056="Devam Eden Sprint",H1056="Gelecek Sprint"),"Devam Eden ve Gelecek Sprint",IF(G1056="Devam Eden Sprint","Devam Eden Sprint",IF(H1056="Gelecek Sprint","Gelecek Sprint","Ürün İş Listesi"))),"Ürün İş Listesi")</f>
        <v>Ürün İş Listesi</v>
      </c>
      <c r="J1056">
        <v>3</v>
      </c>
    </row>
    <row r="1057" spans="1:10" x14ac:dyDescent="0.25">
      <c r="A1057" t="s">
        <v>14</v>
      </c>
      <c r="B1057" t="s">
        <v>2325</v>
      </c>
      <c r="C1057" t="s">
        <v>16</v>
      </c>
      <c r="D1057" t="s">
        <v>2333</v>
      </c>
      <c r="E1057" s="5" t="s">
        <v>59</v>
      </c>
      <c r="F1057" s="5" t="e">
        <f>VLOOKUP(B1057,'Türkkep Jira'!B:F,5,0)</f>
        <v>#N/A</v>
      </c>
      <c r="G1057" t="str">
        <f>IF(IFERROR(VLOOKUP(B1057,'Devam Eden Sprint'!B:B,1,0),"-")=B1057,"Devam Eden Sprint","-")</f>
        <v>-</v>
      </c>
      <c r="H1057" t="str">
        <f>IF(IFERROR(VLOOKUP(B1057,'Gelecek Sprint'!B:B,1,0),"-")=B1057,"Gelecek Sprint","-")</f>
        <v>-</v>
      </c>
      <c r="I1057" t="str">
        <f t="shared" si="29"/>
        <v>Ürün İş Listesi</v>
      </c>
      <c r="J1057">
        <v>1</v>
      </c>
    </row>
    <row r="1058" spans="1:10" x14ac:dyDescent="0.25">
      <c r="A1058" t="s">
        <v>14</v>
      </c>
      <c r="B1058" t="s">
        <v>2326</v>
      </c>
      <c r="C1058" t="s">
        <v>16</v>
      </c>
      <c r="D1058" t="s">
        <v>2334</v>
      </c>
      <c r="E1058" s="5" t="s">
        <v>59</v>
      </c>
      <c r="F1058" s="5" t="e">
        <f>VLOOKUP(B1058,'Türkkep Jira'!B:F,5,0)</f>
        <v>#N/A</v>
      </c>
      <c r="G1058" t="str">
        <f>IF(IFERROR(VLOOKUP(B1058,'Devam Eden Sprint'!B:B,1,0),"-")=B1058,"Devam Eden Sprint","-")</f>
        <v>-</v>
      </c>
      <c r="H1058" t="str">
        <f>IF(IFERROR(VLOOKUP(B1058,'Gelecek Sprint'!B:B,1,0),"-")=B1058,"Gelecek Sprint","-")</f>
        <v>-</v>
      </c>
      <c r="I1058" t="str">
        <f t="shared" si="29"/>
        <v>Ürün İş Listesi</v>
      </c>
      <c r="J1058">
        <v>1</v>
      </c>
    </row>
    <row r="1059" spans="1:10" x14ac:dyDescent="0.25">
      <c r="A1059" t="s">
        <v>14</v>
      </c>
      <c r="B1059" t="s">
        <v>2309</v>
      </c>
      <c r="C1059" t="s">
        <v>16</v>
      </c>
      <c r="D1059" t="s">
        <v>2308</v>
      </c>
      <c r="E1059" s="5" t="s">
        <v>56</v>
      </c>
      <c r="F1059" s="5" t="e">
        <f>VLOOKUP(B1059,'Türkkep Jira'!B:F,5,0)</f>
        <v>#N/A</v>
      </c>
      <c r="G1059" t="str">
        <f>IF(IFERROR(VLOOKUP(B1059,'Devam Eden Sprint'!B:B,1,0),"-")=B1059,"Devam Eden Sprint","-")</f>
        <v>-</v>
      </c>
      <c r="H1059" t="str">
        <f>IF(IFERROR(VLOOKUP(B1059,'Gelecek Sprint'!B:B,1,0),"-")=B1059,"Gelecek Sprint","-")</f>
        <v>-</v>
      </c>
      <c r="I1059" t="str">
        <f t="shared" si="29"/>
        <v>Ürün İş Listesi</v>
      </c>
      <c r="J1059">
        <v>1</v>
      </c>
    </row>
    <row r="1060" spans="1:10" x14ac:dyDescent="0.25">
      <c r="A1060" t="s">
        <v>14</v>
      </c>
      <c r="B1060" t="s">
        <v>2327</v>
      </c>
      <c r="C1060" t="s">
        <v>16</v>
      </c>
      <c r="D1060" t="s">
        <v>2335</v>
      </c>
      <c r="E1060" s="5" t="s">
        <v>44</v>
      </c>
      <c r="F1060" s="5" t="e">
        <f>VLOOKUP(B1060,'Türkkep Jira'!B:F,5,0)</f>
        <v>#N/A</v>
      </c>
      <c r="G1060" t="str">
        <f>IF(IFERROR(VLOOKUP(B1060,'Devam Eden Sprint'!B:B,1,0),"-")=B1060,"Devam Eden Sprint","-")</f>
        <v>-</v>
      </c>
      <c r="H1060" t="str">
        <f>IF(IFERROR(VLOOKUP(B1060,'Gelecek Sprint'!B:B,1,0),"-")=B1060,"Gelecek Sprint","-")</f>
        <v>-</v>
      </c>
      <c r="I1060" t="str">
        <f t="shared" si="29"/>
        <v>Ürün İş Listesi</v>
      </c>
      <c r="J1060">
        <v>1</v>
      </c>
    </row>
    <row r="1061" spans="1:10" x14ac:dyDescent="0.25">
      <c r="A1061" t="s">
        <v>14</v>
      </c>
      <c r="B1061" t="s">
        <v>2328</v>
      </c>
      <c r="C1061" t="s">
        <v>16</v>
      </c>
      <c r="D1061" t="s">
        <v>2336</v>
      </c>
      <c r="E1061" s="5" t="s">
        <v>44</v>
      </c>
      <c r="F1061" s="5" t="e">
        <f>VLOOKUP(B1061,'Türkkep Jira'!B:F,5,0)</f>
        <v>#N/A</v>
      </c>
      <c r="G1061" t="str">
        <f>IF(IFERROR(VLOOKUP(B1061,'Devam Eden Sprint'!B:B,1,0),"-")=B1061,"Devam Eden Sprint","-")</f>
        <v>-</v>
      </c>
      <c r="H1061" t="str">
        <f>IF(IFERROR(VLOOKUP(B1061,'Gelecek Sprint'!B:B,1,0),"-")=B1061,"Gelecek Sprint","-")</f>
        <v>-</v>
      </c>
      <c r="I1061" t="str">
        <f t="shared" si="29"/>
        <v>Ürün İş Listesi</v>
      </c>
      <c r="J1061">
        <v>1</v>
      </c>
    </row>
    <row r="1062" spans="1:10" x14ac:dyDescent="0.25">
      <c r="A1062" t="s">
        <v>14</v>
      </c>
      <c r="B1062" t="s">
        <v>2329</v>
      </c>
      <c r="C1062" t="s">
        <v>16</v>
      </c>
      <c r="D1062" t="s">
        <v>2337</v>
      </c>
      <c r="E1062" s="5" t="s">
        <v>44</v>
      </c>
      <c r="F1062" s="5" t="str">
        <f>VLOOKUP(B1062,'Türkkep Jira'!B:F,5,0)</f>
        <v>Done</v>
      </c>
      <c r="G1062" t="str">
        <f>IF(IFERROR(VLOOKUP(B1062,'Devam Eden Sprint'!B:B,1,0),"-")=B1062,"Devam Eden Sprint","-")</f>
        <v>Devam Eden Sprint</v>
      </c>
      <c r="H1062" t="str">
        <f>IF(IFERROR(VLOOKUP(B1062,'Gelecek Sprint'!B:B,1,0),"-")=B1062,"Gelecek Sprint","-")</f>
        <v>-</v>
      </c>
      <c r="I1062" t="str">
        <f t="shared" si="29"/>
        <v>Devam Eden Sprint</v>
      </c>
      <c r="J1062">
        <v>8</v>
      </c>
    </row>
    <row r="1063" spans="1:10" x14ac:dyDescent="0.25">
      <c r="A1063" t="s">
        <v>14</v>
      </c>
      <c r="B1063" t="s">
        <v>2330</v>
      </c>
      <c r="C1063" t="s">
        <v>16</v>
      </c>
      <c r="D1063" t="s">
        <v>2338</v>
      </c>
      <c r="E1063" s="5" t="s">
        <v>50</v>
      </c>
      <c r="F1063" s="5" t="str">
        <f>VLOOKUP(B1063,'Türkkep Jira'!B:F,5,0)</f>
        <v>Done</v>
      </c>
      <c r="G1063" t="str">
        <f>IF(IFERROR(VLOOKUP(B1063,'Devam Eden Sprint'!B:B,1,0),"-")=B1063,"Devam Eden Sprint","-")</f>
        <v>-</v>
      </c>
      <c r="H1063" t="str">
        <f>IF(IFERROR(VLOOKUP(B1063,'Gelecek Sprint'!B:B,1,0),"-")=B1063,"Gelecek Sprint","-")</f>
        <v>-</v>
      </c>
      <c r="I1063" t="str">
        <f t="shared" si="29"/>
        <v>Ürün İş Listesi</v>
      </c>
      <c r="J1063">
        <v>3</v>
      </c>
    </row>
    <row r="1064" spans="1:10" x14ac:dyDescent="0.25">
      <c r="A1064" t="s">
        <v>14</v>
      </c>
      <c r="B1064" t="s">
        <v>2331</v>
      </c>
      <c r="C1064" t="s">
        <v>16</v>
      </c>
      <c r="D1064" t="s">
        <v>2339</v>
      </c>
      <c r="E1064" s="5" t="s">
        <v>50</v>
      </c>
      <c r="F1064" s="5" t="str">
        <f>VLOOKUP(B1064,'Türkkep Jira'!B:F,5,0)</f>
        <v>Done</v>
      </c>
      <c r="G1064" t="str">
        <f>IF(IFERROR(VLOOKUP(B1064,'Devam Eden Sprint'!B:B,1,0),"-")=B1064,"Devam Eden Sprint","-")</f>
        <v>-</v>
      </c>
      <c r="H1064" t="str">
        <f>IF(IFERROR(VLOOKUP(B1064,'Gelecek Sprint'!B:B,1,0),"-")=B1064,"Gelecek Sprint","-")</f>
        <v>-</v>
      </c>
      <c r="I1064" t="str">
        <f t="shared" si="29"/>
        <v>Ürün İş Listesi</v>
      </c>
      <c r="J1064">
        <v>3</v>
      </c>
    </row>
    <row r="1065" spans="1:10" x14ac:dyDescent="0.25">
      <c r="A1065" t="s">
        <v>14</v>
      </c>
      <c r="B1065" t="s">
        <v>2332</v>
      </c>
      <c r="C1065" t="s">
        <v>16</v>
      </c>
      <c r="D1065" t="s">
        <v>2340</v>
      </c>
      <c r="E1065" s="5" t="s">
        <v>59</v>
      </c>
      <c r="F1065" s="5" t="e">
        <f>VLOOKUP(B1065,'Türkkep Jira'!B:F,5,0)</f>
        <v>#N/A</v>
      </c>
      <c r="G1065" t="str">
        <f>IF(IFERROR(VLOOKUP(B1065,'Devam Eden Sprint'!B:B,1,0),"-")=B1065,"Devam Eden Sprint","-")</f>
        <v>-</v>
      </c>
      <c r="H1065" t="str">
        <f>IF(IFERROR(VLOOKUP(B1065,'Gelecek Sprint'!B:B,1,0),"-")=B1065,"Gelecek Sprint","-")</f>
        <v>-</v>
      </c>
      <c r="I1065" t="str">
        <f t="shared" si="29"/>
        <v>Ürün İş Listesi</v>
      </c>
      <c r="J1065">
        <v>1</v>
      </c>
    </row>
    <row r="1066" spans="1:10" x14ac:dyDescent="0.25">
      <c r="A1066" t="s">
        <v>14</v>
      </c>
      <c r="B1066" t="s">
        <v>2347</v>
      </c>
      <c r="C1066" t="s">
        <v>16</v>
      </c>
      <c r="D1066" t="s">
        <v>2348</v>
      </c>
      <c r="E1066" s="5" t="s">
        <v>127</v>
      </c>
      <c r="F1066" s="5" t="e">
        <f>VLOOKUP(B1066,'Türkkep Jira'!B:F,5,0)</f>
        <v>#N/A</v>
      </c>
      <c r="G1066" t="str">
        <f>IF(IFERROR(VLOOKUP(B1066,'Devam Eden Sprint'!B:B,1,0),"-")=B1066,"Devam Eden Sprint","-")</f>
        <v>-</v>
      </c>
      <c r="H1066" t="str">
        <f>IF(IFERROR(VLOOKUP(B1066,'Gelecek Sprint'!B:B,1,0),"-")=B1066,"Gelecek Sprint","-")</f>
        <v>-</v>
      </c>
      <c r="I1066" t="str">
        <f t="shared" si="29"/>
        <v>Ürün İş Listesi</v>
      </c>
      <c r="J1066">
        <v>2</v>
      </c>
    </row>
    <row r="1067" spans="1:10" x14ac:dyDescent="0.25">
      <c r="A1067" t="s">
        <v>14</v>
      </c>
      <c r="B1067" t="s">
        <v>2304</v>
      </c>
      <c r="C1067" t="s">
        <v>16</v>
      </c>
      <c r="D1067" t="s">
        <v>2349</v>
      </c>
      <c r="E1067" s="5" t="s">
        <v>53</v>
      </c>
      <c r="F1067" s="5" t="e">
        <f>VLOOKUP(B1067,'Türkkep Jira'!B:F,5,0)</f>
        <v>#N/A</v>
      </c>
      <c r="G1067" t="str">
        <f>IF(IFERROR(VLOOKUP(B1067,'Devam Eden Sprint'!B:B,1,0),"-")=B1067,"Devam Eden Sprint","-")</f>
        <v>-</v>
      </c>
      <c r="H1067" t="str">
        <f>IF(IFERROR(VLOOKUP(B1067,'Gelecek Sprint'!B:B,1,0),"-")=B1067,"Gelecek Sprint","-")</f>
        <v>-</v>
      </c>
      <c r="I1067" t="str">
        <f t="shared" si="29"/>
        <v>Ürün İş Listesi</v>
      </c>
      <c r="J1067"/>
    </row>
    <row r="1068" spans="1:10" x14ac:dyDescent="0.25">
      <c r="A1068" t="s">
        <v>14</v>
      </c>
      <c r="B1068" t="s">
        <v>2350</v>
      </c>
      <c r="C1068" t="s">
        <v>16</v>
      </c>
      <c r="D1068" t="s">
        <v>2348</v>
      </c>
      <c r="E1068" s="5" t="s">
        <v>53</v>
      </c>
      <c r="F1068" s="5" t="e">
        <f>VLOOKUP(B1068,'Türkkep Jira'!B:F,5,0)</f>
        <v>#N/A</v>
      </c>
      <c r="G1068" t="str">
        <f>IF(IFERROR(VLOOKUP(B1068,'Devam Eden Sprint'!B:B,1,0),"-")=B1068,"Devam Eden Sprint","-")</f>
        <v>-</v>
      </c>
      <c r="H1068" t="str">
        <f>IF(IFERROR(VLOOKUP(B1068,'Gelecek Sprint'!B:B,1,0),"-")=B1068,"Gelecek Sprint","-")</f>
        <v>-</v>
      </c>
      <c r="I1068" t="str">
        <f t="shared" si="29"/>
        <v>Ürün İş Listesi</v>
      </c>
      <c r="J1068">
        <v>2</v>
      </c>
    </row>
    <row r="1069" spans="1:10" x14ac:dyDescent="0.25">
      <c r="A1069" t="s">
        <v>14</v>
      </c>
      <c r="B1069" t="s">
        <v>2351</v>
      </c>
      <c r="C1069" t="s">
        <v>16</v>
      </c>
      <c r="D1069" t="s">
        <v>2348</v>
      </c>
      <c r="E1069" s="5" t="s">
        <v>533</v>
      </c>
      <c r="F1069" s="5" t="e">
        <f>VLOOKUP(B1069,'Türkkep Jira'!B:F,5,0)</f>
        <v>#N/A</v>
      </c>
      <c r="G1069" t="str">
        <f>IF(IFERROR(VLOOKUP(B1069,'Devam Eden Sprint'!B:B,1,0),"-")=B1069,"Devam Eden Sprint","-")</f>
        <v>-</v>
      </c>
      <c r="H1069" t="str">
        <f>IF(IFERROR(VLOOKUP(B1069,'Gelecek Sprint'!B:B,1,0),"-")=B1069,"Gelecek Sprint","-")</f>
        <v>-</v>
      </c>
      <c r="I1069" t="str">
        <f t="shared" si="29"/>
        <v>Ürün İş Listesi</v>
      </c>
      <c r="J1069">
        <v>2</v>
      </c>
    </row>
    <row r="1070" spans="1:10" x14ac:dyDescent="0.25">
      <c r="A1070" t="s">
        <v>14</v>
      </c>
      <c r="B1070" t="s">
        <v>2352</v>
      </c>
      <c r="C1070" t="s">
        <v>16</v>
      </c>
      <c r="D1070" t="s">
        <v>2348</v>
      </c>
      <c r="E1070" s="5" t="s">
        <v>455</v>
      </c>
      <c r="F1070" s="5" t="e">
        <f>VLOOKUP(B1070,'Türkkep Jira'!B:F,5,0)</f>
        <v>#N/A</v>
      </c>
      <c r="G1070" t="str">
        <f>IF(IFERROR(VLOOKUP(B1070,'Devam Eden Sprint'!B:B,1,0),"-")=B1070,"Devam Eden Sprint","-")</f>
        <v>-</v>
      </c>
      <c r="H1070" t="str">
        <f>IF(IFERROR(VLOOKUP(B1070,'Gelecek Sprint'!B:B,1,0),"-")=B1070,"Gelecek Sprint","-")</f>
        <v>-</v>
      </c>
      <c r="I1070" t="str">
        <f t="shared" si="29"/>
        <v>Ürün İş Listesi</v>
      </c>
      <c r="J1070">
        <v>3</v>
      </c>
    </row>
    <row r="1071" spans="1:10" x14ac:dyDescent="0.25">
      <c r="A1071" t="s">
        <v>14</v>
      </c>
      <c r="B1071" t="s">
        <v>2353</v>
      </c>
      <c r="C1071" t="s">
        <v>16</v>
      </c>
      <c r="D1071" t="s">
        <v>2348</v>
      </c>
      <c r="E1071" s="5" t="s">
        <v>53</v>
      </c>
      <c r="F1071" s="5" t="e">
        <f>VLOOKUP(B1071,'Türkkep Jira'!B:F,5,0)</f>
        <v>#N/A</v>
      </c>
      <c r="G1071" t="str">
        <f>IF(IFERROR(VLOOKUP(B1071,'Devam Eden Sprint'!B:B,1,0),"-")=B1071,"Devam Eden Sprint","-")</f>
        <v>-</v>
      </c>
      <c r="H1071" t="str">
        <f>IF(IFERROR(VLOOKUP(B1071,'Gelecek Sprint'!B:B,1,0),"-")=B1071,"Gelecek Sprint","-")</f>
        <v>-</v>
      </c>
      <c r="I1071" t="str">
        <f t="shared" si="29"/>
        <v>Ürün İş Listesi</v>
      </c>
      <c r="J1071">
        <v>3</v>
      </c>
    </row>
    <row r="1072" spans="1:10" x14ac:dyDescent="0.25">
      <c r="A1072" t="s">
        <v>14</v>
      </c>
      <c r="B1072" t="s">
        <v>2433</v>
      </c>
      <c r="C1072" t="s">
        <v>27</v>
      </c>
      <c r="D1072" t="s">
        <v>2432</v>
      </c>
      <c r="E1072" s="5" t="s">
        <v>12</v>
      </c>
      <c r="F1072" s="5" t="str">
        <f>VLOOKUP(B1072,'Türkkep Jira'!B:F,5,0)</f>
        <v>TO TEST</v>
      </c>
      <c r="G1072" t="str">
        <f>IF(IFERROR(VLOOKUP(B1072,'Devam Eden Sprint'!B:B,1,0),"-")=B1072,"Devam Eden Sprint","-")</f>
        <v>Devam Eden Sprint</v>
      </c>
      <c r="H1072" t="str">
        <f>IF(IFERROR(VLOOKUP(B1072,'Gelecek Sprint'!B:B,1,0),"-")=B1072,"Gelecek Sprint","-")</f>
        <v>Gelecek Sprint</v>
      </c>
      <c r="I1072" t="str">
        <f t="shared" ref="I1072:I1079" si="30">IFERROR(IF(AND(G1072="Devam Eden Sprint",H1072="Gelecek Sprint"),"Devam Eden ve Gelecek Sprint",IF(G1072="Devam Eden Sprint","Devam Eden Sprint",IF(H1072="Gelecek Sprint","Gelecek Sprint","Ürün İş Listesi"))),"Ürün İş Listesi")</f>
        <v>Devam Eden ve Gelecek Sprint</v>
      </c>
      <c r="J1072">
        <v>5</v>
      </c>
    </row>
    <row r="1073" spans="1:10" x14ac:dyDescent="0.25">
      <c r="A1073" t="s">
        <v>77</v>
      </c>
      <c r="B1073" t="s">
        <v>2404</v>
      </c>
      <c r="C1073" t="s">
        <v>16</v>
      </c>
      <c r="D1073" t="s">
        <v>2403</v>
      </c>
      <c r="E1073" s="5" t="s">
        <v>41</v>
      </c>
      <c r="F1073" s="5" t="e">
        <f>VLOOKUP(B1073,'Türkkep Jira'!B:F,5,0)</f>
        <v>#N/A</v>
      </c>
      <c r="G1073" t="str">
        <f>IF(IFERROR(VLOOKUP(B1073,'Devam Eden Sprint'!B:B,1,0),"-")=B1073,"Devam Eden Sprint","-")</f>
        <v>-</v>
      </c>
      <c r="H1073" t="str">
        <f>IF(IFERROR(VLOOKUP(B1073,'Gelecek Sprint'!B:B,1,0),"-")=B1073,"Gelecek Sprint","-")</f>
        <v>-</v>
      </c>
      <c r="I1073" t="str">
        <f t="shared" si="30"/>
        <v>Ürün İş Listesi</v>
      </c>
      <c r="J1073">
        <v>2</v>
      </c>
    </row>
    <row r="1074" spans="1:10" x14ac:dyDescent="0.25">
      <c r="A1074" t="s">
        <v>77</v>
      </c>
      <c r="B1074" t="s">
        <v>2406</v>
      </c>
      <c r="C1074" t="s">
        <v>16</v>
      </c>
      <c r="D1074" t="s">
        <v>2405</v>
      </c>
      <c r="E1074" s="5" t="s">
        <v>41</v>
      </c>
      <c r="F1074" s="5" t="e">
        <f>VLOOKUP(B1074,'Türkkep Jira'!B:F,5,0)</f>
        <v>#N/A</v>
      </c>
      <c r="G1074" t="str">
        <f>IF(IFERROR(VLOOKUP(B1074,'Devam Eden Sprint'!B:B,1,0),"-")=B1074,"Devam Eden Sprint","-")</f>
        <v>-</v>
      </c>
      <c r="H1074" t="str">
        <f>IF(IFERROR(VLOOKUP(B1074,'Gelecek Sprint'!B:B,1,0),"-")=B1074,"Gelecek Sprint","-")</f>
        <v>-</v>
      </c>
      <c r="I1074" t="str">
        <f t="shared" si="30"/>
        <v>Ürün İş Listesi</v>
      </c>
      <c r="J1074">
        <v>1</v>
      </c>
    </row>
    <row r="1075" spans="1:10" x14ac:dyDescent="0.25">
      <c r="A1075" t="s">
        <v>77</v>
      </c>
      <c r="B1075" t="s">
        <v>2417</v>
      </c>
      <c r="C1075" t="s">
        <v>16</v>
      </c>
      <c r="D1075" t="s">
        <v>2416</v>
      </c>
      <c r="E1075" s="5" t="s">
        <v>38</v>
      </c>
      <c r="F1075" s="5" t="e">
        <f>VLOOKUP(B1075,'Türkkep Jira'!B:F,5,0)</f>
        <v>#N/A</v>
      </c>
      <c r="G1075" t="str">
        <f>IF(IFERROR(VLOOKUP(B1075,'Devam Eden Sprint'!B:B,1,0),"-")=B1075,"Devam Eden Sprint","-")</f>
        <v>-</v>
      </c>
      <c r="H1075" t="str">
        <f>IF(IFERROR(VLOOKUP(B1075,'Gelecek Sprint'!B:B,1,0),"-")=B1075,"Gelecek Sprint","-")</f>
        <v>-</v>
      </c>
      <c r="I1075" t="str">
        <f t="shared" si="30"/>
        <v>Ürün İş Listesi</v>
      </c>
      <c r="J1075">
        <v>2</v>
      </c>
    </row>
    <row r="1076" spans="1:10" x14ac:dyDescent="0.25">
      <c r="A1076" t="s">
        <v>77</v>
      </c>
      <c r="B1076" t="s">
        <v>2408</v>
      </c>
      <c r="C1076" t="s">
        <v>16</v>
      </c>
      <c r="D1076" t="s">
        <v>2407</v>
      </c>
      <c r="E1076" s="5" t="s">
        <v>41</v>
      </c>
      <c r="F1076" s="5" t="e">
        <f>VLOOKUP(B1076,'Türkkep Jira'!B:F,5,0)</f>
        <v>#N/A</v>
      </c>
      <c r="G1076" t="str">
        <f>IF(IFERROR(VLOOKUP(B1076,'Devam Eden Sprint'!B:B,1,0),"-")=B1076,"Devam Eden Sprint","-")</f>
        <v>-</v>
      </c>
      <c r="H1076" t="str">
        <f>IF(IFERROR(VLOOKUP(B1076,'Gelecek Sprint'!B:B,1,0),"-")=B1076,"Gelecek Sprint","-")</f>
        <v>-</v>
      </c>
      <c r="I1076" t="str">
        <f t="shared" si="30"/>
        <v>Ürün İş Listesi</v>
      </c>
      <c r="J1076">
        <v>2</v>
      </c>
    </row>
    <row r="1077" spans="1:10" x14ac:dyDescent="0.25">
      <c r="A1077" t="s">
        <v>77</v>
      </c>
      <c r="B1077" t="s">
        <v>2410</v>
      </c>
      <c r="C1077" t="s">
        <v>16</v>
      </c>
      <c r="D1077" t="s">
        <v>2409</v>
      </c>
      <c r="E1077" s="5" t="s">
        <v>41</v>
      </c>
      <c r="F1077" s="5" t="e">
        <f>VLOOKUP(B1077,'Türkkep Jira'!B:F,5,0)</f>
        <v>#N/A</v>
      </c>
      <c r="G1077" t="str">
        <f>IF(IFERROR(VLOOKUP(B1077,'Devam Eden Sprint'!B:B,1,0),"-")=B1077,"Devam Eden Sprint","-")</f>
        <v>-</v>
      </c>
      <c r="H1077" t="str">
        <f>IF(IFERROR(VLOOKUP(B1077,'Gelecek Sprint'!B:B,1,0),"-")=B1077,"Gelecek Sprint","-")</f>
        <v>-</v>
      </c>
      <c r="I1077" t="str">
        <f t="shared" si="30"/>
        <v>Ürün İş Listesi</v>
      </c>
      <c r="J1077">
        <v>1</v>
      </c>
    </row>
    <row r="1078" spans="1:10" x14ac:dyDescent="0.25">
      <c r="A1078" t="s">
        <v>77</v>
      </c>
      <c r="B1078" t="s">
        <v>2411</v>
      </c>
      <c r="C1078" t="s">
        <v>16</v>
      </c>
      <c r="D1078" t="s">
        <v>2446</v>
      </c>
      <c r="E1078" s="5" t="s">
        <v>41</v>
      </c>
      <c r="F1078" s="5" t="e">
        <f>VLOOKUP(B1078,'Türkkep Jira'!B:F,5,0)</f>
        <v>#N/A</v>
      </c>
      <c r="G1078" t="str">
        <f>IF(IFERROR(VLOOKUP(B1078,'Devam Eden Sprint'!B:B,1,0),"-")=B1078,"Devam Eden Sprint","-")</f>
        <v>-</v>
      </c>
      <c r="H1078" t="str">
        <f>IF(IFERROR(VLOOKUP(B1078,'Gelecek Sprint'!B:B,1,0),"-")=B1078,"Gelecek Sprint","-")</f>
        <v>-</v>
      </c>
      <c r="I1078" t="str">
        <f t="shared" si="30"/>
        <v>Ürün İş Listesi</v>
      </c>
      <c r="J1078">
        <v>1</v>
      </c>
    </row>
    <row r="1079" spans="1:10" x14ac:dyDescent="0.25">
      <c r="A1079" t="s">
        <v>14</v>
      </c>
      <c r="B1079" t="s">
        <v>2413</v>
      </c>
      <c r="C1079" t="s">
        <v>16</v>
      </c>
      <c r="D1079" t="s">
        <v>2412</v>
      </c>
      <c r="E1079" s="5" t="s">
        <v>41</v>
      </c>
      <c r="F1079" s="5" t="e">
        <f>VLOOKUP(B1079,'Türkkep Jira'!B:F,5,0)</f>
        <v>#N/A</v>
      </c>
      <c r="G1079" t="str">
        <f>IF(IFERROR(VLOOKUP(B1079,'Devam Eden Sprint'!B:B,1,0),"-")=B1079,"Devam Eden Sprint","-")</f>
        <v>-</v>
      </c>
      <c r="H1079" t="str">
        <f>IF(IFERROR(VLOOKUP(B1079,'Gelecek Sprint'!B:B,1,0),"-")=B1079,"Gelecek Sprint","-")</f>
        <v>-</v>
      </c>
      <c r="I1079" t="str">
        <f t="shared" si="30"/>
        <v>Ürün İş Listesi</v>
      </c>
      <c r="J1079">
        <v>1</v>
      </c>
    </row>
    <row r="1080" spans="1:10" x14ac:dyDescent="0.25">
      <c r="A1080" t="s">
        <v>14</v>
      </c>
      <c r="B1080" t="s">
        <v>2341</v>
      </c>
      <c r="C1080" t="s">
        <v>16</v>
      </c>
      <c r="D1080" t="s">
        <v>2342</v>
      </c>
      <c r="E1080" s="5" t="s">
        <v>50</v>
      </c>
      <c r="F1080" s="5" t="e">
        <f>VLOOKUP(B1080,'Türkkep Jira'!B:F,5,0)</f>
        <v>#N/A</v>
      </c>
      <c r="G1080" t="str">
        <f>IF(IFERROR(VLOOKUP(B1080,'Devam Eden Sprint'!B:B,1,0),"-")=B1080,"Devam Eden Sprint","-")</f>
        <v>-</v>
      </c>
      <c r="H1080" t="str">
        <f>IF(IFERROR(VLOOKUP(B1080,'Gelecek Sprint'!B:B,1,0),"-")=B1080,"Gelecek Sprint","-")</f>
        <v>-</v>
      </c>
      <c r="I1080" t="str">
        <f t="shared" ref="I1080:I1100" si="31">IFERROR(IF(AND(G1080="Devam Eden Sprint",H1080="Gelecek Sprint"),"Devam Eden ve Gelecek Sprint",IF(G1080="Devam Eden Sprint","Devam Eden Sprint",IF(H1080="Gelecek Sprint","Gelecek Sprint","Ürün İş Listesi"))),"Ürün İş Listesi")</f>
        <v>Ürün İş Listesi</v>
      </c>
      <c r="J1080">
        <v>1</v>
      </c>
    </row>
    <row r="1081" spans="1:10" x14ac:dyDescent="0.25">
      <c r="A1081" t="s">
        <v>14</v>
      </c>
      <c r="B1081" t="s">
        <v>2343</v>
      </c>
      <c r="C1081" t="s">
        <v>16</v>
      </c>
      <c r="D1081" t="s">
        <v>2344</v>
      </c>
      <c r="E1081" s="5" t="s">
        <v>56</v>
      </c>
      <c r="F1081" s="5" t="e">
        <f>VLOOKUP(B1081,'Türkkep Jira'!B:F,5,0)</f>
        <v>#N/A</v>
      </c>
      <c r="G1081" t="str">
        <f>IF(IFERROR(VLOOKUP(B1081,'Devam Eden Sprint'!B:B,1,0),"-")=B1081,"Devam Eden Sprint","-")</f>
        <v>-</v>
      </c>
      <c r="H1081" t="str">
        <f>IF(IFERROR(VLOOKUP(B1081,'Gelecek Sprint'!B:B,1,0),"-")=B1081,"Gelecek Sprint","-")</f>
        <v>-</v>
      </c>
      <c r="I1081" t="str">
        <f t="shared" si="31"/>
        <v>Ürün İş Listesi</v>
      </c>
      <c r="J1081">
        <v>5</v>
      </c>
    </row>
    <row r="1082" spans="1:10" x14ac:dyDescent="0.25">
      <c r="A1082" t="s">
        <v>14</v>
      </c>
      <c r="B1082" t="s">
        <v>2345</v>
      </c>
      <c r="C1082" t="s">
        <v>16</v>
      </c>
      <c r="D1082" t="s">
        <v>2346</v>
      </c>
      <c r="E1082" s="5" t="s">
        <v>56</v>
      </c>
      <c r="F1082" s="5" t="e">
        <f>VLOOKUP(B1082,'Türkkep Jira'!B:F,5,0)</f>
        <v>#N/A</v>
      </c>
      <c r="G1082" t="str">
        <f>IF(IFERROR(VLOOKUP(B1082,'Devam Eden Sprint'!B:B,1,0),"-")=B1082,"Devam Eden Sprint","-")</f>
        <v>-</v>
      </c>
      <c r="H1082" t="str">
        <f>IF(IFERROR(VLOOKUP(B1082,'Gelecek Sprint'!B:B,1,0),"-")=B1082,"Gelecek Sprint","-")</f>
        <v>-</v>
      </c>
      <c r="I1082" t="str">
        <f t="shared" si="31"/>
        <v>Ürün İş Listesi</v>
      </c>
      <c r="J1082">
        <v>5</v>
      </c>
    </row>
    <row r="1083" spans="1:10" x14ac:dyDescent="0.25">
      <c r="A1083" t="s">
        <v>77</v>
      </c>
      <c r="B1083" t="s">
        <v>2354</v>
      </c>
      <c r="C1083" t="s">
        <v>16</v>
      </c>
      <c r="D1083" t="s">
        <v>2355</v>
      </c>
      <c r="E1083" s="5" t="s">
        <v>53</v>
      </c>
      <c r="F1083" s="5" t="e">
        <f>VLOOKUP(B1083,'Türkkep Jira'!B:F,5,0)</f>
        <v>#N/A</v>
      </c>
      <c r="G1083" t="str">
        <f>IF(IFERROR(VLOOKUP(B1083,'Devam Eden Sprint'!B:B,1,0),"-")=B1083,"Devam Eden Sprint","-")</f>
        <v>-</v>
      </c>
      <c r="H1083" t="str">
        <f>IF(IFERROR(VLOOKUP(B1083,'Gelecek Sprint'!B:B,1,0),"-")=B1083,"Gelecek Sprint","-")</f>
        <v>-</v>
      </c>
      <c r="I1083" t="str">
        <f t="shared" si="31"/>
        <v>Ürün İş Listesi</v>
      </c>
      <c r="J1083">
        <v>3</v>
      </c>
    </row>
    <row r="1084" spans="1:10" x14ac:dyDescent="0.25">
      <c r="A1084" t="s">
        <v>77</v>
      </c>
      <c r="B1084" t="s">
        <v>2356</v>
      </c>
      <c r="C1084" t="s">
        <v>16</v>
      </c>
      <c r="D1084" t="s">
        <v>2357</v>
      </c>
      <c r="E1084" s="5" t="s">
        <v>53</v>
      </c>
      <c r="F1084" s="5" t="e">
        <f>VLOOKUP(B1084,'Türkkep Jira'!B:F,5,0)</f>
        <v>#N/A</v>
      </c>
      <c r="G1084" t="str">
        <f>IF(IFERROR(VLOOKUP(B1084,'Devam Eden Sprint'!B:B,1,0),"-")=B1084,"Devam Eden Sprint","-")</f>
        <v>-</v>
      </c>
      <c r="H1084" t="str">
        <f>IF(IFERROR(VLOOKUP(B1084,'Gelecek Sprint'!B:B,1,0),"-")=B1084,"Gelecek Sprint","-")</f>
        <v>-</v>
      </c>
      <c r="I1084" t="str">
        <f t="shared" si="31"/>
        <v>Ürün İş Listesi</v>
      </c>
      <c r="J1084">
        <v>2</v>
      </c>
    </row>
    <row r="1085" spans="1:10" x14ac:dyDescent="0.25">
      <c r="A1085" t="s">
        <v>77</v>
      </c>
      <c r="B1085" t="s">
        <v>2358</v>
      </c>
      <c r="C1085" t="s">
        <v>16</v>
      </c>
      <c r="D1085" t="s">
        <v>2359</v>
      </c>
      <c r="E1085" s="5" t="s">
        <v>53</v>
      </c>
      <c r="F1085" s="5" t="e">
        <f>VLOOKUP(B1085,'Türkkep Jira'!B:F,5,0)</f>
        <v>#N/A</v>
      </c>
      <c r="G1085" t="str">
        <f>IF(IFERROR(VLOOKUP(B1085,'Devam Eden Sprint'!B:B,1,0),"-")=B1085,"Devam Eden Sprint","-")</f>
        <v>-</v>
      </c>
      <c r="H1085" t="str">
        <f>IF(IFERROR(VLOOKUP(B1085,'Gelecek Sprint'!B:B,1,0),"-")=B1085,"Gelecek Sprint","-")</f>
        <v>-</v>
      </c>
      <c r="I1085" t="str">
        <f t="shared" si="31"/>
        <v>Ürün İş Listesi</v>
      </c>
      <c r="J1085">
        <v>2</v>
      </c>
    </row>
    <row r="1086" spans="1:10" x14ac:dyDescent="0.25">
      <c r="A1086" t="s">
        <v>77</v>
      </c>
      <c r="B1086" t="s">
        <v>2360</v>
      </c>
      <c r="C1086" t="s">
        <v>10</v>
      </c>
      <c r="D1086" t="s">
        <v>2361</v>
      </c>
      <c r="E1086" s="5" t="s">
        <v>53</v>
      </c>
      <c r="F1086" s="5" t="e">
        <f>VLOOKUP(B1086,'Türkkep Jira'!B:F,5,0)</f>
        <v>#N/A</v>
      </c>
      <c r="G1086" t="str">
        <f>IF(IFERROR(VLOOKUP(B1086,'Devam Eden Sprint'!B:B,1,0),"-")=B1086,"Devam Eden Sprint","-")</f>
        <v>-</v>
      </c>
      <c r="H1086" t="str">
        <f>IF(IFERROR(VLOOKUP(B1086,'Gelecek Sprint'!B:B,1,0),"-")=B1086,"Gelecek Sprint","-")</f>
        <v>-</v>
      </c>
      <c r="I1086" t="str">
        <f t="shared" si="31"/>
        <v>Ürün İş Listesi</v>
      </c>
      <c r="J1086">
        <v>2</v>
      </c>
    </row>
    <row r="1087" spans="1:10" x14ac:dyDescent="0.25">
      <c r="A1087" t="s">
        <v>14</v>
      </c>
      <c r="B1087" t="s">
        <v>2362</v>
      </c>
      <c r="C1087" t="s">
        <v>16</v>
      </c>
      <c r="D1087" t="s">
        <v>2363</v>
      </c>
      <c r="E1087" s="5" t="s">
        <v>53</v>
      </c>
      <c r="F1087" s="5" t="str">
        <f>VLOOKUP(B1087,'Türkkep Jira'!B:F,5,0)</f>
        <v>Done</v>
      </c>
      <c r="G1087" t="str">
        <f>IF(IFERROR(VLOOKUP(B1087,'Devam Eden Sprint'!B:B,1,0),"-")=B1087,"Devam Eden Sprint","-")</f>
        <v>Devam Eden Sprint</v>
      </c>
      <c r="H1087" t="str">
        <f>IF(IFERROR(VLOOKUP(B1087,'Gelecek Sprint'!B:B,1,0),"-")=B1087,"Gelecek Sprint","-")</f>
        <v>-</v>
      </c>
      <c r="I1087" t="str">
        <f t="shared" si="31"/>
        <v>Devam Eden Sprint</v>
      </c>
      <c r="J1087">
        <v>3</v>
      </c>
    </row>
    <row r="1088" spans="1:10" x14ac:dyDescent="0.25">
      <c r="A1088" t="s">
        <v>14</v>
      </c>
      <c r="B1088" t="s">
        <v>2364</v>
      </c>
      <c r="C1088" t="s">
        <v>10</v>
      </c>
      <c r="D1088" t="s">
        <v>2365</v>
      </c>
      <c r="E1088" s="5" t="s">
        <v>53</v>
      </c>
      <c r="F1088" s="5" t="e">
        <f>VLOOKUP(B1088,'Türkkep Jira'!B:F,5,0)</f>
        <v>#N/A</v>
      </c>
      <c r="G1088" t="str">
        <f>IF(IFERROR(VLOOKUP(B1088,'Devam Eden Sprint'!B:B,1,0),"-")=B1088,"Devam Eden Sprint","-")</f>
        <v>-</v>
      </c>
      <c r="H1088" t="str">
        <f>IF(IFERROR(VLOOKUP(B1088,'Gelecek Sprint'!B:B,1,0),"-")=B1088,"Gelecek Sprint","-")</f>
        <v>-</v>
      </c>
      <c r="I1088" t="str">
        <f t="shared" si="31"/>
        <v>Ürün İş Listesi</v>
      </c>
      <c r="J1088">
        <v>3</v>
      </c>
    </row>
    <row r="1089" spans="1:10" x14ac:dyDescent="0.25">
      <c r="A1089" t="s">
        <v>14</v>
      </c>
      <c r="B1089" t="s">
        <v>2366</v>
      </c>
      <c r="C1089" t="s">
        <v>28</v>
      </c>
      <c r="D1089" t="s">
        <v>2367</v>
      </c>
      <c r="E1089" s="5" t="s">
        <v>53</v>
      </c>
      <c r="F1089" s="5" t="e">
        <f>VLOOKUP(B1089,'Türkkep Jira'!B:F,5,0)</f>
        <v>#N/A</v>
      </c>
      <c r="G1089" t="str">
        <f>IF(IFERROR(VLOOKUP(B1089,'Devam Eden Sprint'!B:B,1,0),"-")=B1089,"Devam Eden Sprint","-")</f>
        <v>Devam Eden Sprint</v>
      </c>
      <c r="H1089" t="str">
        <f>IF(IFERROR(VLOOKUP(B1089,'Gelecek Sprint'!B:B,1,0),"-")=B1089,"Gelecek Sprint","-")</f>
        <v>-</v>
      </c>
      <c r="I1089" t="str">
        <f t="shared" si="31"/>
        <v>Devam Eden Sprint</v>
      </c>
      <c r="J1089">
        <v>2</v>
      </c>
    </row>
    <row r="1090" spans="1:10" x14ac:dyDescent="0.25">
      <c r="A1090" t="s">
        <v>14</v>
      </c>
      <c r="B1090" t="s">
        <v>2368</v>
      </c>
      <c r="C1090" t="s">
        <v>16</v>
      </c>
      <c r="D1090" t="s">
        <v>2369</v>
      </c>
      <c r="E1090" s="5" t="s">
        <v>127</v>
      </c>
      <c r="F1090" s="5" t="e">
        <f>VLOOKUP(B1090,'Türkkep Jira'!B:F,5,0)</f>
        <v>#N/A</v>
      </c>
      <c r="G1090" t="str">
        <f>IF(IFERROR(VLOOKUP(B1090,'Devam Eden Sprint'!B:B,1,0),"-")=B1090,"Devam Eden Sprint","-")</f>
        <v>-</v>
      </c>
      <c r="H1090" t="str">
        <f>IF(IFERROR(VLOOKUP(B1090,'Gelecek Sprint'!B:B,1,0),"-")=B1090,"Gelecek Sprint","-")</f>
        <v>-</v>
      </c>
      <c r="I1090" t="str">
        <f t="shared" si="31"/>
        <v>Ürün İş Listesi</v>
      </c>
      <c r="J1090">
        <v>1</v>
      </c>
    </row>
    <row r="1091" spans="1:10" x14ac:dyDescent="0.25">
      <c r="A1091" t="s">
        <v>14</v>
      </c>
      <c r="B1091" t="s">
        <v>2428</v>
      </c>
      <c r="C1091" t="s">
        <v>27</v>
      </c>
      <c r="D1091" t="s">
        <v>2427</v>
      </c>
      <c r="E1091" s="5" t="s">
        <v>12</v>
      </c>
      <c r="F1091" s="5" t="str">
        <f>VLOOKUP(B1091,'Türkkep Jira'!B:F,5,0)</f>
        <v>TO TEST</v>
      </c>
      <c r="G1091" t="str">
        <f>IF(IFERROR(VLOOKUP(B1091,'Devam Eden Sprint'!B:B,1,0),"-")=B1091,"Devam Eden Sprint","-")</f>
        <v>Devam Eden Sprint</v>
      </c>
      <c r="H1091" t="str">
        <f>IF(IFERROR(VLOOKUP(B1091,'Gelecek Sprint'!B:B,1,0),"-")=B1091,"Gelecek Sprint","-")</f>
        <v>Gelecek Sprint</v>
      </c>
      <c r="I1091" t="str">
        <f t="shared" si="31"/>
        <v>Devam Eden ve Gelecek Sprint</v>
      </c>
      <c r="J1091">
        <v>3</v>
      </c>
    </row>
    <row r="1092" spans="1:10" x14ac:dyDescent="0.25">
      <c r="A1092" t="s">
        <v>14</v>
      </c>
      <c r="B1092" t="s">
        <v>2316</v>
      </c>
      <c r="C1092" t="s">
        <v>28</v>
      </c>
      <c r="D1092" t="s">
        <v>2320</v>
      </c>
      <c r="E1092" s="5" t="s">
        <v>41</v>
      </c>
      <c r="F1092" s="5" t="e">
        <f>VLOOKUP(B1092,'Türkkep Jira'!B:F,5,0)</f>
        <v>#N/A</v>
      </c>
      <c r="G1092" t="str">
        <f>IF(IFERROR(VLOOKUP(B1092,'Devam Eden Sprint'!B:B,1,0),"-")=B1092,"Devam Eden Sprint","-")</f>
        <v>-</v>
      </c>
      <c r="H1092" t="str">
        <f>IF(IFERROR(VLOOKUP(B1092,'Gelecek Sprint'!B:B,1,0),"-")=B1092,"Gelecek Sprint","-")</f>
        <v>-</v>
      </c>
      <c r="I1092" t="str">
        <f t="shared" si="31"/>
        <v>Ürün İş Listesi</v>
      </c>
      <c r="J1092">
        <v>2</v>
      </c>
    </row>
    <row r="1093" spans="1:10" x14ac:dyDescent="0.25">
      <c r="A1093" t="s">
        <v>14</v>
      </c>
      <c r="B1093" t="s">
        <v>2313</v>
      </c>
      <c r="C1093" t="s">
        <v>28</v>
      </c>
      <c r="D1093" t="s">
        <v>2312</v>
      </c>
      <c r="E1093" s="5" t="s">
        <v>41</v>
      </c>
      <c r="F1093" s="5" t="e">
        <f>VLOOKUP(B1093,'Türkkep Jira'!B:F,5,0)</f>
        <v>#N/A</v>
      </c>
      <c r="G1093" t="str">
        <f>IF(IFERROR(VLOOKUP(B1093,'Devam Eden Sprint'!B:B,1,0),"-")=B1093,"Devam Eden Sprint","-")</f>
        <v>-</v>
      </c>
      <c r="H1093" t="str">
        <f>IF(IFERROR(VLOOKUP(B1093,'Gelecek Sprint'!B:B,1,0),"-")=B1093,"Gelecek Sprint","-")</f>
        <v>-</v>
      </c>
      <c r="I1093" t="str">
        <f t="shared" si="31"/>
        <v>Ürün İş Listesi</v>
      </c>
      <c r="J1093">
        <v>2</v>
      </c>
    </row>
    <row r="1094" spans="1:10" x14ac:dyDescent="0.25">
      <c r="A1094" t="s">
        <v>14</v>
      </c>
      <c r="B1094" t="s">
        <v>2314</v>
      </c>
      <c r="C1094" t="s">
        <v>27</v>
      </c>
      <c r="D1094" t="s">
        <v>2315</v>
      </c>
      <c r="E1094" s="5" t="s">
        <v>41</v>
      </c>
      <c r="F1094" s="5" t="e">
        <f>VLOOKUP(B1094,'Türkkep Jira'!B:F,5,0)</f>
        <v>#N/A</v>
      </c>
      <c r="G1094" t="str">
        <f>IF(IFERROR(VLOOKUP(B1094,'Devam Eden Sprint'!B:B,1,0),"-")=B1094,"Devam Eden Sprint","-")</f>
        <v>-</v>
      </c>
      <c r="H1094" t="str">
        <f>IF(IFERROR(VLOOKUP(B1094,'Gelecek Sprint'!B:B,1,0),"-")=B1094,"Gelecek Sprint","-")</f>
        <v>-</v>
      </c>
      <c r="I1094" t="str">
        <f t="shared" si="31"/>
        <v>Ürün İş Listesi</v>
      </c>
      <c r="J1094">
        <v>3</v>
      </c>
    </row>
    <row r="1095" spans="1:10" x14ac:dyDescent="0.25">
      <c r="A1095" t="s">
        <v>14</v>
      </c>
      <c r="B1095" t="s">
        <v>2317</v>
      </c>
      <c r="C1095" t="s">
        <v>28</v>
      </c>
      <c r="D1095" t="s">
        <v>2447</v>
      </c>
      <c r="E1095" s="5" t="s">
        <v>41</v>
      </c>
      <c r="F1095" s="5" t="e">
        <f>VLOOKUP(B1095,'Türkkep Jira'!B:F,5,0)</f>
        <v>#N/A</v>
      </c>
      <c r="G1095" t="str">
        <f>IF(IFERROR(VLOOKUP(B1095,'Devam Eden Sprint'!B:B,1,0),"-")=B1095,"Devam Eden Sprint","-")</f>
        <v>-</v>
      </c>
      <c r="H1095" t="str">
        <f>IF(IFERROR(VLOOKUP(B1095,'Gelecek Sprint'!B:B,1,0),"-")=B1095,"Gelecek Sprint","-")</f>
        <v>-</v>
      </c>
      <c r="I1095" t="str">
        <f t="shared" si="31"/>
        <v>Ürün İş Listesi</v>
      </c>
      <c r="J1095">
        <v>2</v>
      </c>
    </row>
    <row r="1096" spans="1:10" x14ac:dyDescent="0.25">
      <c r="A1096" t="s">
        <v>14</v>
      </c>
      <c r="B1096" t="s">
        <v>2319</v>
      </c>
      <c r="C1096" t="s">
        <v>16</v>
      </c>
      <c r="D1096" t="s">
        <v>2448</v>
      </c>
      <c r="E1096" s="5" t="s">
        <v>41</v>
      </c>
      <c r="F1096" s="5" t="e">
        <f>VLOOKUP(B1096,'Türkkep Jira'!B:F,5,0)</f>
        <v>#N/A</v>
      </c>
      <c r="G1096" t="str">
        <f>IF(IFERROR(VLOOKUP(B1096,'Devam Eden Sprint'!B:B,1,0),"-")=B1096,"Devam Eden Sprint","-")</f>
        <v>-</v>
      </c>
      <c r="H1096" t="str">
        <f>IF(IFERROR(VLOOKUP(B1096,'Gelecek Sprint'!B:B,1,0),"-")=B1096,"Gelecek Sprint","-")</f>
        <v>-</v>
      </c>
      <c r="I1096" t="str">
        <f t="shared" si="31"/>
        <v>Ürün İş Listesi</v>
      </c>
      <c r="J1096">
        <v>2</v>
      </c>
    </row>
    <row r="1097" spans="1:10" x14ac:dyDescent="0.25">
      <c r="A1097" t="s">
        <v>14</v>
      </c>
      <c r="B1097" t="s">
        <v>2318</v>
      </c>
      <c r="C1097" t="s">
        <v>28</v>
      </c>
      <c r="D1097" t="s">
        <v>2449</v>
      </c>
      <c r="E1097" s="5" t="s">
        <v>41</v>
      </c>
      <c r="F1097" s="5" t="e">
        <f>VLOOKUP(B1097,'Türkkep Jira'!B:F,5,0)</f>
        <v>#N/A</v>
      </c>
      <c r="G1097" t="str">
        <f>IF(IFERROR(VLOOKUP(B1097,'Devam Eden Sprint'!B:B,1,0),"-")=B1097,"Devam Eden Sprint","-")</f>
        <v>-</v>
      </c>
      <c r="H1097" t="str">
        <f>IF(IFERROR(VLOOKUP(B1097,'Gelecek Sprint'!B:B,1,0),"-")=B1097,"Gelecek Sprint","-")</f>
        <v>-</v>
      </c>
      <c r="I1097" t="str">
        <f t="shared" si="31"/>
        <v>Ürün İş Listesi</v>
      </c>
      <c r="J1097">
        <v>3</v>
      </c>
    </row>
    <row r="1098" spans="1:10" x14ac:dyDescent="0.25">
      <c r="A1098" t="s">
        <v>77</v>
      </c>
      <c r="B1098" t="s">
        <v>2419</v>
      </c>
      <c r="C1098" t="s">
        <v>16</v>
      </c>
      <c r="D1098" t="s">
        <v>2418</v>
      </c>
      <c r="E1098" s="5" t="s">
        <v>35</v>
      </c>
      <c r="F1098" s="5" t="e">
        <f>VLOOKUP(B1098,'Türkkep Jira'!B:F,5,0)</f>
        <v>#N/A</v>
      </c>
      <c r="G1098" t="str">
        <f>IF(IFERROR(VLOOKUP(B1098,'Devam Eden Sprint'!B:B,1,0),"-")=B1098,"Devam Eden Sprint","-")</f>
        <v>-</v>
      </c>
      <c r="H1098" t="str">
        <f>IF(IFERROR(VLOOKUP(B1098,'Gelecek Sprint'!B:B,1,0),"-")=B1098,"Gelecek Sprint","-")</f>
        <v>-</v>
      </c>
      <c r="I1098" t="str">
        <f t="shared" si="31"/>
        <v>Ürün İş Listesi</v>
      </c>
      <c r="J1098">
        <v>2</v>
      </c>
    </row>
    <row r="1099" spans="1:10" x14ac:dyDescent="0.25">
      <c r="A1099" t="s">
        <v>14</v>
      </c>
      <c r="B1099" t="s">
        <v>2400</v>
      </c>
      <c r="C1099" t="s">
        <v>16</v>
      </c>
      <c r="D1099" t="s">
        <v>2399</v>
      </c>
      <c r="E1099" s="5" t="s">
        <v>41</v>
      </c>
      <c r="F1099" s="5" t="e">
        <f>VLOOKUP(B1099,'Türkkep Jira'!B:F,5,0)</f>
        <v>#N/A</v>
      </c>
      <c r="G1099" t="str">
        <f>IF(IFERROR(VLOOKUP(B1099,'Devam Eden Sprint'!B:B,1,0),"-")=B1099,"Devam Eden Sprint","-")</f>
        <v>-</v>
      </c>
      <c r="H1099" t="str">
        <f>IF(IFERROR(VLOOKUP(B1099,'Gelecek Sprint'!B:B,1,0),"-")=B1099,"Gelecek Sprint","-")</f>
        <v>-</v>
      </c>
      <c r="I1099" t="str">
        <f t="shared" si="31"/>
        <v>Ürün İş Listesi</v>
      </c>
      <c r="J1099">
        <v>1</v>
      </c>
    </row>
    <row r="1100" spans="1:10" x14ac:dyDescent="0.25">
      <c r="A1100" t="s">
        <v>14</v>
      </c>
      <c r="B1100" t="s">
        <v>2402</v>
      </c>
      <c r="C1100" t="s">
        <v>27</v>
      </c>
      <c r="D1100" t="s">
        <v>2401</v>
      </c>
      <c r="E1100" s="5" t="s">
        <v>41</v>
      </c>
      <c r="F1100" s="5" t="e">
        <f>VLOOKUP(B1100,'Türkkep Jira'!B:F,5,0)</f>
        <v>#N/A</v>
      </c>
      <c r="G1100" t="str">
        <f>IF(IFERROR(VLOOKUP(B1100,'Devam Eden Sprint'!B:B,1,0),"-")=B1100,"Devam Eden Sprint","-")</f>
        <v>-</v>
      </c>
      <c r="H1100" t="str">
        <f>IF(IFERROR(VLOOKUP(B1100,'Gelecek Sprint'!B:B,1,0),"-")=B1100,"Gelecek Sprint","-")</f>
        <v>-</v>
      </c>
      <c r="I1100" t="str">
        <f t="shared" si="31"/>
        <v>Ürün İş Listesi</v>
      </c>
      <c r="J1100">
        <v>5</v>
      </c>
    </row>
    <row r="1101" spans="1:10" x14ac:dyDescent="0.25">
      <c r="A1101" t="s">
        <v>14</v>
      </c>
      <c r="B1101" t="s">
        <v>2379</v>
      </c>
      <c r="C1101" t="s">
        <v>16</v>
      </c>
      <c r="D1101" t="s">
        <v>2265</v>
      </c>
      <c r="E1101" s="5" t="s">
        <v>56</v>
      </c>
      <c r="F1101" s="5" t="e">
        <f>VLOOKUP(B1101,'Türkkep Jira'!B:F,5,0)</f>
        <v>#N/A</v>
      </c>
      <c r="G1101" t="str">
        <f>IF(IFERROR(VLOOKUP(B1101,'Devam Eden Sprint'!B:B,1,0),"-")=B1101,"Devam Eden Sprint","-")</f>
        <v>-</v>
      </c>
      <c r="H1101" t="str">
        <f>IF(IFERROR(VLOOKUP(B1101,'Gelecek Sprint'!B:B,1,0),"-")=B1101,"Gelecek Sprint","-")</f>
        <v>-</v>
      </c>
      <c r="I1101" t="str">
        <f t="shared" ref="I1101:I1120" si="32">IFERROR(IF(AND(G1101="Devam Eden Sprint",H1101="Gelecek Sprint"),"Devam Eden ve Gelecek Sprint",IF(G1101="Devam Eden Sprint","Devam Eden Sprint",IF(H1101="Gelecek Sprint","Gelecek Sprint","Ürün İş Listesi"))),"Ürün İş Listesi")</f>
        <v>Ürün İş Listesi</v>
      </c>
      <c r="J1101">
        <v>3</v>
      </c>
    </row>
    <row r="1102" spans="1:10" x14ac:dyDescent="0.25">
      <c r="A1102" t="s">
        <v>77</v>
      </c>
      <c r="B1102" t="s">
        <v>2451</v>
      </c>
      <c r="C1102" t="s">
        <v>26</v>
      </c>
      <c r="D1102" t="s">
        <v>2457</v>
      </c>
      <c r="E1102" s="5" t="s">
        <v>56</v>
      </c>
      <c r="F1102" s="5" t="e">
        <f>VLOOKUP(B1102,'Türkkep Jira'!B:F,5,0)</f>
        <v>#N/A</v>
      </c>
      <c r="G1102" t="str">
        <f>IF(IFERROR(VLOOKUP(B1102,'Devam Eden Sprint'!B:B,1,0),"-")=B1102,"Devam Eden Sprint","-")</f>
        <v>-</v>
      </c>
      <c r="H1102" t="str">
        <f>IF(IFERROR(VLOOKUP(B1102,'Gelecek Sprint'!B:B,1,0),"-")=B1102,"Gelecek Sprint","-")</f>
        <v>-</v>
      </c>
      <c r="I1102" t="str">
        <f t="shared" si="32"/>
        <v>Ürün İş Listesi</v>
      </c>
      <c r="J1102">
        <v>3</v>
      </c>
    </row>
    <row r="1103" spans="1:10" x14ac:dyDescent="0.25">
      <c r="A1103" t="s">
        <v>77</v>
      </c>
      <c r="B1103" t="s">
        <v>2452</v>
      </c>
      <c r="C1103" t="s">
        <v>16</v>
      </c>
      <c r="D1103" t="s">
        <v>2458</v>
      </c>
      <c r="E1103" s="5" t="s">
        <v>56</v>
      </c>
      <c r="F1103" s="5" t="e">
        <f>VLOOKUP(B1103,'Türkkep Jira'!B:F,5,0)</f>
        <v>#N/A</v>
      </c>
      <c r="G1103" t="str">
        <f>IF(IFERROR(VLOOKUP(B1103,'Devam Eden Sprint'!B:B,1,0),"-")=B1103,"Devam Eden Sprint","-")</f>
        <v>-</v>
      </c>
      <c r="H1103" t="str">
        <f>IF(IFERROR(VLOOKUP(B1103,'Gelecek Sprint'!B:B,1,0),"-")=B1103,"Gelecek Sprint","-")</f>
        <v>-</v>
      </c>
      <c r="I1103" t="str">
        <f t="shared" si="32"/>
        <v>Ürün İş Listesi</v>
      </c>
      <c r="J1103">
        <v>2</v>
      </c>
    </row>
    <row r="1104" spans="1:10" x14ac:dyDescent="0.25">
      <c r="A1104" t="s">
        <v>14</v>
      </c>
      <c r="B1104" t="s">
        <v>2453</v>
      </c>
      <c r="C1104" t="s">
        <v>16</v>
      </c>
      <c r="D1104" t="s">
        <v>2459</v>
      </c>
      <c r="E1104" s="5" t="s">
        <v>56</v>
      </c>
      <c r="F1104" s="5" t="e">
        <f>VLOOKUP(B1104,'Türkkep Jira'!B:F,5,0)</f>
        <v>#N/A</v>
      </c>
      <c r="G1104" t="str">
        <f>IF(IFERROR(VLOOKUP(B1104,'Devam Eden Sprint'!B:B,1,0),"-")=B1104,"Devam Eden Sprint","-")</f>
        <v>-</v>
      </c>
      <c r="H1104" t="str">
        <f>IF(IFERROR(VLOOKUP(B1104,'Gelecek Sprint'!B:B,1,0),"-")=B1104,"Gelecek Sprint","-")</f>
        <v>-</v>
      </c>
      <c r="I1104" t="str">
        <f t="shared" si="32"/>
        <v>Ürün İş Listesi</v>
      </c>
      <c r="J1104">
        <v>3</v>
      </c>
    </row>
    <row r="1105" spans="1:10" x14ac:dyDescent="0.25">
      <c r="A1105" t="s">
        <v>14</v>
      </c>
      <c r="B1105" t="s">
        <v>2455</v>
      </c>
      <c r="C1105" t="s">
        <v>16</v>
      </c>
      <c r="D1105" t="s">
        <v>2461</v>
      </c>
      <c r="E1105" s="5" t="s">
        <v>50</v>
      </c>
      <c r="F1105" s="5" t="e">
        <f>VLOOKUP(B1105,'Türkkep Jira'!B:F,5,0)</f>
        <v>#N/A</v>
      </c>
      <c r="G1105" t="str">
        <f>IF(IFERROR(VLOOKUP(B1105,'Devam Eden Sprint'!B:B,1,0),"-")=B1105,"Devam Eden Sprint","-")</f>
        <v>-</v>
      </c>
      <c r="H1105" t="str">
        <f>IF(IFERROR(VLOOKUP(B1105,'Gelecek Sprint'!B:B,1,0),"-")=B1105,"Gelecek Sprint","-")</f>
        <v>-</v>
      </c>
      <c r="I1105" t="str">
        <f t="shared" si="32"/>
        <v>Ürün İş Listesi</v>
      </c>
      <c r="J1105"/>
    </row>
    <row r="1106" spans="1:10" x14ac:dyDescent="0.25">
      <c r="A1106" t="s">
        <v>14</v>
      </c>
      <c r="B1106" t="s">
        <v>2462</v>
      </c>
      <c r="C1106" t="s">
        <v>16</v>
      </c>
      <c r="D1106" t="s">
        <v>2461</v>
      </c>
      <c r="E1106" s="5" t="s">
        <v>44</v>
      </c>
      <c r="F1106" s="5" t="e">
        <f>VLOOKUP(B1106,'Türkkep Jira'!B:F,5,0)</f>
        <v>#N/A</v>
      </c>
      <c r="G1106" t="str">
        <f>IF(IFERROR(VLOOKUP(B1106,'Devam Eden Sprint'!B:B,1,0),"-")=B1106,"Devam Eden Sprint","-")</f>
        <v>Devam Eden Sprint</v>
      </c>
      <c r="H1106" t="str">
        <f>IF(IFERROR(VLOOKUP(B1106,'Gelecek Sprint'!B:B,1,0),"-")=B1106,"Gelecek Sprint","-")</f>
        <v>-</v>
      </c>
      <c r="I1106" t="str">
        <f t="shared" si="32"/>
        <v>Devam Eden Sprint</v>
      </c>
      <c r="J1106">
        <v>8</v>
      </c>
    </row>
    <row r="1107" spans="1:10" x14ac:dyDescent="0.25">
      <c r="A1107" t="s">
        <v>14</v>
      </c>
      <c r="B1107" t="s">
        <v>2378</v>
      </c>
      <c r="C1107" t="s">
        <v>10</v>
      </c>
      <c r="D1107" t="s">
        <v>2377</v>
      </c>
      <c r="E1107" s="5" t="s">
        <v>56</v>
      </c>
      <c r="F1107" s="5" t="e">
        <f>VLOOKUP(B1107,'Türkkep Jira'!B:F,5,0)</f>
        <v>#N/A</v>
      </c>
      <c r="G1107" t="str">
        <f>IF(IFERROR(VLOOKUP(B1107,'Devam Eden Sprint'!B:B,1,0),"-")=B1107,"Devam Eden Sprint","-")</f>
        <v>Devam Eden Sprint</v>
      </c>
      <c r="H1107" t="str">
        <f>IF(IFERROR(VLOOKUP(B1107,'Gelecek Sprint'!B:B,1,0),"-")=B1107,"Gelecek Sprint","-")</f>
        <v>Gelecek Sprint</v>
      </c>
      <c r="I1107" t="str">
        <f t="shared" si="32"/>
        <v>Devam Eden ve Gelecek Sprint</v>
      </c>
      <c r="J1107"/>
    </row>
    <row r="1108" spans="1:10" x14ac:dyDescent="0.25">
      <c r="A1108" t="s">
        <v>14</v>
      </c>
      <c r="B1108" t="s">
        <v>2463</v>
      </c>
      <c r="C1108" t="s">
        <v>10</v>
      </c>
      <c r="D1108" t="s">
        <v>2466</v>
      </c>
      <c r="E1108" s="5" t="s">
        <v>56</v>
      </c>
      <c r="F1108" s="5" t="e">
        <f>VLOOKUP(B1108,'Türkkep Jira'!B:F,5,0)</f>
        <v>#N/A</v>
      </c>
      <c r="G1108" t="str">
        <f>IF(IFERROR(VLOOKUP(B1108,'Devam Eden Sprint'!B:B,1,0),"-")=B1108,"Devam Eden Sprint","-")</f>
        <v>-</v>
      </c>
      <c r="H1108" t="str">
        <f>IF(IFERROR(VLOOKUP(B1108,'Gelecek Sprint'!B:B,1,0),"-")=B1108,"Gelecek Sprint","-")</f>
        <v>-</v>
      </c>
      <c r="I1108" t="str">
        <f t="shared" si="32"/>
        <v>Ürün İş Listesi</v>
      </c>
      <c r="J1108">
        <v>1</v>
      </c>
    </row>
    <row r="1109" spans="1:10" x14ac:dyDescent="0.25">
      <c r="A1109" t="s">
        <v>77</v>
      </c>
      <c r="B1109" t="s">
        <v>2464</v>
      </c>
      <c r="C1109" t="s">
        <v>16</v>
      </c>
      <c r="D1109" t="s">
        <v>2467</v>
      </c>
      <c r="E1109" s="5" t="s">
        <v>56</v>
      </c>
      <c r="F1109" s="5" t="e">
        <f>VLOOKUP(B1109,'Türkkep Jira'!B:F,5,0)</f>
        <v>#N/A</v>
      </c>
      <c r="G1109" t="str">
        <f>IF(IFERROR(VLOOKUP(B1109,'Devam Eden Sprint'!B:B,1,0),"-")=B1109,"Devam Eden Sprint","-")</f>
        <v>-</v>
      </c>
      <c r="H1109" t="str">
        <f>IF(IFERROR(VLOOKUP(B1109,'Gelecek Sprint'!B:B,1,0),"-")=B1109,"Gelecek Sprint","-")</f>
        <v>-</v>
      </c>
      <c r="I1109" t="str">
        <f t="shared" si="32"/>
        <v>Ürün İş Listesi</v>
      </c>
      <c r="J1109"/>
    </row>
    <row r="1110" spans="1:10" x14ac:dyDescent="0.25">
      <c r="A1110" t="s">
        <v>14</v>
      </c>
      <c r="B1110" t="s">
        <v>2465</v>
      </c>
      <c r="C1110" t="s">
        <v>10</v>
      </c>
      <c r="D1110" t="s">
        <v>2468</v>
      </c>
      <c r="E1110" s="5" t="s">
        <v>56</v>
      </c>
      <c r="F1110" s="5" t="e">
        <f>VLOOKUP(B1110,'Türkkep Jira'!B:F,5,0)</f>
        <v>#N/A</v>
      </c>
      <c r="G1110" t="str">
        <f>IF(IFERROR(VLOOKUP(B1110,'Devam Eden Sprint'!B:B,1,0),"-")=B1110,"Devam Eden Sprint","-")</f>
        <v>-</v>
      </c>
      <c r="H1110" t="str">
        <f>IF(IFERROR(VLOOKUP(B1110,'Gelecek Sprint'!B:B,1,0),"-")=B1110,"Gelecek Sprint","-")</f>
        <v>-</v>
      </c>
      <c r="I1110" t="str">
        <f t="shared" si="32"/>
        <v>Ürün İş Listesi</v>
      </c>
      <c r="J1110">
        <v>8</v>
      </c>
    </row>
    <row r="1111" spans="1:10" x14ac:dyDescent="0.25">
      <c r="A1111" t="s">
        <v>14</v>
      </c>
      <c r="B1111" t="s">
        <v>2426</v>
      </c>
      <c r="C1111" t="s">
        <v>16</v>
      </c>
      <c r="D1111" t="s">
        <v>2470</v>
      </c>
      <c r="E1111" s="5" t="s">
        <v>12</v>
      </c>
      <c r="F1111" s="5" t="e">
        <f>VLOOKUP(B1111,'Türkkep Jira'!B:F,5,0)</f>
        <v>#N/A</v>
      </c>
      <c r="G1111" t="str">
        <f>IF(IFERROR(VLOOKUP(B1111,'Devam Eden Sprint'!B:B,1,0),"-")=B1111,"Devam Eden Sprint","-")</f>
        <v>-</v>
      </c>
      <c r="H1111" t="str">
        <f>IF(IFERROR(VLOOKUP(B1111,'Gelecek Sprint'!B:B,1,0),"-")=B1111,"Gelecek Sprint","-")</f>
        <v>-</v>
      </c>
      <c r="I1111" t="str">
        <f t="shared" si="32"/>
        <v>Ürün İş Listesi</v>
      </c>
      <c r="J1111">
        <v>2</v>
      </c>
    </row>
    <row r="1112" spans="1:10" x14ac:dyDescent="0.25">
      <c r="A1112" t="s">
        <v>14</v>
      </c>
      <c r="B1112" t="s">
        <v>2415</v>
      </c>
      <c r="C1112" t="s">
        <v>16</v>
      </c>
      <c r="D1112" t="s">
        <v>2414</v>
      </c>
      <c r="E1112" s="5" t="s">
        <v>2473</v>
      </c>
      <c r="F1112" s="5" t="e">
        <f>VLOOKUP(B1112,'Türkkep Jira'!B:F,5,0)</f>
        <v>#N/A</v>
      </c>
      <c r="G1112" t="str">
        <f>IF(IFERROR(VLOOKUP(B1112,'Devam Eden Sprint'!B:B,1,0),"-")=B1112,"Devam Eden Sprint","-")</f>
        <v>-</v>
      </c>
      <c r="H1112" t="str">
        <f>IF(IFERROR(VLOOKUP(B1112,'Gelecek Sprint'!B:B,1,0),"-")=B1112,"Gelecek Sprint","-")</f>
        <v>-</v>
      </c>
      <c r="I1112" t="str">
        <f t="shared" si="32"/>
        <v>Ürün İş Listesi</v>
      </c>
      <c r="J1112">
        <v>1</v>
      </c>
    </row>
    <row r="1113" spans="1:10" x14ac:dyDescent="0.25">
      <c r="A1113" t="s">
        <v>14</v>
      </c>
      <c r="B1113" t="s">
        <v>2450</v>
      </c>
      <c r="C1113" t="s">
        <v>16</v>
      </c>
      <c r="D1113" t="s">
        <v>2456</v>
      </c>
      <c r="E1113" s="5" t="s">
        <v>59</v>
      </c>
      <c r="F1113" s="5" t="e">
        <f>VLOOKUP(B1113,'Türkkep Jira'!B:F,5,0)</f>
        <v>#N/A</v>
      </c>
      <c r="G1113" t="str">
        <f>IF(IFERROR(VLOOKUP(B1113,'Devam Eden Sprint'!B:B,1,0),"-")=B1113,"Devam Eden Sprint","-")</f>
        <v>-</v>
      </c>
      <c r="H1113" t="str">
        <f>IF(IFERROR(VLOOKUP(B1113,'Gelecek Sprint'!B:B,1,0),"-")=B1113,"Gelecek Sprint","-")</f>
        <v>-</v>
      </c>
      <c r="I1113" t="str">
        <f t="shared" si="32"/>
        <v>Ürün İş Listesi</v>
      </c>
      <c r="J1113">
        <v>1</v>
      </c>
    </row>
    <row r="1114" spans="1:10" x14ac:dyDescent="0.25">
      <c r="A1114" t="s">
        <v>14</v>
      </c>
      <c r="B1114" t="s">
        <v>2454</v>
      </c>
      <c r="C1114" t="s">
        <v>16</v>
      </c>
      <c r="D1114" t="s">
        <v>2460</v>
      </c>
      <c r="E1114" s="5" t="s">
        <v>50</v>
      </c>
      <c r="F1114" s="5" t="e">
        <f>VLOOKUP(B1114,'Türkkep Jira'!B:F,5,0)</f>
        <v>#N/A</v>
      </c>
      <c r="G1114" t="str">
        <f>IF(IFERROR(VLOOKUP(B1114,'Devam Eden Sprint'!B:B,1,0),"-")=B1114,"Devam Eden Sprint","-")</f>
        <v>-</v>
      </c>
      <c r="H1114" t="str">
        <f>IF(IFERROR(VLOOKUP(B1114,'Gelecek Sprint'!B:B,1,0),"-")=B1114,"Gelecek Sprint","-")</f>
        <v>-</v>
      </c>
      <c r="I1114" t="str">
        <f t="shared" si="32"/>
        <v>Ürün İş Listesi</v>
      </c>
      <c r="J1114">
        <v>1</v>
      </c>
    </row>
    <row r="1115" spans="1:10" x14ac:dyDescent="0.25">
      <c r="A1115" t="s">
        <v>14</v>
      </c>
      <c r="B1115" t="s">
        <v>2423</v>
      </c>
      <c r="C1115" t="s">
        <v>10</v>
      </c>
      <c r="D1115" t="s">
        <v>2422</v>
      </c>
      <c r="E1115" s="5" t="s">
        <v>12</v>
      </c>
      <c r="F1115" s="5" t="e">
        <f>VLOOKUP(B1115,'Türkkep Jira'!B:F,5,0)</f>
        <v>#N/A</v>
      </c>
      <c r="G1115" t="str">
        <f>IF(IFERROR(VLOOKUP(B1115,'Devam Eden Sprint'!B:B,1,0),"-")=B1115,"Devam Eden Sprint","-")</f>
        <v>-</v>
      </c>
      <c r="H1115" t="str">
        <f>IF(IFERROR(VLOOKUP(B1115,'Gelecek Sprint'!B:B,1,0),"-")=B1115,"Gelecek Sprint","-")</f>
        <v>-</v>
      </c>
      <c r="I1115" t="str">
        <f t="shared" si="32"/>
        <v>Ürün İş Listesi</v>
      </c>
      <c r="J1115">
        <v>2</v>
      </c>
    </row>
    <row r="1116" spans="1:10" x14ac:dyDescent="0.25">
      <c r="A1116" t="s">
        <v>14</v>
      </c>
      <c r="B1116" t="s">
        <v>2421</v>
      </c>
      <c r="C1116" t="s">
        <v>16</v>
      </c>
      <c r="D1116" t="s">
        <v>2420</v>
      </c>
      <c r="E1116" s="5" t="s">
        <v>12</v>
      </c>
      <c r="F1116" s="5" t="e">
        <f>VLOOKUP(B1116,'Türkkep Jira'!B:F,5,0)</f>
        <v>#N/A</v>
      </c>
      <c r="G1116" t="str">
        <f>IF(IFERROR(VLOOKUP(B1116,'Devam Eden Sprint'!B:B,1,0),"-")=B1116,"Devam Eden Sprint","-")</f>
        <v>-</v>
      </c>
      <c r="H1116" t="str">
        <f>IF(IFERROR(VLOOKUP(B1116,'Gelecek Sprint'!B:B,1,0),"-")=B1116,"Gelecek Sprint","-")</f>
        <v>-</v>
      </c>
      <c r="I1116" t="str">
        <f t="shared" si="32"/>
        <v>Ürün İş Listesi</v>
      </c>
      <c r="J1116">
        <v>2</v>
      </c>
    </row>
    <row r="1117" spans="1:10" x14ac:dyDescent="0.25">
      <c r="A1117" t="s">
        <v>14</v>
      </c>
      <c r="B1117" t="s">
        <v>2469</v>
      </c>
      <c r="C1117" t="s">
        <v>16</v>
      </c>
      <c r="D1117" t="s">
        <v>2471</v>
      </c>
      <c r="E1117" s="5" t="s">
        <v>12</v>
      </c>
      <c r="F1117" s="5" t="e">
        <f>VLOOKUP(B1117,'Türkkep Jira'!B:F,5,0)</f>
        <v>#N/A</v>
      </c>
      <c r="G1117" t="str">
        <f>IF(IFERROR(VLOOKUP(B1117,'Devam Eden Sprint'!B:B,1,0),"-")=B1117,"Devam Eden Sprint","-")</f>
        <v>-</v>
      </c>
      <c r="H1117" t="str">
        <f>IF(IFERROR(VLOOKUP(B1117,'Gelecek Sprint'!B:B,1,0),"-")=B1117,"Gelecek Sprint","-")</f>
        <v>-</v>
      </c>
      <c r="I1117" t="str">
        <f t="shared" si="32"/>
        <v>Ürün İş Listesi</v>
      </c>
      <c r="J1117">
        <v>2</v>
      </c>
    </row>
    <row r="1118" spans="1:10" x14ac:dyDescent="0.25">
      <c r="A1118" t="s">
        <v>14</v>
      </c>
      <c r="B1118" t="s">
        <v>2431</v>
      </c>
      <c r="C1118" t="s">
        <v>27</v>
      </c>
      <c r="D1118" t="s">
        <v>2472</v>
      </c>
      <c r="E1118" s="5" t="s">
        <v>12</v>
      </c>
      <c r="F1118" s="5" t="str">
        <f>VLOOKUP(B1118,'Türkkep Jira'!B:F,5,0)</f>
        <v>TO TEST</v>
      </c>
      <c r="G1118" t="str">
        <f>IF(IFERROR(VLOOKUP(B1118,'Devam Eden Sprint'!B:B,1,0),"-")=B1118,"Devam Eden Sprint","-")</f>
        <v>Devam Eden Sprint</v>
      </c>
      <c r="H1118" t="str">
        <f>IF(IFERROR(VLOOKUP(B1118,'Gelecek Sprint'!B:B,1,0),"-")=B1118,"Gelecek Sprint","-")</f>
        <v>Gelecek Sprint</v>
      </c>
      <c r="I1118" t="str">
        <f t="shared" si="32"/>
        <v>Devam Eden ve Gelecek Sprint</v>
      </c>
      <c r="J1118">
        <v>3</v>
      </c>
    </row>
    <row r="1119" spans="1:10" x14ac:dyDescent="0.25">
      <c r="A1119" t="s">
        <v>14</v>
      </c>
      <c r="B1119" t="s">
        <v>2430</v>
      </c>
      <c r="C1119" t="s">
        <v>16</v>
      </c>
      <c r="D1119" t="s">
        <v>2429</v>
      </c>
      <c r="E1119" s="5" t="s">
        <v>12</v>
      </c>
      <c r="F1119" s="5" t="str">
        <f>VLOOKUP(B1119,'Türkkep Jira'!B:F,5,0)</f>
        <v>Done</v>
      </c>
      <c r="G1119" t="str">
        <f>IF(IFERROR(VLOOKUP(B1119,'Devam Eden Sprint'!B:B,1,0),"-")=B1119,"Devam Eden Sprint","-")</f>
        <v>-</v>
      </c>
      <c r="H1119" t="str">
        <f>IF(IFERROR(VLOOKUP(B1119,'Gelecek Sprint'!B:B,1,0),"-")=B1119,"Gelecek Sprint","-")</f>
        <v>-</v>
      </c>
      <c r="I1119" t="str">
        <f t="shared" si="32"/>
        <v>Ürün İş Listesi</v>
      </c>
      <c r="J1119"/>
    </row>
    <row r="1120" spans="1:10" x14ac:dyDescent="0.25">
      <c r="A1120" t="s">
        <v>14</v>
      </c>
      <c r="B1120" t="s">
        <v>2474</v>
      </c>
      <c r="C1120" t="s">
        <v>26</v>
      </c>
      <c r="D1120" t="s">
        <v>2475</v>
      </c>
      <c r="E1120" s="5" t="s">
        <v>38</v>
      </c>
      <c r="F1120" s="5" t="e">
        <f>VLOOKUP(B1120,'Türkkep Jira'!B:F,5,0)</f>
        <v>#N/A</v>
      </c>
      <c r="G1120" t="str">
        <f>IF(IFERROR(VLOOKUP(B1120,'Devam Eden Sprint'!B:B,1,0),"-")=B1120,"Devam Eden Sprint","-")</f>
        <v>-</v>
      </c>
      <c r="H1120" t="str">
        <f>IF(IFERROR(VLOOKUP(B1120,'Gelecek Sprint'!B:B,1,0),"-")=B1120,"Gelecek Sprint","-")</f>
        <v>-</v>
      </c>
      <c r="I1120" t="str">
        <f t="shared" si="32"/>
        <v>Ürün İş Listesi</v>
      </c>
      <c r="J1120"/>
    </row>
    <row r="1121" spans="1:10" x14ac:dyDescent="0.25">
      <c r="A1121" t="s">
        <v>14</v>
      </c>
      <c r="B1121" t="s">
        <v>2478</v>
      </c>
      <c r="C1121" t="s">
        <v>16</v>
      </c>
      <c r="D1121" t="s">
        <v>2477</v>
      </c>
      <c r="E1121" s="5" t="s">
        <v>1844</v>
      </c>
      <c r="F1121" s="5" t="e">
        <f>VLOOKUP(B1121,'Türkkep Jira'!B:F,5,0)</f>
        <v>#N/A</v>
      </c>
      <c r="G1121" t="str">
        <f>IF(IFERROR(VLOOKUP(B1121,'Devam Eden Sprint'!B:B,1,0),"-")=B1121,"Devam Eden Sprint","-")</f>
        <v>-</v>
      </c>
      <c r="H1121" t="str">
        <f>IF(IFERROR(VLOOKUP(B1121,'Gelecek Sprint'!B:B,1,0),"-")=B1121,"Gelecek Sprint","-")</f>
        <v>-</v>
      </c>
      <c r="I1121" t="str">
        <f t="shared" ref="I1121:I1166" si="33">IFERROR(IF(AND(G1121="Devam Eden Sprint",H1121="Gelecek Sprint"),"Devam Eden ve Gelecek Sprint",IF(G1121="Devam Eden Sprint","Devam Eden Sprint",IF(H1121="Gelecek Sprint","Gelecek Sprint","Ürün İş Listesi"))),"Ürün İş Listesi")</f>
        <v>Ürün İş Listesi</v>
      </c>
      <c r="J1121"/>
    </row>
    <row r="1122" spans="1:10" x14ac:dyDescent="0.25">
      <c r="A1122" t="s">
        <v>14</v>
      </c>
      <c r="B1122" t="s">
        <v>2372</v>
      </c>
      <c r="C1122" t="s">
        <v>10</v>
      </c>
      <c r="D1122" t="s">
        <v>2371</v>
      </c>
      <c r="E1122" s="5" t="s">
        <v>1844</v>
      </c>
      <c r="F1122" s="5" t="e">
        <f>VLOOKUP(B1122,'Türkkep Jira'!B:F,5,0)</f>
        <v>#N/A</v>
      </c>
      <c r="G1122" t="str">
        <f>IF(IFERROR(VLOOKUP(B1122,'Devam Eden Sprint'!B:B,1,0),"-")=B1122,"Devam Eden Sprint","-")</f>
        <v>-</v>
      </c>
      <c r="H1122" t="str">
        <f>IF(IFERROR(VLOOKUP(B1122,'Gelecek Sprint'!B:B,1,0),"-")=B1122,"Gelecek Sprint","-")</f>
        <v>-</v>
      </c>
      <c r="I1122" t="str">
        <f t="shared" si="33"/>
        <v>Ürün İş Listesi</v>
      </c>
      <c r="J1122"/>
    </row>
    <row r="1123" spans="1:10" x14ac:dyDescent="0.25">
      <c r="A1123" t="s">
        <v>77</v>
      </c>
      <c r="B1123" t="s">
        <v>2480</v>
      </c>
      <c r="C1123" t="s">
        <v>16</v>
      </c>
      <c r="D1123" t="s">
        <v>2479</v>
      </c>
      <c r="E1123" s="5" t="s">
        <v>53</v>
      </c>
      <c r="F1123" s="5" t="e">
        <f>VLOOKUP(B1123,'Türkkep Jira'!B:F,5,0)</f>
        <v>#N/A</v>
      </c>
      <c r="G1123" t="str">
        <f>IF(IFERROR(VLOOKUP(B1123,'Devam Eden Sprint'!B:B,1,0),"-")=B1123,"Devam Eden Sprint","-")</f>
        <v>-</v>
      </c>
      <c r="H1123" t="str">
        <f>IF(IFERROR(VLOOKUP(B1123,'Gelecek Sprint'!B:B,1,0),"-")=B1123,"Gelecek Sprint","-")</f>
        <v>-</v>
      </c>
      <c r="I1123" t="str">
        <f t="shared" si="33"/>
        <v>Ürün İş Listesi</v>
      </c>
      <c r="J1123"/>
    </row>
    <row r="1124" spans="1:10" x14ac:dyDescent="0.25">
      <c r="A1124" t="s">
        <v>77</v>
      </c>
      <c r="B1124" t="s">
        <v>2482</v>
      </c>
      <c r="C1124" t="s">
        <v>16</v>
      </c>
      <c r="D1124" t="s">
        <v>2481</v>
      </c>
      <c r="E1124" s="5" t="s">
        <v>53</v>
      </c>
      <c r="F1124" s="5" t="e">
        <f>VLOOKUP(B1124,'Türkkep Jira'!B:F,5,0)</f>
        <v>#N/A</v>
      </c>
      <c r="G1124" t="str">
        <f>IF(IFERROR(VLOOKUP(B1124,'Devam Eden Sprint'!B:B,1,0),"-")=B1124,"Devam Eden Sprint","-")</f>
        <v>-</v>
      </c>
      <c r="H1124" t="str">
        <f>IF(IFERROR(VLOOKUP(B1124,'Gelecek Sprint'!B:B,1,0),"-")=B1124,"Gelecek Sprint","-")</f>
        <v>-</v>
      </c>
      <c r="I1124" t="str">
        <f t="shared" si="33"/>
        <v>Ürün İş Listesi</v>
      </c>
      <c r="J1124"/>
    </row>
    <row r="1125" spans="1:10" x14ac:dyDescent="0.25">
      <c r="A1125" t="s">
        <v>14</v>
      </c>
      <c r="B1125" t="s">
        <v>2483</v>
      </c>
      <c r="C1125" t="s">
        <v>10</v>
      </c>
      <c r="D1125" t="s">
        <v>2461</v>
      </c>
      <c r="E1125" s="5" t="s">
        <v>53</v>
      </c>
      <c r="F1125" s="5" t="str">
        <f>VLOOKUP(B1125,'Türkkep Jira'!B:F,5,0)</f>
        <v>To Do</v>
      </c>
      <c r="G1125" t="str">
        <f>IF(IFERROR(VLOOKUP(B1125,'Devam Eden Sprint'!B:B,1,0),"-")=B1125,"Devam Eden Sprint","-")</f>
        <v>Devam Eden Sprint</v>
      </c>
      <c r="H1125" t="str">
        <f>IF(IFERROR(VLOOKUP(B1125,'Gelecek Sprint'!B:B,1,0),"-")=B1125,"Gelecek Sprint","-")</f>
        <v>Gelecek Sprint</v>
      </c>
      <c r="I1125" t="str">
        <f t="shared" si="33"/>
        <v>Devam Eden ve Gelecek Sprint</v>
      </c>
      <c r="J1125"/>
    </row>
    <row r="1126" spans="1:10" x14ac:dyDescent="0.25">
      <c r="A1126" t="s">
        <v>14</v>
      </c>
      <c r="B1126" t="s">
        <v>2487</v>
      </c>
      <c r="C1126" t="s">
        <v>16</v>
      </c>
      <c r="D1126" t="s">
        <v>2486</v>
      </c>
      <c r="E1126" s="5" t="s">
        <v>53</v>
      </c>
      <c r="F1126" s="5" t="e">
        <f>VLOOKUP(B1126,'Türkkep Jira'!B:F,5,0)</f>
        <v>#N/A</v>
      </c>
      <c r="G1126" t="str">
        <f>IF(IFERROR(VLOOKUP(B1126,'Devam Eden Sprint'!B:B,1,0),"-")=B1126,"Devam Eden Sprint","-")</f>
        <v>-</v>
      </c>
      <c r="H1126" t="str">
        <f>IF(IFERROR(VLOOKUP(B1126,'Gelecek Sprint'!B:B,1,0),"-")=B1126,"Gelecek Sprint","-")</f>
        <v>-</v>
      </c>
      <c r="I1126" t="str">
        <f t="shared" si="33"/>
        <v>Ürün İş Listesi</v>
      </c>
      <c r="J1126"/>
    </row>
    <row r="1127" spans="1:10" x14ac:dyDescent="0.25">
      <c r="A1127" t="s">
        <v>14</v>
      </c>
      <c r="B1127" t="s">
        <v>2489</v>
      </c>
      <c r="C1127" t="s">
        <v>16</v>
      </c>
      <c r="D1127" t="s">
        <v>2488</v>
      </c>
      <c r="E1127" s="5" t="s">
        <v>53</v>
      </c>
      <c r="F1127" s="5" t="e">
        <f>VLOOKUP(B1127,'Türkkep Jira'!B:F,5,0)</f>
        <v>#N/A</v>
      </c>
      <c r="G1127" t="str">
        <f>IF(IFERROR(VLOOKUP(B1127,'Devam Eden Sprint'!B:B,1,0),"-")=B1127,"Devam Eden Sprint","-")</f>
        <v>-</v>
      </c>
      <c r="H1127" t="str">
        <f>IF(IFERROR(VLOOKUP(B1127,'Gelecek Sprint'!B:B,1,0),"-")=B1127,"Gelecek Sprint","-")</f>
        <v>-</v>
      </c>
      <c r="I1127" t="str">
        <f t="shared" si="33"/>
        <v>Ürün İş Listesi</v>
      </c>
      <c r="J1127"/>
    </row>
    <row r="1128" spans="1:10" x14ac:dyDescent="0.25">
      <c r="A1128" t="s">
        <v>14</v>
      </c>
      <c r="B1128" t="s">
        <v>2491</v>
      </c>
      <c r="C1128" t="s">
        <v>16</v>
      </c>
      <c r="D1128" t="s">
        <v>2490</v>
      </c>
      <c r="E1128" s="5" t="s">
        <v>53</v>
      </c>
      <c r="F1128" s="5" t="e">
        <f>VLOOKUP(B1128,'Türkkep Jira'!B:F,5,0)</f>
        <v>#N/A</v>
      </c>
      <c r="G1128" t="str">
        <f>IF(IFERROR(VLOOKUP(B1128,'Devam Eden Sprint'!B:B,1,0),"-")=B1128,"Devam Eden Sprint","-")</f>
        <v>-</v>
      </c>
      <c r="H1128" t="str">
        <f>IF(IFERROR(VLOOKUP(B1128,'Gelecek Sprint'!B:B,1,0),"-")=B1128,"Gelecek Sprint","-")</f>
        <v>-</v>
      </c>
      <c r="I1128" t="str">
        <f t="shared" si="33"/>
        <v>Ürün İş Listesi</v>
      </c>
      <c r="J1128"/>
    </row>
    <row r="1129" spans="1:10" x14ac:dyDescent="0.25">
      <c r="A1129" t="s">
        <v>14</v>
      </c>
      <c r="B1129" t="s">
        <v>2493</v>
      </c>
      <c r="C1129" t="s">
        <v>10</v>
      </c>
      <c r="D1129" t="s">
        <v>2492</v>
      </c>
      <c r="E1129" s="5" t="s">
        <v>53</v>
      </c>
      <c r="F1129" s="5" t="e">
        <f>VLOOKUP(B1129,'Türkkep Jira'!B:F,5,0)</f>
        <v>#N/A</v>
      </c>
      <c r="G1129" t="str">
        <f>IF(IFERROR(VLOOKUP(B1129,'Devam Eden Sprint'!B:B,1,0),"-")=B1129,"Devam Eden Sprint","-")</f>
        <v>-</v>
      </c>
      <c r="H1129" t="str">
        <f>IF(IFERROR(VLOOKUP(B1129,'Gelecek Sprint'!B:B,1,0),"-")=B1129,"Gelecek Sprint","-")</f>
        <v>-</v>
      </c>
      <c r="I1129" t="str">
        <f t="shared" si="33"/>
        <v>Ürün İş Listesi</v>
      </c>
      <c r="J1129"/>
    </row>
    <row r="1130" spans="1:10" x14ac:dyDescent="0.25">
      <c r="A1130" t="s">
        <v>77</v>
      </c>
      <c r="B1130" t="s">
        <v>2495</v>
      </c>
      <c r="C1130" t="s">
        <v>16</v>
      </c>
      <c r="D1130" t="s">
        <v>2494</v>
      </c>
      <c r="E1130" s="5" t="s">
        <v>53</v>
      </c>
      <c r="F1130" s="5" t="e">
        <f>VLOOKUP(B1130,'Türkkep Jira'!B:F,5,0)</f>
        <v>#N/A</v>
      </c>
      <c r="G1130" t="str">
        <f>IF(IFERROR(VLOOKUP(B1130,'Devam Eden Sprint'!B:B,1,0),"-")=B1130,"Devam Eden Sprint","-")</f>
        <v>-</v>
      </c>
      <c r="H1130" t="str">
        <f>IF(IFERROR(VLOOKUP(B1130,'Gelecek Sprint'!B:B,1,0),"-")=B1130,"Gelecek Sprint","-")</f>
        <v>-</v>
      </c>
      <c r="I1130" t="str">
        <f t="shared" si="33"/>
        <v>Ürün İş Listesi</v>
      </c>
      <c r="J1130"/>
    </row>
    <row r="1131" spans="1:10" x14ac:dyDescent="0.25">
      <c r="A1131" t="s">
        <v>1379</v>
      </c>
      <c r="B1131" t="s">
        <v>2498</v>
      </c>
      <c r="C1131" t="s">
        <v>16</v>
      </c>
      <c r="D1131" t="s">
        <v>2497</v>
      </c>
      <c r="E1131" s="5" t="s">
        <v>53</v>
      </c>
      <c r="F1131" s="5" t="e">
        <f>VLOOKUP(B1131,'Türkkep Jira'!B:F,5,0)</f>
        <v>#N/A</v>
      </c>
      <c r="G1131" t="str">
        <f>IF(IFERROR(VLOOKUP(B1131,'Devam Eden Sprint'!B:B,1,0),"-")=B1131,"Devam Eden Sprint","-")</f>
        <v>-</v>
      </c>
      <c r="H1131" t="str">
        <f>IF(IFERROR(VLOOKUP(B1131,'Gelecek Sprint'!B:B,1,0),"-")=B1131,"Gelecek Sprint","-")</f>
        <v>-</v>
      </c>
      <c r="I1131" t="str">
        <f t="shared" si="33"/>
        <v>Ürün İş Listesi</v>
      </c>
      <c r="J1131"/>
    </row>
    <row r="1132" spans="1:10" x14ac:dyDescent="0.25">
      <c r="A1132" t="s">
        <v>1379</v>
      </c>
      <c r="B1132" t="s">
        <v>2500</v>
      </c>
      <c r="C1132" t="s">
        <v>16</v>
      </c>
      <c r="D1132" t="s">
        <v>2499</v>
      </c>
      <c r="E1132" s="5" t="s">
        <v>53</v>
      </c>
      <c r="F1132" s="5" t="e">
        <f>VLOOKUP(B1132,'Türkkep Jira'!B:F,5,0)</f>
        <v>#N/A</v>
      </c>
      <c r="G1132" t="str">
        <f>IF(IFERROR(VLOOKUP(B1132,'Devam Eden Sprint'!B:B,1,0),"-")=B1132,"Devam Eden Sprint","-")</f>
        <v>-</v>
      </c>
      <c r="H1132" t="str">
        <f>IF(IFERROR(VLOOKUP(B1132,'Gelecek Sprint'!B:B,1,0),"-")=B1132,"Gelecek Sprint","-")</f>
        <v>-</v>
      </c>
      <c r="I1132" t="str">
        <f t="shared" si="33"/>
        <v>Ürün İş Listesi</v>
      </c>
      <c r="J1132"/>
    </row>
    <row r="1133" spans="1:10" x14ac:dyDescent="0.25">
      <c r="A1133" t="s">
        <v>1379</v>
      </c>
      <c r="B1133" t="s">
        <v>2502</v>
      </c>
      <c r="C1133" t="s">
        <v>16</v>
      </c>
      <c r="D1133" t="s">
        <v>2501</v>
      </c>
      <c r="E1133" s="5" t="s">
        <v>53</v>
      </c>
      <c r="F1133" s="5" t="e">
        <f>VLOOKUP(B1133,'Türkkep Jira'!B:F,5,0)</f>
        <v>#N/A</v>
      </c>
      <c r="G1133" t="str">
        <f>IF(IFERROR(VLOOKUP(B1133,'Devam Eden Sprint'!B:B,1,0),"-")=B1133,"Devam Eden Sprint","-")</f>
        <v>-</v>
      </c>
      <c r="H1133" t="str">
        <f>IF(IFERROR(VLOOKUP(B1133,'Gelecek Sprint'!B:B,1,0),"-")=B1133,"Gelecek Sprint","-")</f>
        <v>-</v>
      </c>
      <c r="I1133" t="str">
        <f t="shared" si="33"/>
        <v>Ürün İş Listesi</v>
      </c>
      <c r="J1133"/>
    </row>
    <row r="1134" spans="1:10" x14ac:dyDescent="0.25">
      <c r="A1134" t="s">
        <v>77</v>
      </c>
      <c r="B1134" t="s">
        <v>2504</v>
      </c>
      <c r="C1134" t="s">
        <v>16</v>
      </c>
      <c r="D1134" t="s">
        <v>2503</v>
      </c>
      <c r="E1134" s="5" t="s">
        <v>53</v>
      </c>
      <c r="F1134" s="5" t="e">
        <f>VLOOKUP(B1134,'Türkkep Jira'!B:F,5,0)</f>
        <v>#N/A</v>
      </c>
      <c r="G1134" t="str">
        <f>IF(IFERROR(VLOOKUP(B1134,'Devam Eden Sprint'!B:B,1,0),"-")=B1134,"Devam Eden Sprint","-")</f>
        <v>-</v>
      </c>
      <c r="H1134" t="str">
        <f>IF(IFERROR(VLOOKUP(B1134,'Gelecek Sprint'!B:B,1,0),"-")=B1134,"Gelecek Sprint","-")</f>
        <v>-</v>
      </c>
      <c r="I1134" t="str">
        <f t="shared" si="33"/>
        <v>Ürün İş Listesi</v>
      </c>
      <c r="J1134"/>
    </row>
    <row r="1135" spans="1:10" x14ac:dyDescent="0.25">
      <c r="A1135" t="s">
        <v>14</v>
      </c>
      <c r="B1135" t="s">
        <v>2505</v>
      </c>
      <c r="C1135" t="s">
        <v>16</v>
      </c>
      <c r="D1135" t="s">
        <v>2363</v>
      </c>
      <c r="E1135" s="5" t="s">
        <v>53</v>
      </c>
      <c r="F1135" s="5" t="e">
        <f>VLOOKUP(B1135,'Türkkep Jira'!B:F,5,0)</f>
        <v>#N/A</v>
      </c>
      <c r="G1135" t="str">
        <f>IF(IFERROR(VLOOKUP(B1135,'Devam Eden Sprint'!B:B,1,0),"-")=B1135,"Devam Eden Sprint","-")</f>
        <v>-</v>
      </c>
      <c r="H1135" t="str">
        <f>IF(IFERROR(VLOOKUP(B1135,'Gelecek Sprint'!B:B,1,0),"-")=B1135,"Gelecek Sprint","-")</f>
        <v>-</v>
      </c>
      <c r="I1135" t="str">
        <f t="shared" si="33"/>
        <v>Ürün İş Listesi</v>
      </c>
      <c r="J1135"/>
    </row>
    <row r="1136" spans="1:10" x14ac:dyDescent="0.25">
      <c r="A1136" t="s">
        <v>14</v>
      </c>
      <c r="B1136" t="s">
        <v>2374</v>
      </c>
      <c r="C1136" t="s">
        <v>10</v>
      </c>
      <c r="D1136" t="s">
        <v>2373</v>
      </c>
      <c r="E1136" s="5" t="s">
        <v>53</v>
      </c>
      <c r="F1136" s="5" t="e">
        <f>VLOOKUP(B1136,'Türkkep Jira'!B:F,5,0)</f>
        <v>#N/A</v>
      </c>
      <c r="G1136" t="str">
        <f>IF(IFERROR(VLOOKUP(B1136,'Devam Eden Sprint'!B:B,1,0),"-")=B1136,"Devam Eden Sprint","-")</f>
        <v>-</v>
      </c>
      <c r="H1136" t="str">
        <f>IF(IFERROR(VLOOKUP(B1136,'Gelecek Sprint'!B:B,1,0),"-")=B1136,"Gelecek Sprint","-")</f>
        <v>-</v>
      </c>
      <c r="I1136" t="str">
        <f t="shared" si="33"/>
        <v>Ürün İş Listesi</v>
      </c>
      <c r="J1136"/>
    </row>
    <row r="1137" spans="1:10" x14ac:dyDescent="0.25">
      <c r="A1137" t="s">
        <v>77</v>
      </c>
      <c r="B1137" t="s">
        <v>2376</v>
      </c>
      <c r="C1137" t="s">
        <v>16</v>
      </c>
      <c r="D1137" t="s">
        <v>2375</v>
      </c>
      <c r="E1137" s="5" t="s">
        <v>53</v>
      </c>
      <c r="F1137" s="5" t="e">
        <f>VLOOKUP(B1137,'Türkkep Jira'!B:F,5,0)</f>
        <v>#N/A</v>
      </c>
      <c r="G1137" t="str">
        <f>IF(IFERROR(VLOOKUP(B1137,'Devam Eden Sprint'!B:B,1,0),"-")=B1137,"Devam Eden Sprint","-")</f>
        <v>-</v>
      </c>
      <c r="H1137" t="str">
        <f>IF(IFERROR(VLOOKUP(B1137,'Gelecek Sprint'!B:B,1,0),"-")=B1137,"Gelecek Sprint","-")</f>
        <v>-</v>
      </c>
      <c r="I1137" t="str">
        <f t="shared" si="33"/>
        <v>Ürün İş Listesi</v>
      </c>
      <c r="J1137"/>
    </row>
    <row r="1138" spans="1:10" x14ac:dyDescent="0.25">
      <c r="A1138" t="s">
        <v>14</v>
      </c>
      <c r="B1138" t="s">
        <v>2507</v>
      </c>
      <c r="C1138" t="s">
        <v>10</v>
      </c>
      <c r="D1138" t="s">
        <v>2506</v>
      </c>
      <c r="E1138" s="5" t="s">
        <v>53</v>
      </c>
      <c r="F1138" s="5" t="e">
        <f>VLOOKUP(B1138,'Türkkep Jira'!B:F,5,0)</f>
        <v>#N/A</v>
      </c>
      <c r="G1138" t="str">
        <f>IF(IFERROR(VLOOKUP(B1138,'Devam Eden Sprint'!B:B,1,0),"-")=B1138,"Devam Eden Sprint","-")</f>
        <v>-</v>
      </c>
      <c r="H1138" t="str">
        <f>IF(IFERROR(VLOOKUP(B1138,'Gelecek Sprint'!B:B,1,0),"-")=B1138,"Gelecek Sprint","-")</f>
        <v>-</v>
      </c>
      <c r="I1138" t="str">
        <f t="shared" si="33"/>
        <v>Ürün İş Listesi</v>
      </c>
      <c r="J1138"/>
    </row>
    <row r="1139" spans="1:10" x14ac:dyDescent="0.25">
      <c r="A1139" t="s">
        <v>77</v>
      </c>
      <c r="B1139" t="s">
        <v>2509</v>
      </c>
      <c r="C1139" t="s">
        <v>16</v>
      </c>
      <c r="D1139" t="s">
        <v>2508</v>
      </c>
      <c r="E1139" s="5" t="s">
        <v>127</v>
      </c>
      <c r="F1139" s="5" t="e">
        <f>VLOOKUP(B1139,'Türkkep Jira'!B:F,5,0)</f>
        <v>#N/A</v>
      </c>
      <c r="G1139" t="str">
        <f>IF(IFERROR(VLOOKUP(B1139,'Devam Eden Sprint'!B:B,1,0),"-")=B1139,"Devam Eden Sprint","-")</f>
        <v>-</v>
      </c>
      <c r="H1139" t="str">
        <f>IF(IFERROR(VLOOKUP(B1139,'Gelecek Sprint'!B:B,1,0),"-")=B1139,"Gelecek Sprint","-")</f>
        <v>-</v>
      </c>
      <c r="I1139" t="str">
        <f t="shared" si="33"/>
        <v>Ürün İş Listesi</v>
      </c>
      <c r="J1139"/>
    </row>
    <row r="1140" spans="1:10" x14ac:dyDescent="0.25">
      <c r="A1140" t="s">
        <v>77</v>
      </c>
      <c r="B1140" t="s">
        <v>2511</v>
      </c>
      <c r="C1140" t="s">
        <v>16</v>
      </c>
      <c r="D1140" t="s">
        <v>2510</v>
      </c>
      <c r="E1140" s="5" t="s">
        <v>127</v>
      </c>
      <c r="F1140" s="5" t="e">
        <f>VLOOKUP(B1140,'Türkkep Jira'!B:F,5,0)</f>
        <v>#N/A</v>
      </c>
      <c r="G1140" t="str">
        <f>IF(IFERROR(VLOOKUP(B1140,'Devam Eden Sprint'!B:B,1,0),"-")=B1140,"Devam Eden Sprint","-")</f>
        <v>-</v>
      </c>
      <c r="H1140" t="str">
        <f>IF(IFERROR(VLOOKUP(B1140,'Gelecek Sprint'!B:B,1,0),"-")=B1140,"Gelecek Sprint","-")</f>
        <v>-</v>
      </c>
      <c r="I1140" t="str">
        <f t="shared" si="33"/>
        <v>Ürün İş Listesi</v>
      </c>
      <c r="J1140"/>
    </row>
    <row r="1141" spans="1:10" x14ac:dyDescent="0.25">
      <c r="A1141" t="s">
        <v>14</v>
      </c>
      <c r="B1141" t="s">
        <v>2513</v>
      </c>
      <c r="C1141" t="s">
        <v>94</v>
      </c>
      <c r="D1141" t="s">
        <v>2512</v>
      </c>
      <c r="E1141" s="5" t="s">
        <v>127</v>
      </c>
      <c r="F1141" s="5" t="e">
        <f>VLOOKUP(B1141,'Türkkep Jira'!B:F,5,0)</f>
        <v>#N/A</v>
      </c>
      <c r="G1141" t="str">
        <f>IF(IFERROR(VLOOKUP(B1141,'Devam Eden Sprint'!B:B,1,0),"-")=B1141,"Devam Eden Sprint","-")</f>
        <v>-</v>
      </c>
      <c r="H1141" t="str">
        <f>IF(IFERROR(VLOOKUP(B1141,'Gelecek Sprint'!B:B,1,0),"-")=B1141,"Gelecek Sprint","-")</f>
        <v>-</v>
      </c>
      <c r="I1141" t="str">
        <f t="shared" si="33"/>
        <v>Ürün İş Listesi</v>
      </c>
      <c r="J1141"/>
    </row>
    <row r="1142" spans="1:10" x14ac:dyDescent="0.25">
      <c r="A1142" t="s">
        <v>77</v>
      </c>
      <c r="B1142" t="s">
        <v>2515</v>
      </c>
      <c r="C1142" t="s">
        <v>16</v>
      </c>
      <c r="D1142" t="s">
        <v>2514</v>
      </c>
      <c r="E1142" s="5" t="s">
        <v>127</v>
      </c>
      <c r="F1142" s="5" t="e">
        <f>VLOOKUP(B1142,'Türkkep Jira'!B:F,5,0)</f>
        <v>#N/A</v>
      </c>
      <c r="G1142" t="str">
        <f>IF(IFERROR(VLOOKUP(B1142,'Devam Eden Sprint'!B:B,1,0),"-")=B1142,"Devam Eden Sprint","-")</f>
        <v>-</v>
      </c>
      <c r="H1142" t="str">
        <f>IF(IFERROR(VLOOKUP(B1142,'Gelecek Sprint'!B:B,1,0),"-")=B1142,"Gelecek Sprint","-")</f>
        <v>-</v>
      </c>
      <c r="I1142" t="str">
        <f t="shared" si="33"/>
        <v>Ürün İş Listesi</v>
      </c>
      <c r="J1142"/>
    </row>
    <row r="1143" spans="1:10" x14ac:dyDescent="0.25">
      <c r="A1143" t="s">
        <v>14</v>
      </c>
      <c r="B1143" t="s">
        <v>2517</v>
      </c>
      <c r="C1143" t="s">
        <v>16</v>
      </c>
      <c r="D1143" t="s">
        <v>2516</v>
      </c>
      <c r="E1143" s="5" t="s">
        <v>124</v>
      </c>
      <c r="F1143" s="5" t="e">
        <f>VLOOKUP(B1143,'Türkkep Jira'!B:F,5,0)</f>
        <v>#N/A</v>
      </c>
      <c r="G1143" t="str">
        <f>IF(IFERROR(VLOOKUP(B1143,'Devam Eden Sprint'!B:B,1,0),"-")=B1143,"Devam Eden Sprint","-")</f>
        <v>-</v>
      </c>
      <c r="H1143" t="str">
        <f>IF(IFERROR(VLOOKUP(B1143,'Gelecek Sprint'!B:B,1,0),"-")=B1143,"Gelecek Sprint","-")</f>
        <v>-</v>
      </c>
      <c r="I1143" t="str">
        <f t="shared" si="33"/>
        <v>Ürün İş Listesi</v>
      </c>
      <c r="J1143"/>
    </row>
    <row r="1144" spans="1:10" x14ac:dyDescent="0.25">
      <c r="A1144" t="s">
        <v>14</v>
      </c>
      <c r="B1144" t="s">
        <v>2518</v>
      </c>
      <c r="C1144" t="s">
        <v>10</v>
      </c>
      <c r="D1144" t="s">
        <v>2461</v>
      </c>
      <c r="E1144" s="5" t="s">
        <v>542</v>
      </c>
      <c r="F1144" s="5" t="e">
        <f>VLOOKUP(B1144,'Türkkep Jira'!B:F,5,0)</f>
        <v>#N/A</v>
      </c>
      <c r="G1144" t="str">
        <f>IF(IFERROR(VLOOKUP(B1144,'Devam Eden Sprint'!B:B,1,0),"-")=B1144,"Devam Eden Sprint","-")</f>
        <v>-</v>
      </c>
      <c r="H1144" t="str">
        <f>IF(IFERROR(VLOOKUP(B1144,'Gelecek Sprint'!B:B,1,0),"-")=B1144,"Gelecek Sprint","-")</f>
        <v>Gelecek Sprint</v>
      </c>
      <c r="I1144" t="str">
        <f t="shared" si="33"/>
        <v>Gelecek Sprint</v>
      </c>
      <c r="J1144"/>
    </row>
    <row r="1145" spans="1:10" x14ac:dyDescent="0.25">
      <c r="A1145" t="s">
        <v>14</v>
      </c>
      <c r="B1145" t="s">
        <v>2520</v>
      </c>
      <c r="C1145" t="s">
        <v>10</v>
      </c>
      <c r="D1145" t="s">
        <v>2519</v>
      </c>
      <c r="E1145" s="5" t="s">
        <v>1728</v>
      </c>
      <c r="F1145" s="5" t="e">
        <f>VLOOKUP(B1145,'Türkkep Jira'!B:F,5,0)</f>
        <v>#N/A</v>
      </c>
      <c r="G1145" t="str">
        <f>IF(IFERROR(VLOOKUP(B1145,'Devam Eden Sprint'!B:B,1,0),"-")=B1145,"Devam Eden Sprint","-")</f>
        <v>-</v>
      </c>
      <c r="H1145" t="str">
        <f>IF(IFERROR(VLOOKUP(B1145,'Gelecek Sprint'!B:B,1,0),"-")=B1145,"Gelecek Sprint","-")</f>
        <v>-</v>
      </c>
      <c r="I1145" t="str">
        <f t="shared" si="33"/>
        <v>Ürün İş Listesi</v>
      </c>
      <c r="J1145"/>
    </row>
    <row r="1146" spans="1:10" x14ac:dyDescent="0.25">
      <c r="A1146" t="s">
        <v>14</v>
      </c>
      <c r="B1146" t="s">
        <v>2522</v>
      </c>
      <c r="C1146" t="s">
        <v>10</v>
      </c>
      <c r="D1146" t="s">
        <v>2521</v>
      </c>
      <c r="E1146" s="5" t="s">
        <v>1728</v>
      </c>
      <c r="F1146" s="5" t="e">
        <f>VLOOKUP(B1146,'Türkkep Jira'!B:F,5,0)</f>
        <v>#N/A</v>
      </c>
      <c r="G1146" t="str">
        <f>IF(IFERROR(VLOOKUP(B1146,'Devam Eden Sprint'!B:B,1,0),"-")=B1146,"Devam Eden Sprint","-")</f>
        <v>-</v>
      </c>
      <c r="H1146" t="str">
        <f>IF(IFERROR(VLOOKUP(B1146,'Gelecek Sprint'!B:B,1,0),"-")=B1146,"Gelecek Sprint","-")</f>
        <v>-</v>
      </c>
      <c r="I1146" t="str">
        <f t="shared" si="33"/>
        <v>Ürün İş Listesi</v>
      </c>
      <c r="J1146"/>
    </row>
    <row r="1147" spans="1:10" x14ac:dyDescent="0.25">
      <c r="A1147" t="s">
        <v>14</v>
      </c>
      <c r="B1147" t="s">
        <v>2523</v>
      </c>
      <c r="C1147" t="s">
        <v>16</v>
      </c>
      <c r="D1147" t="s">
        <v>2461</v>
      </c>
      <c r="E1147" s="5" t="s">
        <v>59</v>
      </c>
      <c r="F1147" s="5" t="e">
        <f>VLOOKUP(B1147,'Türkkep Jira'!B:F,5,0)</f>
        <v>#N/A</v>
      </c>
      <c r="G1147" t="str">
        <f>IF(IFERROR(VLOOKUP(B1147,'Devam Eden Sprint'!B:B,1,0),"-")=B1147,"Devam Eden Sprint","-")</f>
        <v>-</v>
      </c>
      <c r="H1147" t="str">
        <f>IF(IFERROR(VLOOKUP(B1147,'Gelecek Sprint'!B:B,1,0),"-")=B1147,"Gelecek Sprint","-")</f>
        <v>-</v>
      </c>
      <c r="I1147" t="str">
        <f t="shared" si="33"/>
        <v>Ürün İş Listesi</v>
      </c>
      <c r="J1147"/>
    </row>
    <row r="1148" spans="1:10" x14ac:dyDescent="0.25">
      <c r="A1148" t="s">
        <v>14</v>
      </c>
      <c r="B1148" t="s">
        <v>2524</v>
      </c>
      <c r="C1148" t="s">
        <v>16</v>
      </c>
      <c r="D1148" t="s">
        <v>2461</v>
      </c>
      <c r="E1148" s="5" t="s">
        <v>455</v>
      </c>
      <c r="F1148" s="5" t="str">
        <f>VLOOKUP(B1148,'Türkkep Jira'!B:F,5,0)</f>
        <v>Done</v>
      </c>
      <c r="G1148" t="str">
        <f>IF(IFERROR(VLOOKUP(B1148,'Devam Eden Sprint'!B:B,1,0),"-")=B1148,"Devam Eden Sprint","-")</f>
        <v>Devam Eden Sprint</v>
      </c>
      <c r="H1148" t="str">
        <f>IF(IFERROR(VLOOKUP(B1148,'Gelecek Sprint'!B:B,1,0),"-")=B1148,"Gelecek Sprint","-")</f>
        <v>-</v>
      </c>
      <c r="I1148" t="str">
        <f t="shared" si="33"/>
        <v>Devam Eden Sprint</v>
      </c>
      <c r="J1148"/>
    </row>
    <row r="1149" spans="1:10" x14ac:dyDescent="0.25">
      <c r="A1149" t="s">
        <v>77</v>
      </c>
      <c r="B1149" t="s">
        <v>2526</v>
      </c>
      <c r="C1149" t="s">
        <v>16</v>
      </c>
      <c r="D1149" t="s">
        <v>2525</v>
      </c>
      <c r="E1149" s="5" t="s">
        <v>56</v>
      </c>
      <c r="F1149" s="5" t="str">
        <f>VLOOKUP(B1149,'Türkkep Jira'!B:F,5,0)</f>
        <v>Done</v>
      </c>
      <c r="G1149" t="str">
        <f>IF(IFERROR(VLOOKUP(B1149,'Devam Eden Sprint'!B:B,1,0),"-")=B1149,"Devam Eden Sprint","-")</f>
        <v>Devam Eden Sprint</v>
      </c>
      <c r="H1149" t="str">
        <f>IF(IFERROR(VLOOKUP(B1149,'Gelecek Sprint'!B:B,1,0),"-")=B1149,"Gelecek Sprint","-")</f>
        <v>-</v>
      </c>
      <c r="I1149" t="str">
        <f t="shared" si="33"/>
        <v>Devam Eden Sprint</v>
      </c>
      <c r="J1149"/>
    </row>
    <row r="1150" spans="1:10" x14ac:dyDescent="0.25">
      <c r="A1150" t="s">
        <v>77</v>
      </c>
      <c r="B1150" t="s">
        <v>2528</v>
      </c>
      <c r="C1150" t="s">
        <v>10</v>
      </c>
      <c r="D1150" t="s">
        <v>2527</v>
      </c>
      <c r="E1150" s="5" t="s">
        <v>56</v>
      </c>
      <c r="F1150" s="5" t="e">
        <f>VLOOKUP(B1150,'Türkkep Jira'!B:F,5,0)</f>
        <v>#N/A</v>
      </c>
      <c r="G1150" t="str">
        <f>IF(IFERROR(VLOOKUP(B1150,'Devam Eden Sprint'!B:B,1,0),"-")=B1150,"Devam Eden Sprint","-")</f>
        <v>-</v>
      </c>
      <c r="H1150" t="str">
        <f>IF(IFERROR(VLOOKUP(B1150,'Gelecek Sprint'!B:B,1,0),"-")=B1150,"Gelecek Sprint","-")</f>
        <v>-</v>
      </c>
      <c r="I1150" t="str">
        <f t="shared" si="33"/>
        <v>Ürün İş Listesi</v>
      </c>
      <c r="J1150"/>
    </row>
    <row r="1151" spans="1:10" x14ac:dyDescent="0.25">
      <c r="A1151" t="s">
        <v>77</v>
      </c>
      <c r="B1151" t="s">
        <v>2530</v>
      </c>
      <c r="C1151" t="s">
        <v>16</v>
      </c>
      <c r="D1151" t="s">
        <v>2529</v>
      </c>
      <c r="E1151" s="5" t="s">
        <v>56</v>
      </c>
      <c r="F1151" s="5" t="e">
        <f>VLOOKUP(B1151,'Türkkep Jira'!B:F,5,0)</f>
        <v>#N/A</v>
      </c>
      <c r="G1151" t="str">
        <f>IF(IFERROR(VLOOKUP(B1151,'Devam Eden Sprint'!B:B,1,0),"-")=B1151,"Devam Eden Sprint","-")</f>
        <v>-</v>
      </c>
      <c r="H1151" t="str">
        <f>IF(IFERROR(VLOOKUP(B1151,'Gelecek Sprint'!B:B,1,0),"-")=B1151,"Gelecek Sprint","-")</f>
        <v>-</v>
      </c>
      <c r="I1151" t="str">
        <f t="shared" si="33"/>
        <v>Ürün İş Listesi</v>
      </c>
      <c r="J1151"/>
    </row>
    <row r="1152" spans="1:10" x14ac:dyDescent="0.25">
      <c r="A1152" t="s">
        <v>14</v>
      </c>
      <c r="B1152" t="s">
        <v>2532</v>
      </c>
      <c r="C1152" t="s">
        <v>10</v>
      </c>
      <c r="D1152" t="s">
        <v>2531</v>
      </c>
      <c r="E1152" s="5" t="s">
        <v>56</v>
      </c>
      <c r="F1152" s="5" t="e">
        <f>VLOOKUP(B1152,'Türkkep Jira'!B:F,5,0)</f>
        <v>#N/A</v>
      </c>
      <c r="G1152" t="str">
        <f>IF(IFERROR(VLOOKUP(B1152,'Devam Eden Sprint'!B:B,1,0),"-")=B1152,"Devam Eden Sprint","-")</f>
        <v>-</v>
      </c>
      <c r="H1152" t="str">
        <f>IF(IFERROR(VLOOKUP(B1152,'Gelecek Sprint'!B:B,1,0),"-")=B1152,"Gelecek Sprint","-")</f>
        <v>-</v>
      </c>
      <c r="I1152" t="str">
        <f t="shared" si="33"/>
        <v>Ürün İş Listesi</v>
      </c>
      <c r="J1152"/>
    </row>
    <row r="1153" spans="1:10" x14ac:dyDescent="0.25">
      <c r="A1153" t="s">
        <v>14</v>
      </c>
      <c r="B1153" t="s">
        <v>2307</v>
      </c>
      <c r="C1153" t="s">
        <v>16</v>
      </c>
      <c r="D1153" t="s">
        <v>2533</v>
      </c>
      <c r="E1153" s="5" t="s">
        <v>56</v>
      </c>
      <c r="F1153" s="5" t="e">
        <f>VLOOKUP(B1153,'Türkkep Jira'!B:F,5,0)</f>
        <v>#N/A</v>
      </c>
      <c r="G1153" t="str">
        <f>IF(IFERROR(VLOOKUP(B1153,'Devam Eden Sprint'!B:B,1,0),"-")=B1153,"Devam Eden Sprint","-")</f>
        <v>-</v>
      </c>
      <c r="H1153" t="str">
        <f>IF(IFERROR(VLOOKUP(B1153,'Gelecek Sprint'!B:B,1,0),"-")=B1153,"Gelecek Sprint","-")</f>
        <v>-</v>
      </c>
      <c r="I1153" t="str">
        <f t="shared" si="33"/>
        <v>Ürün İş Listesi</v>
      </c>
      <c r="J1153"/>
    </row>
    <row r="1154" spans="1:10" x14ac:dyDescent="0.25">
      <c r="A1154" t="s">
        <v>14</v>
      </c>
      <c r="B1154" t="s">
        <v>2534</v>
      </c>
      <c r="C1154" t="s">
        <v>26</v>
      </c>
      <c r="D1154" t="s">
        <v>2461</v>
      </c>
      <c r="E1154" s="5" t="s">
        <v>47</v>
      </c>
      <c r="F1154" s="5" t="str">
        <f>VLOOKUP(B1154,'Türkkep Jira'!B:F,5,0)</f>
        <v>Development</v>
      </c>
      <c r="G1154" t="str">
        <f>IF(IFERROR(VLOOKUP(B1154,'Devam Eden Sprint'!B:B,1,0),"-")=B1154,"Devam Eden Sprint","-")</f>
        <v>Devam Eden Sprint</v>
      </c>
      <c r="H1154" t="str">
        <f>IF(IFERROR(VLOOKUP(B1154,'Gelecek Sprint'!B:B,1,0),"-")=B1154,"Gelecek Sprint","-")</f>
        <v>Gelecek Sprint</v>
      </c>
      <c r="I1154" t="str">
        <f t="shared" si="33"/>
        <v>Devam Eden ve Gelecek Sprint</v>
      </c>
      <c r="J1154"/>
    </row>
    <row r="1155" spans="1:10" x14ac:dyDescent="0.25">
      <c r="A1155" t="s">
        <v>14</v>
      </c>
      <c r="B1155" t="s">
        <v>2383</v>
      </c>
      <c r="C1155" t="s">
        <v>16</v>
      </c>
      <c r="D1155" t="s">
        <v>2382</v>
      </c>
      <c r="E1155" s="5" t="s">
        <v>47</v>
      </c>
      <c r="F1155" s="5" t="e">
        <f>VLOOKUP(B1155,'Türkkep Jira'!B:F,5,0)</f>
        <v>#N/A</v>
      </c>
      <c r="G1155" t="str">
        <f>IF(IFERROR(VLOOKUP(B1155,'Devam Eden Sprint'!B:B,1,0),"-")=B1155,"Devam Eden Sprint","-")</f>
        <v>-</v>
      </c>
      <c r="H1155" t="str">
        <f>IF(IFERROR(VLOOKUP(B1155,'Gelecek Sprint'!B:B,1,0),"-")=B1155,"Gelecek Sprint","-")</f>
        <v>-</v>
      </c>
      <c r="I1155" t="str">
        <f t="shared" si="33"/>
        <v>Ürün İş Listesi</v>
      </c>
      <c r="J1155"/>
    </row>
    <row r="1156" spans="1:10" x14ac:dyDescent="0.25">
      <c r="A1156" t="s">
        <v>14</v>
      </c>
      <c r="B1156" t="s">
        <v>2386</v>
      </c>
      <c r="C1156" t="s">
        <v>16</v>
      </c>
      <c r="D1156" t="s">
        <v>2385</v>
      </c>
      <c r="E1156" s="5" t="s">
        <v>47</v>
      </c>
      <c r="F1156" s="5" t="e">
        <f>VLOOKUP(B1156,'Türkkep Jira'!B:F,5,0)</f>
        <v>#N/A</v>
      </c>
      <c r="G1156" t="str">
        <f>IF(IFERROR(VLOOKUP(B1156,'Devam Eden Sprint'!B:B,1,0),"-")=B1156,"Devam Eden Sprint","-")</f>
        <v>-</v>
      </c>
      <c r="H1156" t="str">
        <f>IF(IFERROR(VLOOKUP(B1156,'Gelecek Sprint'!B:B,1,0),"-")=B1156,"Gelecek Sprint","-")</f>
        <v>-</v>
      </c>
      <c r="I1156" t="str">
        <f t="shared" si="33"/>
        <v>Ürün İş Listesi</v>
      </c>
      <c r="J1156"/>
    </row>
    <row r="1157" spans="1:10" x14ac:dyDescent="0.25">
      <c r="A1157" t="s">
        <v>1379</v>
      </c>
      <c r="B1157" t="s">
        <v>2538</v>
      </c>
      <c r="C1157" t="s">
        <v>16</v>
      </c>
      <c r="D1157" t="s">
        <v>2537</v>
      </c>
      <c r="E1157" s="5" t="s">
        <v>50</v>
      </c>
      <c r="F1157" s="5" t="e">
        <f>VLOOKUP(B1157,'Türkkep Jira'!B:F,5,0)</f>
        <v>#N/A</v>
      </c>
      <c r="G1157" t="str">
        <f>IF(IFERROR(VLOOKUP(B1157,'Devam Eden Sprint'!B:B,1,0),"-")=B1157,"Devam Eden Sprint","-")</f>
        <v>-</v>
      </c>
      <c r="H1157" t="str">
        <f>IF(IFERROR(VLOOKUP(B1157,'Gelecek Sprint'!B:B,1,0),"-")=B1157,"Gelecek Sprint","-")</f>
        <v>-</v>
      </c>
      <c r="I1157" t="str">
        <f t="shared" si="33"/>
        <v>Ürün İş Listesi</v>
      </c>
      <c r="J1157"/>
    </row>
    <row r="1158" spans="1:10" x14ac:dyDescent="0.25">
      <c r="A1158" t="s">
        <v>14</v>
      </c>
      <c r="B1158" t="s">
        <v>2388</v>
      </c>
      <c r="C1158" t="s">
        <v>16</v>
      </c>
      <c r="D1158" t="s">
        <v>2340</v>
      </c>
      <c r="E1158" s="5" t="s">
        <v>50</v>
      </c>
      <c r="F1158" s="5" t="e">
        <f>VLOOKUP(B1158,'Türkkep Jira'!B:F,5,0)</f>
        <v>#N/A</v>
      </c>
      <c r="G1158" t="str">
        <f>IF(IFERROR(VLOOKUP(B1158,'Devam Eden Sprint'!B:B,1,0),"-")=B1158,"Devam Eden Sprint","-")</f>
        <v>-</v>
      </c>
      <c r="H1158" t="str">
        <f>IF(IFERROR(VLOOKUP(B1158,'Gelecek Sprint'!B:B,1,0),"-")=B1158,"Gelecek Sprint","-")</f>
        <v>-</v>
      </c>
      <c r="I1158" t="str">
        <f t="shared" si="33"/>
        <v>Ürün İş Listesi</v>
      </c>
      <c r="J1158"/>
    </row>
    <row r="1159" spans="1:10" x14ac:dyDescent="0.25">
      <c r="A1159" t="s">
        <v>14</v>
      </c>
      <c r="B1159" t="s">
        <v>2540</v>
      </c>
      <c r="C1159" s="29" t="s">
        <v>3045</v>
      </c>
      <c r="D1159" t="s">
        <v>2461</v>
      </c>
      <c r="E1159" s="5" t="s">
        <v>41</v>
      </c>
      <c r="F1159" s="5" t="e">
        <f>VLOOKUP(B1159,'Türkkep Jira'!B:F,5,0)</f>
        <v>#N/A</v>
      </c>
      <c r="G1159" t="str">
        <f>IF(IFERROR(VLOOKUP(B1159,'Devam Eden Sprint'!B:B,1,0),"-")=B1159,"Devam Eden Sprint","-")</f>
        <v>Devam Eden Sprint</v>
      </c>
      <c r="H1159" t="str">
        <f>IF(IFERROR(VLOOKUP(B1159,'Gelecek Sprint'!B:B,1,0),"-")=B1159,"Gelecek Sprint","-")</f>
        <v>Gelecek Sprint</v>
      </c>
      <c r="I1159" t="str">
        <f t="shared" si="33"/>
        <v>Devam Eden ve Gelecek Sprint</v>
      </c>
      <c r="J1159"/>
    </row>
    <row r="1160" spans="1:10" x14ac:dyDescent="0.25">
      <c r="A1160" t="s">
        <v>14</v>
      </c>
      <c r="B1160" t="s">
        <v>2542</v>
      </c>
      <c r="C1160" t="s">
        <v>10</v>
      </c>
      <c r="D1160" t="s">
        <v>2461</v>
      </c>
      <c r="E1160" s="5" t="s">
        <v>38</v>
      </c>
      <c r="F1160" s="5" t="e">
        <f>VLOOKUP(B1160,'Türkkep Jira'!B:F,5,0)</f>
        <v>#N/A</v>
      </c>
      <c r="G1160" t="str">
        <f>IF(IFERROR(VLOOKUP(B1160,'Devam Eden Sprint'!B:B,1,0),"-")=B1160,"Devam Eden Sprint","-")</f>
        <v>-</v>
      </c>
      <c r="H1160" t="str">
        <f>IF(IFERROR(VLOOKUP(B1160,'Gelecek Sprint'!B:B,1,0),"-")=B1160,"Gelecek Sprint","-")</f>
        <v>-</v>
      </c>
      <c r="I1160" t="str">
        <f t="shared" si="33"/>
        <v>Ürün İş Listesi</v>
      </c>
      <c r="J1160"/>
    </row>
    <row r="1161" spans="1:10" x14ac:dyDescent="0.25">
      <c r="A1161" t="s">
        <v>14</v>
      </c>
      <c r="B1161" t="s">
        <v>2544</v>
      </c>
      <c r="C1161" t="s">
        <v>10</v>
      </c>
      <c r="D1161" t="s">
        <v>2543</v>
      </c>
      <c r="E1161" s="5" t="s">
        <v>12</v>
      </c>
      <c r="F1161" s="5" t="str">
        <f>VLOOKUP(B1161,'Türkkep Jira'!B:F,5,0)</f>
        <v>To Do</v>
      </c>
      <c r="G1161" t="str">
        <f>IF(IFERROR(VLOOKUP(B1161,'Devam Eden Sprint'!B:B,1,0),"-")=B1161,"Devam Eden Sprint","-")</f>
        <v>Devam Eden Sprint</v>
      </c>
      <c r="H1161" t="str">
        <f>IF(IFERROR(VLOOKUP(B1161,'Gelecek Sprint'!B:B,1,0),"-")=B1161,"Gelecek Sprint","-")</f>
        <v>Gelecek Sprint</v>
      </c>
      <c r="I1161" t="str">
        <f t="shared" si="33"/>
        <v>Devam Eden ve Gelecek Sprint</v>
      </c>
      <c r="J1161"/>
    </row>
    <row r="1162" spans="1:10" x14ac:dyDescent="0.25">
      <c r="A1162" t="s">
        <v>14</v>
      </c>
      <c r="B1162" t="s">
        <v>2546</v>
      </c>
      <c r="C1162" t="s">
        <v>16</v>
      </c>
      <c r="D1162" t="s">
        <v>2545</v>
      </c>
      <c r="E1162" s="5" t="s">
        <v>12</v>
      </c>
      <c r="F1162" s="5" t="str">
        <f>VLOOKUP(B1162,'Türkkep Jira'!B:F,5,0)</f>
        <v>Done</v>
      </c>
      <c r="G1162" t="str">
        <f>IF(IFERROR(VLOOKUP(B1162,'Devam Eden Sprint'!B:B,1,0),"-")=B1162,"Devam Eden Sprint","-")</f>
        <v>-</v>
      </c>
      <c r="H1162" t="str">
        <f>IF(IFERROR(VLOOKUP(B1162,'Gelecek Sprint'!B:B,1,0),"-")=B1162,"Gelecek Sprint","-")</f>
        <v>-</v>
      </c>
      <c r="I1162" t="str">
        <f t="shared" si="33"/>
        <v>Ürün İş Listesi</v>
      </c>
      <c r="J1162"/>
    </row>
    <row r="1163" spans="1:10" x14ac:dyDescent="0.25">
      <c r="A1163" t="s">
        <v>14</v>
      </c>
      <c r="B1163" t="s">
        <v>2425</v>
      </c>
      <c r="C1163" t="s">
        <v>16</v>
      </c>
      <c r="D1163" t="s">
        <v>2424</v>
      </c>
      <c r="E1163" s="5" t="s">
        <v>12</v>
      </c>
      <c r="F1163" s="5" t="str">
        <f>VLOOKUP(B1163,'Türkkep Jira'!B:F,5,0)</f>
        <v>Done</v>
      </c>
      <c r="G1163" t="str">
        <f>IF(IFERROR(VLOOKUP(B1163,'Devam Eden Sprint'!B:B,1,0),"-")=B1163,"Devam Eden Sprint","-")</f>
        <v>-</v>
      </c>
      <c r="H1163" t="str">
        <f>IF(IFERROR(VLOOKUP(B1163,'Gelecek Sprint'!B:B,1,0),"-")=B1163,"Gelecek Sprint","-")</f>
        <v>-</v>
      </c>
      <c r="I1163" t="str">
        <f t="shared" si="33"/>
        <v>Ürün İş Listesi</v>
      </c>
      <c r="J1163"/>
    </row>
    <row r="1164" spans="1:10" x14ac:dyDescent="0.25">
      <c r="A1164" t="s">
        <v>14</v>
      </c>
      <c r="B1164" t="s">
        <v>2548</v>
      </c>
      <c r="C1164" t="s">
        <v>16</v>
      </c>
      <c r="D1164" t="s">
        <v>2547</v>
      </c>
      <c r="E1164" s="5" t="s">
        <v>12</v>
      </c>
      <c r="F1164" s="5" t="e">
        <f>VLOOKUP(B1164,'Türkkep Jira'!B:F,5,0)</f>
        <v>#N/A</v>
      </c>
      <c r="G1164" t="str">
        <f>IF(IFERROR(VLOOKUP(B1164,'Devam Eden Sprint'!B:B,1,0),"-")=B1164,"Devam Eden Sprint","-")</f>
        <v>-</v>
      </c>
      <c r="H1164" t="str">
        <f>IF(IFERROR(VLOOKUP(B1164,'Gelecek Sprint'!B:B,1,0),"-")=B1164,"Gelecek Sprint","-")</f>
        <v>-</v>
      </c>
      <c r="I1164" t="str">
        <f t="shared" si="33"/>
        <v>Ürün İş Listesi</v>
      </c>
      <c r="J1164"/>
    </row>
    <row r="1165" spans="1:10" x14ac:dyDescent="0.25">
      <c r="A1165" t="s">
        <v>14</v>
      </c>
      <c r="B1165" t="s">
        <v>2550</v>
      </c>
      <c r="C1165" t="s">
        <v>27</v>
      </c>
      <c r="D1165" t="s">
        <v>2549</v>
      </c>
      <c r="E1165" s="5" t="s">
        <v>12</v>
      </c>
      <c r="F1165" s="5" t="str">
        <f>VLOOKUP(B1165,'Türkkep Jira'!B:F,5,0)</f>
        <v>TO TEST</v>
      </c>
      <c r="G1165" t="str">
        <f>IF(IFERROR(VLOOKUP(B1165,'Devam Eden Sprint'!B:B,1,0),"-")=B1165,"Devam Eden Sprint","-")</f>
        <v>Devam Eden Sprint</v>
      </c>
      <c r="H1165" t="str">
        <f>IF(IFERROR(VLOOKUP(B1165,'Gelecek Sprint'!B:B,1,0),"-")=B1165,"Gelecek Sprint","-")</f>
        <v>Gelecek Sprint</v>
      </c>
      <c r="I1165" t="str">
        <f t="shared" si="33"/>
        <v>Devam Eden ve Gelecek Sprint</v>
      </c>
      <c r="J1165"/>
    </row>
    <row r="1166" spans="1:10" x14ac:dyDescent="0.25">
      <c r="A1166" t="s">
        <v>14</v>
      </c>
      <c r="B1166" t="s">
        <v>2441</v>
      </c>
      <c r="C1166" t="s">
        <v>16</v>
      </c>
      <c r="D1166" t="s">
        <v>2440</v>
      </c>
      <c r="E1166" s="5" t="s">
        <v>12</v>
      </c>
      <c r="F1166" s="5" t="e">
        <f>VLOOKUP(B1166,'Türkkep Jira'!B:F,5,0)</f>
        <v>#N/A</v>
      </c>
      <c r="G1166" t="str">
        <f>IF(IFERROR(VLOOKUP(B1166,'Devam Eden Sprint'!B:B,1,0),"-")=B1166,"Devam Eden Sprint","-")</f>
        <v>-</v>
      </c>
      <c r="H1166" t="str">
        <f>IF(IFERROR(VLOOKUP(B1166,'Gelecek Sprint'!B:B,1,0),"-")=B1166,"Gelecek Sprint","-")</f>
        <v>-</v>
      </c>
      <c r="I1166" t="str">
        <f t="shared" si="33"/>
        <v>Ürün İş Listesi</v>
      </c>
      <c r="J1166"/>
    </row>
    <row r="1167" spans="1:10" x14ac:dyDescent="0.25">
      <c r="A1167" t="s">
        <v>14</v>
      </c>
      <c r="B1167" t="s">
        <v>2561</v>
      </c>
      <c r="C1167" t="s">
        <v>16</v>
      </c>
      <c r="D1167" t="s">
        <v>2562</v>
      </c>
      <c r="E1167" s="5" t="s">
        <v>12</v>
      </c>
      <c r="F1167" s="5" t="e">
        <f>VLOOKUP(B1167,'Türkkep Jira'!B:F,5,0)</f>
        <v>#N/A</v>
      </c>
      <c r="G1167" t="str">
        <f>IF(IFERROR(VLOOKUP(B1167,'Devam Eden Sprint'!B:B,1,0),"-")=B1167,"Devam Eden Sprint","-")</f>
        <v>-</v>
      </c>
      <c r="H1167" t="str">
        <f>IF(IFERROR(VLOOKUP(B1167,'Gelecek Sprint'!B:B,1,0),"-")=B1167,"Gelecek Sprint","-")</f>
        <v>-</v>
      </c>
      <c r="I1167" t="str">
        <f t="shared" ref="I1167:I1188" si="34">IFERROR(IF(AND(G1167="Devam Eden Sprint",H1167="Gelecek Sprint"),"Devam Eden ve Gelecek Sprint",IF(G1167="Devam Eden Sprint","Devam Eden Sprint",IF(H1167="Gelecek Sprint","Gelecek Sprint","Ürün İş Listesi"))),"Ürün İş Listesi")</f>
        <v>Ürün İş Listesi</v>
      </c>
      <c r="J1167">
        <v>1</v>
      </c>
    </row>
    <row r="1168" spans="1:10" x14ac:dyDescent="0.25">
      <c r="A1168" t="s">
        <v>14</v>
      </c>
      <c r="B1168" t="s">
        <v>2563</v>
      </c>
      <c r="C1168" t="s">
        <v>16</v>
      </c>
      <c r="D1168" t="s">
        <v>2564</v>
      </c>
      <c r="E1168" s="5" t="s">
        <v>12</v>
      </c>
      <c r="F1168" s="5" t="e">
        <f>VLOOKUP(B1168,'Türkkep Jira'!B:F,5,0)</f>
        <v>#N/A</v>
      </c>
      <c r="G1168" t="str">
        <f>IF(IFERROR(VLOOKUP(B1168,'Devam Eden Sprint'!B:B,1,0),"-")=B1168,"Devam Eden Sprint","-")</f>
        <v>-</v>
      </c>
      <c r="H1168" t="str">
        <f>IF(IFERROR(VLOOKUP(B1168,'Gelecek Sprint'!B:B,1,0),"-")=B1168,"Gelecek Sprint","-")</f>
        <v>-</v>
      </c>
      <c r="I1168" t="str">
        <f t="shared" si="34"/>
        <v>Ürün İş Listesi</v>
      </c>
      <c r="J1168">
        <v>1</v>
      </c>
    </row>
    <row r="1169" spans="1:10" x14ac:dyDescent="0.25">
      <c r="A1169" t="s">
        <v>14</v>
      </c>
      <c r="B1169" t="s">
        <v>2565</v>
      </c>
      <c r="C1169" t="s">
        <v>16</v>
      </c>
      <c r="D1169" t="s">
        <v>2566</v>
      </c>
      <c r="E1169" s="5" t="s">
        <v>12</v>
      </c>
      <c r="F1169" s="5" t="e">
        <f>VLOOKUP(B1169,'Türkkep Jira'!B:F,5,0)</f>
        <v>#N/A</v>
      </c>
      <c r="G1169" t="str">
        <f>IF(IFERROR(VLOOKUP(B1169,'Devam Eden Sprint'!B:B,1,0),"-")=B1169,"Devam Eden Sprint","-")</f>
        <v>-</v>
      </c>
      <c r="H1169" t="str">
        <f>IF(IFERROR(VLOOKUP(B1169,'Gelecek Sprint'!B:B,1,0),"-")=B1169,"Gelecek Sprint","-")</f>
        <v>-</v>
      </c>
      <c r="I1169" t="str">
        <f t="shared" si="34"/>
        <v>Ürün İş Listesi</v>
      </c>
      <c r="J1169">
        <v>2</v>
      </c>
    </row>
    <row r="1170" spans="1:10" x14ac:dyDescent="0.25">
      <c r="A1170" t="s">
        <v>14</v>
      </c>
      <c r="B1170" t="s">
        <v>2567</v>
      </c>
      <c r="C1170" t="s">
        <v>16</v>
      </c>
      <c r="D1170" t="s">
        <v>2568</v>
      </c>
      <c r="E1170" s="5" t="s">
        <v>12</v>
      </c>
      <c r="F1170" s="5" t="e">
        <f>VLOOKUP(B1170,'Türkkep Jira'!B:F,5,0)</f>
        <v>#N/A</v>
      </c>
      <c r="G1170" t="str">
        <f>IF(IFERROR(VLOOKUP(B1170,'Devam Eden Sprint'!B:B,1,0),"-")=B1170,"Devam Eden Sprint","-")</f>
        <v>-</v>
      </c>
      <c r="H1170" t="str">
        <f>IF(IFERROR(VLOOKUP(B1170,'Gelecek Sprint'!B:B,1,0),"-")=B1170,"Gelecek Sprint","-")</f>
        <v>-</v>
      </c>
      <c r="I1170" t="str">
        <f t="shared" si="34"/>
        <v>Ürün İş Listesi</v>
      </c>
      <c r="J1170">
        <v>3</v>
      </c>
    </row>
    <row r="1171" spans="1:10" x14ac:dyDescent="0.25">
      <c r="A1171" t="s">
        <v>14</v>
      </c>
      <c r="B1171" t="s">
        <v>2569</v>
      </c>
      <c r="C1171" t="s">
        <v>27</v>
      </c>
      <c r="D1171" t="s">
        <v>2570</v>
      </c>
      <c r="E1171" s="5" t="s">
        <v>12</v>
      </c>
      <c r="F1171" s="5" t="str">
        <f>VLOOKUP(B1171,'Türkkep Jira'!B:F,5,0)</f>
        <v>TO TEST</v>
      </c>
      <c r="G1171" t="str">
        <f>IF(IFERROR(VLOOKUP(B1171,'Devam Eden Sprint'!B:B,1,0),"-")=B1171,"Devam Eden Sprint","-")</f>
        <v>Devam Eden Sprint</v>
      </c>
      <c r="H1171" t="str">
        <f>IF(IFERROR(VLOOKUP(B1171,'Gelecek Sprint'!B:B,1,0),"-")=B1171,"Gelecek Sprint","-")</f>
        <v>Gelecek Sprint</v>
      </c>
      <c r="I1171" t="str">
        <f t="shared" si="34"/>
        <v>Devam Eden ve Gelecek Sprint</v>
      </c>
      <c r="J1171">
        <v>5</v>
      </c>
    </row>
    <row r="1172" spans="1:10" x14ac:dyDescent="0.25">
      <c r="A1172" t="s">
        <v>77</v>
      </c>
      <c r="B1172" t="s">
        <v>2581</v>
      </c>
      <c r="C1172" t="s">
        <v>16</v>
      </c>
      <c r="D1172" t="s">
        <v>2582</v>
      </c>
      <c r="E1172" s="5" t="s">
        <v>53</v>
      </c>
      <c r="F1172" s="5" t="e">
        <f>VLOOKUP(B1172,'Türkkep Jira'!B:F,5,0)</f>
        <v>#N/A</v>
      </c>
      <c r="G1172" t="str">
        <f>IF(IFERROR(VLOOKUP(B1172,'Devam Eden Sprint'!B:B,1,0),"-")=B1172,"Devam Eden Sprint","-")</f>
        <v>-</v>
      </c>
      <c r="H1172" t="str">
        <f>IF(IFERROR(VLOOKUP(B1172,'Gelecek Sprint'!B:B,1,0),"-")=B1172,"Gelecek Sprint","-")</f>
        <v>-</v>
      </c>
      <c r="I1172" t="str">
        <f t="shared" si="34"/>
        <v>Ürün İş Listesi</v>
      </c>
      <c r="J1172"/>
    </row>
    <row r="1173" spans="1:10" x14ac:dyDescent="0.25">
      <c r="A1173" t="s">
        <v>14</v>
      </c>
      <c r="B1173" t="s">
        <v>2583</v>
      </c>
      <c r="C1173" t="s">
        <v>10</v>
      </c>
      <c r="D1173" t="s">
        <v>2584</v>
      </c>
      <c r="E1173" s="5" t="s">
        <v>38</v>
      </c>
      <c r="F1173" s="5" t="e">
        <f>VLOOKUP(B1173,'Türkkep Jira'!B:F,5,0)</f>
        <v>#N/A</v>
      </c>
      <c r="G1173" t="str">
        <f>IF(IFERROR(VLOOKUP(B1173,'Devam Eden Sprint'!B:B,1,0),"-")=B1173,"Devam Eden Sprint","-")</f>
        <v>-</v>
      </c>
      <c r="H1173" t="str">
        <f>IF(IFERROR(VLOOKUP(B1173,'Gelecek Sprint'!B:B,1,0),"-")=B1173,"Gelecek Sprint","-")</f>
        <v>-</v>
      </c>
      <c r="I1173" t="str">
        <f t="shared" si="34"/>
        <v>Ürün İş Listesi</v>
      </c>
      <c r="J1173">
        <v>5</v>
      </c>
    </row>
    <row r="1174" spans="1:10" x14ac:dyDescent="0.25">
      <c r="A1174" t="s">
        <v>14</v>
      </c>
      <c r="B1174" t="s">
        <v>2585</v>
      </c>
      <c r="C1174" t="s">
        <v>94</v>
      </c>
      <c r="D1174" t="s">
        <v>2586</v>
      </c>
      <c r="E1174" s="5" t="s">
        <v>38</v>
      </c>
      <c r="F1174" s="5" t="str">
        <f>VLOOKUP(B1174,'Türkkep Jira'!B:F,5,0)</f>
        <v>Publish</v>
      </c>
      <c r="G1174" t="str">
        <f>IF(IFERROR(VLOOKUP(B1174,'Devam Eden Sprint'!B:B,1,0),"-")=B1174,"Devam Eden Sprint","-")</f>
        <v>-</v>
      </c>
      <c r="H1174" t="str">
        <f>IF(IFERROR(VLOOKUP(B1174,'Gelecek Sprint'!B:B,1,0),"-")=B1174,"Gelecek Sprint","-")</f>
        <v>-</v>
      </c>
      <c r="I1174" t="str">
        <f t="shared" si="34"/>
        <v>Ürün İş Listesi</v>
      </c>
      <c r="J1174">
        <v>2</v>
      </c>
    </row>
    <row r="1175" spans="1:10" x14ac:dyDescent="0.25">
      <c r="A1175" t="s">
        <v>14</v>
      </c>
      <c r="B1175" t="s">
        <v>2587</v>
      </c>
      <c r="C1175" t="s">
        <v>26</v>
      </c>
      <c r="D1175" t="s">
        <v>2588</v>
      </c>
      <c r="E1175" s="5" t="s">
        <v>38</v>
      </c>
      <c r="F1175" s="5" t="str">
        <f>VLOOKUP(B1175,'Türkkep Jira'!B:F,5,0)</f>
        <v>Development</v>
      </c>
      <c r="G1175" t="str">
        <f>IF(IFERROR(VLOOKUP(B1175,'Devam Eden Sprint'!B:B,1,0),"-")=B1175,"Devam Eden Sprint","-")</f>
        <v>-</v>
      </c>
      <c r="H1175" t="str">
        <f>IF(IFERROR(VLOOKUP(B1175,'Gelecek Sprint'!B:B,1,0),"-")=B1175,"Gelecek Sprint","-")</f>
        <v>-</v>
      </c>
      <c r="I1175" t="str">
        <f t="shared" si="34"/>
        <v>Ürün İş Listesi</v>
      </c>
      <c r="J1175">
        <v>13</v>
      </c>
    </row>
    <row r="1176" spans="1:10" x14ac:dyDescent="0.25">
      <c r="A1176" t="s">
        <v>77</v>
      </c>
      <c r="B1176" t="s">
        <v>2589</v>
      </c>
      <c r="C1176" t="s">
        <v>16</v>
      </c>
      <c r="D1176" t="s">
        <v>2590</v>
      </c>
      <c r="E1176" s="5" t="s">
        <v>38</v>
      </c>
      <c r="F1176" s="5" t="e">
        <f>VLOOKUP(B1176,'Türkkep Jira'!B:F,5,0)</f>
        <v>#N/A</v>
      </c>
      <c r="G1176" t="str">
        <f>IF(IFERROR(VLOOKUP(B1176,'Devam Eden Sprint'!B:B,1,0),"-")=B1176,"Devam Eden Sprint","-")</f>
        <v>-</v>
      </c>
      <c r="H1176" t="str">
        <f>IF(IFERROR(VLOOKUP(B1176,'Gelecek Sprint'!B:B,1,0),"-")=B1176,"Gelecek Sprint","-")</f>
        <v>-</v>
      </c>
      <c r="I1176" t="str">
        <f t="shared" si="34"/>
        <v>Ürün İş Listesi</v>
      </c>
      <c r="J1176">
        <v>3</v>
      </c>
    </row>
    <row r="1177" spans="1:10" x14ac:dyDescent="0.25">
      <c r="A1177" t="s">
        <v>77</v>
      </c>
      <c r="B1177" t="s">
        <v>2591</v>
      </c>
      <c r="C1177" t="s">
        <v>16</v>
      </c>
      <c r="D1177" t="s">
        <v>2592</v>
      </c>
      <c r="E1177" s="5" t="s">
        <v>41</v>
      </c>
      <c r="F1177" s="5" t="e">
        <f>VLOOKUP(B1177,'Türkkep Jira'!B:F,5,0)</f>
        <v>#N/A</v>
      </c>
      <c r="G1177" t="str">
        <f>IF(IFERROR(VLOOKUP(B1177,'Devam Eden Sprint'!B:B,1,0),"-")=B1177,"Devam Eden Sprint","-")</f>
        <v>-</v>
      </c>
      <c r="H1177" t="str">
        <f>IF(IFERROR(VLOOKUP(B1177,'Gelecek Sprint'!B:B,1,0),"-")=B1177,"Gelecek Sprint","-")</f>
        <v>-</v>
      </c>
      <c r="I1177" t="str">
        <f t="shared" si="34"/>
        <v>Ürün İş Listesi</v>
      </c>
      <c r="J1177">
        <v>1</v>
      </c>
    </row>
    <row r="1178" spans="1:10" x14ac:dyDescent="0.25">
      <c r="A1178" t="s">
        <v>14</v>
      </c>
      <c r="B1178" t="s">
        <v>2593</v>
      </c>
      <c r="C1178" t="s">
        <v>10</v>
      </c>
      <c r="D1178" t="s">
        <v>2594</v>
      </c>
      <c r="E1178" s="5" t="s">
        <v>41</v>
      </c>
      <c r="F1178" s="5" t="e">
        <f>VLOOKUP(B1178,'Türkkep Jira'!B:F,5,0)</f>
        <v>#N/A</v>
      </c>
      <c r="G1178" t="str">
        <f>IF(IFERROR(VLOOKUP(B1178,'Devam Eden Sprint'!B:B,1,0),"-")=B1178,"Devam Eden Sprint","-")</f>
        <v>-</v>
      </c>
      <c r="H1178" t="str">
        <f>IF(IFERROR(VLOOKUP(B1178,'Gelecek Sprint'!B:B,1,0),"-")=B1178,"Gelecek Sprint","-")</f>
        <v>-</v>
      </c>
      <c r="I1178" t="str">
        <f t="shared" si="34"/>
        <v>Ürün İş Listesi</v>
      </c>
      <c r="J1178">
        <v>1</v>
      </c>
    </row>
    <row r="1179" spans="1:10" x14ac:dyDescent="0.25">
      <c r="A1179" t="s">
        <v>14</v>
      </c>
      <c r="B1179" t="s">
        <v>2595</v>
      </c>
      <c r="C1179" t="s">
        <v>16</v>
      </c>
      <c r="D1179" t="s">
        <v>2596</v>
      </c>
      <c r="E1179" s="5" t="s">
        <v>41</v>
      </c>
      <c r="F1179" s="5" t="e">
        <f>VLOOKUP(B1179,'Türkkep Jira'!B:F,5,0)</f>
        <v>#N/A</v>
      </c>
      <c r="G1179" t="str">
        <f>IF(IFERROR(VLOOKUP(B1179,'Devam Eden Sprint'!B:B,1,0),"-")=B1179,"Devam Eden Sprint","-")</f>
        <v>-</v>
      </c>
      <c r="H1179" t="str">
        <f>IF(IFERROR(VLOOKUP(B1179,'Gelecek Sprint'!B:B,1,0),"-")=B1179,"Gelecek Sprint","-")</f>
        <v>-</v>
      </c>
      <c r="I1179" t="str">
        <f t="shared" si="34"/>
        <v>Ürün İş Listesi</v>
      </c>
      <c r="J1179">
        <v>2</v>
      </c>
    </row>
    <row r="1180" spans="1:10" x14ac:dyDescent="0.25">
      <c r="A1180" t="s">
        <v>14</v>
      </c>
      <c r="B1180" t="s">
        <v>2597</v>
      </c>
      <c r="C1180" t="s">
        <v>16</v>
      </c>
      <c r="D1180" t="s">
        <v>2598</v>
      </c>
      <c r="E1180" s="5" t="s">
        <v>41</v>
      </c>
      <c r="F1180" s="5" t="e">
        <f>VLOOKUP(B1180,'Türkkep Jira'!B:F,5,0)</f>
        <v>#N/A</v>
      </c>
      <c r="G1180" t="str">
        <f>IF(IFERROR(VLOOKUP(B1180,'Devam Eden Sprint'!B:B,1,0),"-")=B1180,"Devam Eden Sprint","-")</f>
        <v>-</v>
      </c>
      <c r="H1180" t="str">
        <f>IF(IFERROR(VLOOKUP(B1180,'Gelecek Sprint'!B:B,1,0),"-")=B1180,"Gelecek Sprint","-")</f>
        <v>-</v>
      </c>
      <c r="I1180" t="str">
        <f t="shared" si="34"/>
        <v>Ürün İş Listesi</v>
      </c>
      <c r="J1180">
        <v>3</v>
      </c>
    </row>
    <row r="1181" spans="1:10" x14ac:dyDescent="0.25">
      <c r="A1181" t="s">
        <v>14</v>
      </c>
      <c r="B1181" t="s">
        <v>2599</v>
      </c>
      <c r="C1181" t="s">
        <v>16</v>
      </c>
      <c r="D1181" t="s">
        <v>2600</v>
      </c>
      <c r="E1181" s="5" t="s">
        <v>41</v>
      </c>
      <c r="F1181" s="5" t="e">
        <f>VLOOKUP(B1181,'Türkkep Jira'!B:F,5,0)</f>
        <v>#N/A</v>
      </c>
      <c r="G1181" t="str">
        <f>IF(IFERROR(VLOOKUP(B1181,'Devam Eden Sprint'!B:B,1,0),"-")=B1181,"Devam Eden Sprint","-")</f>
        <v>-</v>
      </c>
      <c r="H1181" t="str">
        <f>IF(IFERROR(VLOOKUP(B1181,'Gelecek Sprint'!B:B,1,0),"-")=B1181,"Gelecek Sprint","-")</f>
        <v>-</v>
      </c>
      <c r="I1181" t="str">
        <f t="shared" si="34"/>
        <v>Ürün İş Listesi</v>
      </c>
      <c r="J1181">
        <v>1</v>
      </c>
    </row>
    <row r="1182" spans="1:10" x14ac:dyDescent="0.25">
      <c r="A1182" t="s">
        <v>14</v>
      </c>
      <c r="B1182" t="s">
        <v>2601</v>
      </c>
      <c r="C1182" t="s">
        <v>16</v>
      </c>
      <c r="D1182" t="s">
        <v>1826</v>
      </c>
      <c r="E1182" s="5" t="s">
        <v>41</v>
      </c>
      <c r="F1182" s="5" t="e">
        <f>VLOOKUP(B1182,'Türkkep Jira'!B:F,5,0)</f>
        <v>#N/A</v>
      </c>
      <c r="G1182" t="str">
        <f>IF(IFERROR(VLOOKUP(B1182,'Devam Eden Sprint'!B:B,1,0),"-")=B1182,"Devam Eden Sprint","-")</f>
        <v>-</v>
      </c>
      <c r="H1182" t="str">
        <f>IF(IFERROR(VLOOKUP(B1182,'Gelecek Sprint'!B:B,1,0),"-")=B1182,"Gelecek Sprint","-")</f>
        <v>-</v>
      </c>
      <c r="I1182" t="str">
        <f t="shared" si="34"/>
        <v>Ürün İş Listesi</v>
      </c>
      <c r="J1182">
        <v>2</v>
      </c>
    </row>
    <row r="1183" spans="1:10" x14ac:dyDescent="0.25">
      <c r="A1183" t="s">
        <v>14</v>
      </c>
      <c r="B1183" t="s">
        <v>2602</v>
      </c>
      <c r="C1183" t="s">
        <v>16</v>
      </c>
      <c r="D1183" t="s">
        <v>2603</v>
      </c>
      <c r="E1183" s="5" t="s">
        <v>41</v>
      </c>
      <c r="F1183" s="5" t="e">
        <f>VLOOKUP(B1183,'Türkkep Jira'!B:F,5,0)</f>
        <v>#N/A</v>
      </c>
      <c r="G1183" t="str">
        <f>IF(IFERROR(VLOOKUP(B1183,'Devam Eden Sprint'!B:B,1,0),"-")=B1183,"Devam Eden Sprint","-")</f>
        <v>-</v>
      </c>
      <c r="H1183" t="str">
        <f>IF(IFERROR(VLOOKUP(B1183,'Gelecek Sprint'!B:B,1,0),"-")=B1183,"Gelecek Sprint","-")</f>
        <v>-</v>
      </c>
      <c r="I1183" t="str">
        <f t="shared" si="34"/>
        <v>Ürün İş Listesi</v>
      </c>
      <c r="J1183">
        <v>2</v>
      </c>
    </row>
    <row r="1184" spans="1:10" x14ac:dyDescent="0.25">
      <c r="A1184" t="s">
        <v>14</v>
      </c>
      <c r="B1184" t="s">
        <v>2571</v>
      </c>
      <c r="C1184" t="s">
        <v>27</v>
      </c>
      <c r="D1184" t="s">
        <v>2572</v>
      </c>
      <c r="E1184" s="5" t="s">
        <v>12</v>
      </c>
      <c r="F1184" s="5" t="str">
        <f>VLOOKUP(B1184,'Türkkep Jira'!B:F,5,0)</f>
        <v>TO TEST</v>
      </c>
      <c r="G1184" t="str">
        <f>IF(IFERROR(VLOOKUP(B1184,'Devam Eden Sprint'!B:B,1,0),"-")=B1184,"Devam Eden Sprint","-")</f>
        <v>Devam Eden Sprint</v>
      </c>
      <c r="H1184" t="str">
        <f>IF(IFERROR(VLOOKUP(B1184,'Gelecek Sprint'!B:B,1,0),"-")=B1184,"Gelecek Sprint","-")</f>
        <v>Gelecek Sprint</v>
      </c>
      <c r="I1184" t="str">
        <f t="shared" si="34"/>
        <v>Devam Eden ve Gelecek Sprint</v>
      </c>
      <c r="J1184">
        <v>5</v>
      </c>
    </row>
    <row r="1185" spans="1:10" x14ac:dyDescent="0.25">
      <c r="A1185" t="s">
        <v>14</v>
      </c>
      <c r="B1185" t="s">
        <v>2573</v>
      </c>
      <c r="C1185" t="s">
        <v>10</v>
      </c>
      <c r="D1185" t="s">
        <v>2574</v>
      </c>
      <c r="E1185" s="5" t="s">
        <v>12</v>
      </c>
      <c r="F1185" s="5" t="e">
        <f>VLOOKUP(B1185,'Türkkep Jira'!B:F,5,0)</f>
        <v>#N/A</v>
      </c>
      <c r="G1185" t="str">
        <f>IF(IFERROR(VLOOKUP(B1185,'Devam Eden Sprint'!B:B,1,0),"-")=B1185,"Devam Eden Sprint","-")</f>
        <v>-</v>
      </c>
      <c r="H1185" t="str">
        <f>IF(IFERROR(VLOOKUP(B1185,'Gelecek Sprint'!B:B,1,0),"-")=B1185,"Gelecek Sprint","-")</f>
        <v>-</v>
      </c>
      <c r="I1185" t="str">
        <f t="shared" si="34"/>
        <v>Ürün İş Listesi</v>
      </c>
      <c r="J1185">
        <v>3</v>
      </c>
    </row>
    <row r="1186" spans="1:10" x14ac:dyDescent="0.25">
      <c r="A1186" t="s">
        <v>14</v>
      </c>
      <c r="B1186" t="s">
        <v>2575</v>
      </c>
      <c r="C1186" t="s">
        <v>10</v>
      </c>
      <c r="D1186" t="s">
        <v>2576</v>
      </c>
      <c r="E1186" s="5" t="s">
        <v>12</v>
      </c>
      <c r="F1186" s="5" t="e">
        <f>VLOOKUP(B1186,'Türkkep Jira'!B:F,5,0)</f>
        <v>#N/A</v>
      </c>
      <c r="G1186" t="str">
        <f>IF(IFERROR(VLOOKUP(B1186,'Devam Eden Sprint'!B:B,1,0),"-")=B1186,"Devam Eden Sprint","-")</f>
        <v>-</v>
      </c>
      <c r="H1186" t="str">
        <f>IF(IFERROR(VLOOKUP(B1186,'Gelecek Sprint'!B:B,1,0),"-")=B1186,"Gelecek Sprint","-")</f>
        <v>-</v>
      </c>
      <c r="I1186" t="str">
        <f t="shared" si="34"/>
        <v>Ürün İş Listesi</v>
      </c>
      <c r="J1186">
        <v>5</v>
      </c>
    </row>
    <row r="1187" spans="1:10" x14ac:dyDescent="0.25">
      <c r="A1187" t="s">
        <v>14</v>
      </c>
      <c r="B1187" t="s">
        <v>2577</v>
      </c>
      <c r="C1187" t="s">
        <v>16</v>
      </c>
      <c r="D1187" t="s">
        <v>2578</v>
      </c>
      <c r="E1187" s="5" t="s">
        <v>12</v>
      </c>
      <c r="F1187" s="5" t="str">
        <f>VLOOKUP(B1187,'Türkkep Jira'!B:F,5,0)</f>
        <v>Done</v>
      </c>
      <c r="G1187" t="str">
        <f>IF(IFERROR(VLOOKUP(B1187,'Devam Eden Sprint'!B:B,1,0),"-")=B1187,"Devam Eden Sprint","-")</f>
        <v>Devam Eden Sprint</v>
      </c>
      <c r="H1187" t="str">
        <f>IF(IFERROR(VLOOKUP(B1187,'Gelecek Sprint'!B:B,1,0),"-")=B1187,"Gelecek Sprint","-")</f>
        <v>-</v>
      </c>
      <c r="I1187" t="str">
        <f t="shared" si="34"/>
        <v>Devam Eden Sprint</v>
      </c>
      <c r="J1187">
        <v>3</v>
      </c>
    </row>
    <row r="1188" spans="1:10" x14ac:dyDescent="0.25">
      <c r="A1188" t="s">
        <v>14</v>
      </c>
      <c r="B1188" t="s">
        <v>2579</v>
      </c>
      <c r="C1188" t="s">
        <v>16</v>
      </c>
      <c r="D1188" t="s">
        <v>2580</v>
      </c>
      <c r="E1188" s="5" t="s">
        <v>12</v>
      </c>
      <c r="F1188" s="5" t="str">
        <f>VLOOKUP(B1188,'Türkkep Jira'!B:F,5,0)</f>
        <v>Done</v>
      </c>
      <c r="G1188" t="str">
        <f>IF(IFERROR(VLOOKUP(B1188,'Devam Eden Sprint'!B:B,1,0),"-")=B1188,"Devam Eden Sprint","-")</f>
        <v>-</v>
      </c>
      <c r="H1188" t="str">
        <f>IF(IFERROR(VLOOKUP(B1188,'Gelecek Sprint'!B:B,1,0),"-")=B1188,"Gelecek Sprint","-")</f>
        <v>-</v>
      </c>
      <c r="I1188" t="str">
        <f t="shared" si="34"/>
        <v>Ürün İş Listesi</v>
      </c>
      <c r="J1188">
        <v>2</v>
      </c>
    </row>
    <row r="1189" spans="1:10" x14ac:dyDescent="0.25">
      <c r="A1189" t="s">
        <v>14</v>
      </c>
      <c r="B1189" t="s">
        <v>2617</v>
      </c>
      <c r="C1189" t="s">
        <v>16</v>
      </c>
      <c r="D1189" t="s">
        <v>2616</v>
      </c>
      <c r="E1189" s="5" t="s">
        <v>56</v>
      </c>
      <c r="F1189" s="5" t="e">
        <f>VLOOKUP(B1189,'Türkkep Jira'!B:F,5,0)</f>
        <v>#N/A</v>
      </c>
      <c r="G1189" t="str">
        <f>IF(IFERROR(VLOOKUP(B1189,'Devam Eden Sprint'!B:B,1,0),"-")=B1189,"Devam Eden Sprint","-")</f>
        <v>-</v>
      </c>
      <c r="H1189" t="str">
        <f>IF(IFERROR(VLOOKUP(B1189,'Gelecek Sprint'!B:B,1,0),"-")=B1189,"Gelecek Sprint","-")</f>
        <v>-</v>
      </c>
      <c r="I1189" t="str">
        <f t="shared" ref="I1189:I1205" si="35">IFERROR(IF(AND(G1189="Devam Eden Sprint",H1189="Gelecek Sprint"),"Devam Eden ve Gelecek Sprint",IF(G1189="Devam Eden Sprint","Devam Eden Sprint",IF(H1189="Gelecek Sprint","Gelecek Sprint","Ürün İş Listesi"))),"Ürün İş Listesi")</f>
        <v>Ürün İş Listesi</v>
      </c>
      <c r="J1189">
        <v>3</v>
      </c>
    </row>
    <row r="1190" spans="1:10" x14ac:dyDescent="0.25">
      <c r="A1190" t="s">
        <v>14</v>
      </c>
      <c r="B1190" t="s">
        <v>2615</v>
      </c>
      <c r="C1190" t="s">
        <v>16</v>
      </c>
      <c r="D1190" t="s">
        <v>2614</v>
      </c>
      <c r="E1190" s="5" t="s">
        <v>56</v>
      </c>
      <c r="F1190" s="5" t="e">
        <f>VLOOKUP(B1190,'Türkkep Jira'!B:F,5,0)</f>
        <v>#N/A</v>
      </c>
      <c r="G1190" t="str">
        <f>IF(IFERROR(VLOOKUP(B1190,'Devam Eden Sprint'!B:B,1,0),"-")=B1190,"Devam Eden Sprint","-")</f>
        <v>-</v>
      </c>
      <c r="H1190" t="str">
        <f>IF(IFERROR(VLOOKUP(B1190,'Gelecek Sprint'!B:B,1,0),"-")=B1190,"Gelecek Sprint","-")</f>
        <v>-</v>
      </c>
      <c r="I1190" t="str">
        <f t="shared" si="35"/>
        <v>Ürün İş Listesi</v>
      </c>
      <c r="J1190">
        <v>2</v>
      </c>
    </row>
    <row r="1191" spans="1:10" x14ac:dyDescent="0.25">
      <c r="A1191" t="s">
        <v>14</v>
      </c>
      <c r="B1191" t="s">
        <v>2613</v>
      </c>
      <c r="C1191" t="s">
        <v>16</v>
      </c>
      <c r="D1191" t="s">
        <v>2612</v>
      </c>
      <c r="E1191" s="5" t="s">
        <v>56</v>
      </c>
      <c r="F1191" s="5" t="e">
        <f>VLOOKUP(B1191,'Türkkep Jira'!B:F,5,0)</f>
        <v>#N/A</v>
      </c>
      <c r="G1191" t="str">
        <f>IF(IFERROR(VLOOKUP(B1191,'Devam Eden Sprint'!B:B,1,0),"-")=B1191,"Devam Eden Sprint","-")</f>
        <v>-</v>
      </c>
      <c r="H1191" t="str">
        <f>IF(IFERROR(VLOOKUP(B1191,'Gelecek Sprint'!B:B,1,0),"-")=B1191,"Gelecek Sprint","-")</f>
        <v>-</v>
      </c>
      <c r="I1191" t="str">
        <f t="shared" si="35"/>
        <v>Ürün İş Listesi</v>
      </c>
      <c r="J1191">
        <v>2</v>
      </c>
    </row>
    <row r="1192" spans="1:10" x14ac:dyDescent="0.25">
      <c r="A1192" t="s">
        <v>14</v>
      </c>
      <c r="B1192" t="s">
        <v>2611</v>
      </c>
      <c r="C1192" t="s">
        <v>16</v>
      </c>
      <c r="D1192" t="s">
        <v>2610</v>
      </c>
      <c r="E1192" s="5" t="s">
        <v>56</v>
      </c>
      <c r="F1192" s="5" t="e">
        <f>VLOOKUP(B1192,'Türkkep Jira'!B:F,5,0)</f>
        <v>#N/A</v>
      </c>
      <c r="G1192" t="str">
        <f>IF(IFERROR(VLOOKUP(B1192,'Devam Eden Sprint'!B:B,1,0),"-")=B1192,"Devam Eden Sprint","-")</f>
        <v>-</v>
      </c>
      <c r="H1192" t="str">
        <f>IF(IFERROR(VLOOKUP(B1192,'Gelecek Sprint'!B:B,1,0),"-")=B1192,"Gelecek Sprint","-")</f>
        <v>-</v>
      </c>
      <c r="I1192" t="str">
        <f t="shared" si="35"/>
        <v>Ürün İş Listesi</v>
      </c>
      <c r="J1192">
        <v>3</v>
      </c>
    </row>
    <row r="1193" spans="1:10" x14ac:dyDescent="0.25">
      <c r="A1193" t="s">
        <v>14</v>
      </c>
      <c r="B1193" t="s">
        <v>2609</v>
      </c>
      <c r="C1193" t="s">
        <v>16</v>
      </c>
      <c r="D1193" t="s">
        <v>2608</v>
      </c>
      <c r="E1193" s="5" t="s">
        <v>56</v>
      </c>
      <c r="F1193" s="5" t="e">
        <f>VLOOKUP(B1193,'Türkkep Jira'!B:F,5,0)</f>
        <v>#N/A</v>
      </c>
      <c r="G1193" t="str">
        <f>IF(IFERROR(VLOOKUP(B1193,'Devam Eden Sprint'!B:B,1,0),"-")=B1193,"Devam Eden Sprint","-")</f>
        <v>-</v>
      </c>
      <c r="H1193" t="str">
        <f>IF(IFERROR(VLOOKUP(B1193,'Gelecek Sprint'!B:B,1,0),"-")=B1193,"Gelecek Sprint","-")</f>
        <v>-</v>
      </c>
      <c r="I1193" t="str">
        <f t="shared" si="35"/>
        <v>Ürün İş Listesi</v>
      </c>
      <c r="J1193">
        <v>3</v>
      </c>
    </row>
    <row r="1194" spans="1:10" x14ac:dyDescent="0.25">
      <c r="A1194" t="s">
        <v>77</v>
      </c>
      <c r="B1194" t="s">
        <v>2637</v>
      </c>
      <c r="C1194" t="s">
        <v>16</v>
      </c>
      <c r="D1194" t="s">
        <v>2636</v>
      </c>
      <c r="E1194" s="5" t="s">
        <v>44</v>
      </c>
      <c r="F1194" s="5" t="e">
        <f>VLOOKUP(B1194,'Türkkep Jira'!B:F,5,0)</f>
        <v>#N/A</v>
      </c>
      <c r="G1194" t="str">
        <f>IF(IFERROR(VLOOKUP(B1194,'Devam Eden Sprint'!B:B,1,0),"-")=B1194,"Devam Eden Sprint","-")</f>
        <v>-</v>
      </c>
      <c r="H1194" t="str">
        <f>IF(IFERROR(VLOOKUP(B1194,'Gelecek Sprint'!B:B,1,0),"-")=B1194,"Gelecek Sprint","-")</f>
        <v>-</v>
      </c>
      <c r="I1194" t="str">
        <f t="shared" si="35"/>
        <v>Ürün İş Listesi</v>
      </c>
      <c r="J1194"/>
    </row>
    <row r="1195" spans="1:10" x14ac:dyDescent="0.25">
      <c r="A1195" t="s">
        <v>77</v>
      </c>
      <c r="B1195" t="s">
        <v>2639</v>
      </c>
      <c r="C1195" t="s">
        <v>16</v>
      </c>
      <c r="D1195" t="s">
        <v>2638</v>
      </c>
      <c r="E1195" s="5" t="s">
        <v>44</v>
      </c>
      <c r="F1195" s="5" t="e">
        <f>VLOOKUP(B1195,'Türkkep Jira'!B:F,5,0)</f>
        <v>#N/A</v>
      </c>
      <c r="G1195" t="str">
        <f>IF(IFERROR(VLOOKUP(B1195,'Devam Eden Sprint'!B:B,1,0),"-")=B1195,"Devam Eden Sprint","-")</f>
        <v>-</v>
      </c>
      <c r="H1195" t="str">
        <f>IF(IFERROR(VLOOKUP(B1195,'Gelecek Sprint'!B:B,1,0),"-")=B1195,"Gelecek Sprint","-")</f>
        <v>-</v>
      </c>
      <c r="I1195" t="str">
        <f t="shared" si="35"/>
        <v>Ürün İş Listesi</v>
      </c>
      <c r="J1195">
        <v>5</v>
      </c>
    </row>
    <row r="1196" spans="1:10" x14ac:dyDescent="0.25">
      <c r="A1196" t="s">
        <v>77</v>
      </c>
      <c r="B1196" t="s">
        <v>2633</v>
      </c>
      <c r="C1196" t="s">
        <v>16</v>
      </c>
      <c r="D1196" t="s">
        <v>2632</v>
      </c>
      <c r="E1196" s="5" t="s">
        <v>44</v>
      </c>
      <c r="F1196" s="5" t="e">
        <f>VLOOKUP(B1196,'Türkkep Jira'!B:F,5,0)</f>
        <v>#N/A</v>
      </c>
      <c r="G1196" t="str">
        <f>IF(IFERROR(VLOOKUP(B1196,'Devam Eden Sprint'!B:B,1,0),"-")=B1196,"Devam Eden Sprint","-")</f>
        <v>-</v>
      </c>
      <c r="H1196" t="str">
        <f>IF(IFERROR(VLOOKUP(B1196,'Gelecek Sprint'!B:B,1,0),"-")=B1196,"Gelecek Sprint","-")</f>
        <v>-</v>
      </c>
      <c r="I1196" t="str">
        <f t="shared" si="35"/>
        <v>Ürün İş Listesi</v>
      </c>
      <c r="J1196">
        <v>3</v>
      </c>
    </row>
    <row r="1197" spans="1:10" x14ac:dyDescent="0.25">
      <c r="A1197" t="s">
        <v>77</v>
      </c>
      <c r="B1197" t="s">
        <v>2635</v>
      </c>
      <c r="C1197" t="s">
        <v>16</v>
      </c>
      <c r="D1197" t="s">
        <v>2634</v>
      </c>
      <c r="E1197" s="5" t="s">
        <v>44</v>
      </c>
      <c r="F1197" s="5" t="e">
        <f>VLOOKUP(B1197,'Türkkep Jira'!B:F,5,0)</f>
        <v>#N/A</v>
      </c>
      <c r="G1197" t="str">
        <f>IF(IFERROR(VLOOKUP(B1197,'Devam Eden Sprint'!B:B,1,0),"-")=B1197,"Devam Eden Sprint","-")</f>
        <v>-</v>
      </c>
      <c r="H1197" t="str">
        <f>IF(IFERROR(VLOOKUP(B1197,'Gelecek Sprint'!B:B,1,0),"-")=B1197,"Gelecek Sprint","-")</f>
        <v>-</v>
      </c>
      <c r="I1197" t="str">
        <f t="shared" si="35"/>
        <v>Ürün İş Listesi</v>
      </c>
      <c r="J1197">
        <v>3</v>
      </c>
    </row>
    <row r="1198" spans="1:10" x14ac:dyDescent="0.25">
      <c r="A1198" t="s">
        <v>77</v>
      </c>
      <c r="B1198" t="s">
        <v>2631</v>
      </c>
      <c r="C1198" t="s">
        <v>10</v>
      </c>
      <c r="D1198" t="s">
        <v>2657</v>
      </c>
      <c r="E1198" s="5" t="s">
        <v>44</v>
      </c>
      <c r="F1198" s="5" t="e">
        <f>VLOOKUP(B1198,'Türkkep Jira'!B:F,5,0)</f>
        <v>#N/A</v>
      </c>
      <c r="G1198" t="str">
        <f>IF(IFERROR(VLOOKUP(B1198,'Devam Eden Sprint'!B:B,1,0),"-")=B1198,"Devam Eden Sprint","-")</f>
        <v>-</v>
      </c>
      <c r="H1198" t="str">
        <f>IF(IFERROR(VLOOKUP(B1198,'Gelecek Sprint'!B:B,1,0),"-")=B1198,"Gelecek Sprint","-")</f>
        <v>-</v>
      </c>
      <c r="I1198" t="str">
        <f t="shared" si="35"/>
        <v>Ürün İş Listesi</v>
      </c>
      <c r="J1198">
        <v>3</v>
      </c>
    </row>
    <row r="1199" spans="1:10" x14ac:dyDescent="0.25">
      <c r="A1199" t="s">
        <v>77</v>
      </c>
      <c r="B1199" t="s">
        <v>2626</v>
      </c>
      <c r="C1199" t="s">
        <v>10</v>
      </c>
      <c r="D1199" t="s">
        <v>2625</v>
      </c>
      <c r="E1199" s="5" t="s">
        <v>44</v>
      </c>
      <c r="F1199" s="5" t="e">
        <f>VLOOKUP(B1199,'Türkkep Jira'!B:F,5,0)</f>
        <v>#N/A</v>
      </c>
      <c r="G1199" t="str">
        <f>IF(IFERROR(VLOOKUP(B1199,'Devam Eden Sprint'!B:B,1,0),"-")=B1199,"Devam Eden Sprint","-")</f>
        <v>Devam Eden Sprint</v>
      </c>
      <c r="H1199" t="str">
        <f>IF(IFERROR(VLOOKUP(B1199,'Gelecek Sprint'!B:B,1,0),"-")=B1199,"Gelecek Sprint","-")</f>
        <v>-</v>
      </c>
      <c r="I1199" t="str">
        <f t="shared" si="35"/>
        <v>Devam Eden Sprint</v>
      </c>
      <c r="J1199">
        <v>3</v>
      </c>
    </row>
    <row r="1200" spans="1:10" x14ac:dyDescent="0.25">
      <c r="A1200" t="s">
        <v>77</v>
      </c>
      <c r="B1200" t="s">
        <v>2630</v>
      </c>
      <c r="C1200" t="s">
        <v>16</v>
      </c>
      <c r="D1200" t="s">
        <v>2629</v>
      </c>
      <c r="E1200" s="5" t="s">
        <v>44</v>
      </c>
      <c r="F1200" s="5" t="e">
        <f>VLOOKUP(B1200,'Türkkep Jira'!B:F,5,0)</f>
        <v>#N/A</v>
      </c>
      <c r="G1200" t="str">
        <f>IF(IFERROR(VLOOKUP(B1200,'Devam Eden Sprint'!B:B,1,0),"-")=B1200,"Devam Eden Sprint","-")</f>
        <v>-</v>
      </c>
      <c r="H1200" t="str">
        <f>IF(IFERROR(VLOOKUP(B1200,'Gelecek Sprint'!B:B,1,0),"-")=B1200,"Gelecek Sprint","-")</f>
        <v>-</v>
      </c>
      <c r="I1200" t="str">
        <f t="shared" si="35"/>
        <v>Ürün İş Listesi</v>
      </c>
      <c r="J1200"/>
    </row>
    <row r="1201" spans="1:10" x14ac:dyDescent="0.25">
      <c r="A1201" t="s">
        <v>77</v>
      </c>
      <c r="B1201" t="s">
        <v>2628</v>
      </c>
      <c r="C1201" t="s">
        <v>16</v>
      </c>
      <c r="D1201" t="s">
        <v>2627</v>
      </c>
      <c r="E1201" s="5" t="s">
        <v>44</v>
      </c>
      <c r="F1201" s="5" t="e">
        <f>VLOOKUP(B1201,'Türkkep Jira'!B:F,5,0)</f>
        <v>#N/A</v>
      </c>
      <c r="G1201" t="str">
        <f>IF(IFERROR(VLOOKUP(B1201,'Devam Eden Sprint'!B:B,1,0),"-")=B1201,"Devam Eden Sprint","-")</f>
        <v>-</v>
      </c>
      <c r="H1201" t="str">
        <f>IF(IFERROR(VLOOKUP(B1201,'Gelecek Sprint'!B:B,1,0),"-")=B1201,"Gelecek Sprint","-")</f>
        <v>-</v>
      </c>
      <c r="I1201" t="str">
        <f t="shared" si="35"/>
        <v>Ürün İş Listesi</v>
      </c>
      <c r="J1201">
        <v>1</v>
      </c>
    </row>
    <row r="1202" spans="1:10" x14ac:dyDescent="0.25">
      <c r="A1202" t="s">
        <v>77</v>
      </c>
      <c r="B1202" t="s">
        <v>2623</v>
      </c>
      <c r="C1202" t="s">
        <v>16</v>
      </c>
      <c r="D1202" t="s">
        <v>2622</v>
      </c>
      <c r="E1202" s="5" t="s">
        <v>44</v>
      </c>
      <c r="F1202" s="5" t="e">
        <f>VLOOKUP(B1202,'Türkkep Jira'!B:F,5,0)</f>
        <v>#N/A</v>
      </c>
      <c r="G1202" t="str">
        <f>IF(IFERROR(VLOOKUP(B1202,'Devam Eden Sprint'!B:B,1,0),"-")=B1202,"Devam Eden Sprint","-")</f>
        <v>-</v>
      </c>
      <c r="H1202" t="str">
        <f>IF(IFERROR(VLOOKUP(B1202,'Gelecek Sprint'!B:B,1,0),"-")=B1202,"Gelecek Sprint","-")</f>
        <v>-</v>
      </c>
      <c r="I1202" t="str">
        <f t="shared" si="35"/>
        <v>Ürün İş Listesi</v>
      </c>
      <c r="J1202">
        <v>1</v>
      </c>
    </row>
    <row r="1203" spans="1:10" x14ac:dyDescent="0.25">
      <c r="A1203" t="s">
        <v>14</v>
      </c>
      <c r="B1203" t="s">
        <v>2607</v>
      </c>
      <c r="C1203" t="s">
        <v>16</v>
      </c>
      <c r="D1203" t="s">
        <v>2606</v>
      </c>
      <c r="E1203" s="5" t="s">
        <v>56</v>
      </c>
      <c r="F1203" s="5" t="e">
        <f>VLOOKUP(B1203,'Türkkep Jira'!B:F,5,0)</f>
        <v>#N/A</v>
      </c>
      <c r="G1203" t="str">
        <f>IF(IFERROR(VLOOKUP(B1203,'Devam Eden Sprint'!B:B,1,0),"-")=B1203,"Devam Eden Sprint","-")</f>
        <v>-</v>
      </c>
      <c r="H1203" t="str">
        <f>IF(IFERROR(VLOOKUP(B1203,'Gelecek Sprint'!B:B,1,0),"-")=B1203,"Gelecek Sprint","-")</f>
        <v>-</v>
      </c>
      <c r="I1203" t="str">
        <f t="shared" si="35"/>
        <v>Ürün İş Listesi</v>
      </c>
      <c r="J1203">
        <v>1</v>
      </c>
    </row>
    <row r="1204" spans="1:10" x14ac:dyDescent="0.25">
      <c r="A1204" t="s">
        <v>14</v>
      </c>
      <c r="B1204" t="s">
        <v>2656</v>
      </c>
      <c r="C1204" t="s">
        <v>16</v>
      </c>
      <c r="D1204" t="s">
        <v>2658</v>
      </c>
      <c r="E1204" s="5" t="s">
        <v>44</v>
      </c>
      <c r="F1204" s="5" t="str">
        <f>VLOOKUP(B1204,'Türkkep Jira'!B:F,5,0)</f>
        <v>Done</v>
      </c>
      <c r="G1204" t="str">
        <f>IF(IFERROR(VLOOKUP(B1204,'Devam Eden Sprint'!B:B,1,0),"-")=B1204,"Devam Eden Sprint","-")</f>
        <v>Devam Eden Sprint</v>
      </c>
      <c r="H1204" t="str">
        <f>IF(IFERROR(VLOOKUP(B1204,'Gelecek Sprint'!B:B,1,0),"-")=B1204,"Gelecek Sprint","-")</f>
        <v>-</v>
      </c>
      <c r="I1204" t="str">
        <f t="shared" si="35"/>
        <v>Devam Eden Sprint</v>
      </c>
      <c r="J1204">
        <v>3</v>
      </c>
    </row>
    <row r="1205" spans="1:10" x14ac:dyDescent="0.25">
      <c r="A1205" t="s">
        <v>14</v>
      </c>
      <c r="B1205" t="s">
        <v>2656</v>
      </c>
      <c r="C1205" t="s">
        <v>16</v>
      </c>
      <c r="D1205" t="s">
        <v>2659</v>
      </c>
      <c r="E1205" s="5" t="s">
        <v>44</v>
      </c>
      <c r="F1205" s="5" t="str">
        <f>VLOOKUP(B1205,'Türkkep Jira'!B:F,5,0)</f>
        <v>Done</v>
      </c>
      <c r="G1205" t="str">
        <f>IF(IFERROR(VLOOKUP(B1205,'Devam Eden Sprint'!B:B,1,0),"-")=B1205,"Devam Eden Sprint","-")</f>
        <v>Devam Eden Sprint</v>
      </c>
      <c r="H1205" t="str">
        <f>IF(IFERROR(VLOOKUP(B1205,'Gelecek Sprint'!B:B,1,0),"-")=B1205,"Gelecek Sprint","-")</f>
        <v>-</v>
      </c>
      <c r="I1205" t="str">
        <f t="shared" si="35"/>
        <v>Devam Eden Sprint</v>
      </c>
      <c r="J1205">
        <v>5</v>
      </c>
    </row>
    <row r="1206" spans="1:10" x14ac:dyDescent="0.25">
      <c r="A1206" t="s">
        <v>14</v>
      </c>
      <c r="B1206" t="s">
        <v>2662</v>
      </c>
      <c r="C1206" t="s">
        <v>16</v>
      </c>
      <c r="D1206" t="s">
        <v>2659</v>
      </c>
      <c r="E1206" s="5" t="s">
        <v>44</v>
      </c>
      <c r="F1206" s="5" t="e">
        <f>VLOOKUP(B1206,'Türkkep Jira'!B:F,5,0)</f>
        <v>#N/A</v>
      </c>
      <c r="G1206" t="str">
        <f>IF(IFERROR(VLOOKUP(B1206,'Devam Eden Sprint'!B:B,1,0),"-")=B1206,"Devam Eden Sprint","-")</f>
        <v>-</v>
      </c>
      <c r="H1206" t="str">
        <f>IF(IFERROR(VLOOKUP(B1206,'Gelecek Sprint'!B:B,1,0),"-")=B1206,"Gelecek Sprint","-")</f>
        <v>-</v>
      </c>
      <c r="I1206" t="str">
        <f t="shared" ref="I1206:I1247" si="36">IFERROR(IF(AND(G1206="Devam Eden Sprint",H1206="Gelecek Sprint"),"Devam Eden ve Gelecek Sprint",IF(G1206="Devam Eden Sprint","Devam Eden Sprint",IF(H1206="Gelecek Sprint","Gelecek Sprint","Ürün İş Listesi"))),"Ürün İş Listesi")</f>
        <v>Ürün İş Listesi</v>
      </c>
      <c r="J1206">
        <v>5</v>
      </c>
    </row>
    <row r="1207" spans="1:10" x14ac:dyDescent="0.25">
      <c r="A1207" t="s">
        <v>14</v>
      </c>
      <c r="B1207" t="s">
        <v>2663</v>
      </c>
      <c r="C1207" t="s">
        <v>16</v>
      </c>
      <c r="D1207" t="s">
        <v>2672</v>
      </c>
      <c r="E1207" s="5" t="s">
        <v>50</v>
      </c>
      <c r="F1207" s="5" t="str">
        <f>VLOOKUP(B1207,'Türkkep Jira'!B:F,5,0)</f>
        <v>Done</v>
      </c>
      <c r="G1207" t="str">
        <f>IF(IFERROR(VLOOKUP(B1207,'Devam Eden Sprint'!B:B,1,0),"-")=B1207,"Devam Eden Sprint","-")</f>
        <v>-</v>
      </c>
      <c r="H1207" t="str">
        <f>IF(IFERROR(VLOOKUP(B1207,'Gelecek Sprint'!B:B,1,0),"-")=B1207,"Gelecek Sprint","-")</f>
        <v>-</v>
      </c>
      <c r="I1207" t="str">
        <f t="shared" si="36"/>
        <v>Ürün İş Listesi</v>
      </c>
      <c r="J1207">
        <v>3</v>
      </c>
    </row>
    <row r="1208" spans="1:10" x14ac:dyDescent="0.25">
      <c r="A1208" t="s">
        <v>77</v>
      </c>
      <c r="B1208" t="s">
        <v>2621</v>
      </c>
      <c r="C1208" t="s">
        <v>16</v>
      </c>
      <c r="D1208" t="s">
        <v>2620</v>
      </c>
      <c r="E1208" s="5" t="s">
        <v>50</v>
      </c>
      <c r="F1208" s="5" t="str">
        <f>VLOOKUP(B1208,'Türkkep Jira'!B:F,5,0)</f>
        <v>Done</v>
      </c>
      <c r="G1208" t="str">
        <f>IF(IFERROR(VLOOKUP(B1208,'Devam Eden Sprint'!B:B,1,0),"-")=B1208,"Devam Eden Sprint","-")</f>
        <v>-</v>
      </c>
      <c r="H1208" t="str">
        <f>IF(IFERROR(VLOOKUP(B1208,'Gelecek Sprint'!B:B,1,0),"-")=B1208,"Gelecek Sprint","-")</f>
        <v>-</v>
      </c>
      <c r="I1208" t="str">
        <f t="shared" si="36"/>
        <v>Ürün İş Listesi</v>
      </c>
      <c r="J1208"/>
    </row>
    <row r="1209" spans="1:10" x14ac:dyDescent="0.25">
      <c r="A1209" t="s">
        <v>77</v>
      </c>
      <c r="B1209" t="s">
        <v>2664</v>
      </c>
      <c r="C1209" t="s">
        <v>16</v>
      </c>
      <c r="D1209" t="s">
        <v>2673</v>
      </c>
      <c r="E1209" s="5" t="s">
        <v>50</v>
      </c>
      <c r="F1209" s="5" t="str">
        <f>VLOOKUP(B1209,'Türkkep Jira'!B:F,5,0)</f>
        <v>Done</v>
      </c>
      <c r="G1209" t="str">
        <f>IF(IFERROR(VLOOKUP(B1209,'Devam Eden Sprint'!B:B,1,0),"-")=B1209,"Devam Eden Sprint","-")</f>
        <v>-</v>
      </c>
      <c r="H1209" t="str">
        <f>IF(IFERROR(VLOOKUP(B1209,'Gelecek Sprint'!B:B,1,0),"-")=B1209,"Gelecek Sprint","-")</f>
        <v>-</v>
      </c>
      <c r="I1209" t="str">
        <f t="shared" si="36"/>
        <v>Ürün İş Listesi</v>
      </c>
      <c r="J1209">
        <v>1</v>
      </c>
    </row>
    <row r="1210" spans="1:10" x14ac:dyDescent="0.25">
      <c r="A1210" t="s">
        <v>14</v>
      </c>
      <c r="B1210" t="s">
        <v>2660</v>
      </c>
      <c r="C1210" t="s">
        <v>16</v>
      </c>
      <c r="D1210" t="s">
        <v>2661</v>
      </c>
      <c r="E1210" s="5" t="s">
        <v>56</v>
      </c>
      <c r="F1210" s="5" t="e">
        <f>VLOOKUP(B1210,'Türkkep Jira'!B:F,5,0)</f>
        <v>#N/A</v>
      </c>
      <c r="G1210" t="str">
        <f>IF(IFERROR(VLOOKUP(B1210,'Devam Eden Sprint'!B:B,1,0),"-")=B1210,"Devam Eden Sprint","-")</f>
        <v>-</v>
      </c>
      <c r="H1210" t="str">
        <f>IF(IFERROR(VLOOKUP(B1210,'Gelecek Sprint'!B:B,1,0),"-")=B1210,"Gelecek Sprint","-")</f>
        <v>-</v>
      </c>
      <c r="I1210" t="str">
        <f t="shared" si="36"/>
        <v>Ürün İş Listesi</v>
      </c>
      <c r="J1210">
        <v>5</v>
      </c>
    </row>
    <row r="1211" spans="1:10" x14ac:dyDescent="0.25">
      <c r="A1211" t="s">
        <v>14</v>
      </c>
      <c r="B1211" t="s">
        <v>2665</v>
      </c>
      <c r="C1211" t="s">
        <v>16</v>
      </c>
      <c r="D1211" t="s">
        <v>2674</v>
      </c>
      <c r="E1211" s="5" t="s">
        <v>56</v>
      </c>
      <c r="F1211" s="5" t="e">
        <f>VLOOKUP(B1211,'Türkkep Jira'!B:F,5,0)</f>
        <v>#N/A</v>
      </c>
      <c r="G1211" t="str">
        <f>IF(IFERROR(VLOOKUP(B1211,'Devam Eden Sprint'!B:B,1,0),"-")=B1211,"Devam Eden Sprint","-")</f>
        <v>-</v>
      </c>
      <c r="H1211" t="str">
        <f>IF(IFERROR(VLOOKUP(B1211,'Gelecek Sprint'!B:B,1,0),"-")=B1211,"Gelecek Sprint","-")</f>
        <v>-</v>
      </c>
      <c r="I1211" t="str">
        <f t="shared" si="36"/>
        <v>Ürün İş Listesi</v>
      </c>
      <c r="J1211">
        <v>1</v>
      </c>
    </row>
    <row r="1212" spans="1:10" x14ac:dyDescent="0.25">
      <c r="A1212" t="s">
        <v>14</v>
      </c>
      <c r="B1212" t="s">
        <v>2666</v>
      </c>
      <c r="C1212" t="s">
        <v>16</v>
      </c>
      <c r="D1212" t="s">
        <v>2675</v>
      </c>
      <c r="E1212" s="5" t="s">
        <v>56</v>
      </c>
      <c r="F1212" s="5" t="e">
        <f>VLOOKUP(B1212,'Türkkep Jira'!B:F,5,0)</f>
        <v>#N/A</v>
      </c>
      <c r="G1212" t="str">
        <f>IF(IFERROR(VLOOKUP(B1212,'Devam Eden Sprint'!B:B,1,0),"-")=B1212,"Devam Eden Sprint","-")</f>
        <v>-</v>
      </c>
      <c r="H1212" t="str">
        <f>IF(IFERROR(VLOOKUP(B1212,'Gelecek Sprint'!B:B,1,0),"-")=B1212,"Gelecek Sprint","-")</f>
        <v>-</v>
      </c>
      <c r="I1212" t="str">
        <f t="shared" si="36"/>
        <v>Ürün İş Listesi</v>
      </c>
      <c r="J1212">
        <v>1</v>
      </c>
    </row>
    <row r="1213" spans="1:10" x14ac:dyDescent="0.25">
      <c r="A1213" t="s">
        <v>77</v>
      </c>
      <c r="B1213" t="s">
        <v>2667</v>
      </c>
      <c r="C1213" t="s">
        <v>16</v>
      </c>
      <c r="D1213" t="s">
        <v>2676</v>
      </c>
      <c r="E1213" s="5" t="s">
        <v>59</v>
      </c>
      <c r="F1213" s="5" t="e">
        <f>VLOOKUP(B1213,'Türkkep Jira'!B:F,5,0)</f>
        <v>#N/A</v>
      </c>
      <c r="G1213" t="str">
        <f>IF(IFERROR(VLOOKUP(B1213,'Devam Eden Sprint'!B:B,1,0),"-")=B1213,"Devam Eden Sprint","-")</f>
        <v>-</v>
      </c>
      <c r="H1213" t="str">
        <f>IF(IFERROR(VLOOKUP(B1213,'Gelecek Sprint'!B:B,1,0),"-")=B1213,"Gelecek Sprint","-")</f>
        <v>-</v>
      </c>
      <c r="I1213" t="str">
        <f t="shared" si="36"/>
        <v>Ürün İş Listesi</v>
      </c>
      <c r="J1213">
        <v>3</v>
      </c>
    </row>
    <row r="1214" spans="1:10" x14ac:dyDescent="0.25">
      <c r="A1214" t="s">
        <v>77</v>
      </c>
      <c r="B1214" t="s">
        <v>2668</v>
      </c>
      <c r="C1214" t="s">
        <v>10</v>
      </c>
      <c r="D1214" t="s">
        <v>2677</v>
      </c>
      <c r="E1214" s="5" t="s">
        <v>59</v>
      </c>
      <c r="F1214" s="5" t="e">
        <f>VLOOKUP(B1214,'Türkkep Jira'!B:F,5,0)</f>
        <v>#N/A</v>
      </c>
      <c r="G1214" t="str">
        <f>IF(IFERROR(VLOOKUP(B1214,'Devam Eden Sprint'!B:B,1,0),"-")=B1214,"Devam Eden Sprint","-")</f>
        <v>-</v>
      </c>
      <c r="H1214" t="str">
        <f>IF(IFERROR(VLOOKUP(B1214,'Gelecek Sprint'!B:B,1,0),"-")=B1214,"Gelecek Sprint","-")</f>
        <v>-</v>
      </c>
      <c r="I1214" t="str">
        <f t="shared" si="36"/>
        <v>Ürün İş Listesi</v>
      </c>
      <c r="J1214">
        <v>3</v>
      </c>
    </row>
    <row r="1215" spans="1:10" x14ac:dyDescent="0.25">
      <c r="A1215" t="s">
        <v>14</v>
      </c>
      <c r="B1215" t="s">
        <v>2669</v>
      </c>
      <c r="C1215" t="s">
        <v>16</v>
      </c>
      <c r="D1215" t="s">
        <v>2678</v>
      </c>
      <c r="E1215" s="5" t="s">
        <v>59</v>
      </c>
      <c r="F1215" s="5" t="e">
        <f>VLOOKUP(B1215,'Türkkep Jira'!B:F,5,0)</f>
        <v>#N/A</v>
      </c>
      <c r="G1215" t="str">
        <f>IF(IFERROR(VLOOKUP(B1215,'Devam Eden Sprint'!B:B,1,0),"-")=B1215,"Devam Eden Sprint","-")</f>
        <v>-</v>
      </c>
      <c r="H1215" t="str">
        <f>IF(IFERROR(VLOOKUP(B1215,'Gelecek Sprint'!B:B,1,0),"-")=B1215,"Gelecek Sprint","-")</f>
        <v>-</v>
      </c>
      <c r="I1215" t="str">
        <f t="shared" si="36"/>
        <v>Ürün İş Listesi</v>
      </c>
      <c r="J1215">
        <v>3</v>
      </c>
    </row>
    <row r="1216" spans="1:10" x14ac:dyDescent="0.25">
      <c r="A1216" t="s">
        <v>77</v>
      </c>
      <c r="B1216" t="s">
        <v>2670</v>
      </c>
      <c r="C1216" t="s">
        <v>10</v>
      </c>
      <c r="D1216" t="s">
        <v>2679</v>
      </c>
      <c r="E1216" s="5" t="s">
        <v>44</v>
      </c>
      <c r="F1216" s="5" t="e">
        <f>VLOOKUP(B1216,'Türkkep Jira'!B:F,5,0)</f>
        <v>#N/A</v>
      </c>
      <c r="G1216" t="str">
        <f>IF(IFERROR(VLOOKUP(B1216,'Devam Eden Sprint'!B:B,1,0),"-")=B1216,"Devam Eden Sprint","-")</f>
        <v>-</v>
      </c>
      <c r="H1216" t="str">
        <f>IF(IFERROR(VLOOKUP(B1216,'Gelecek Sprint'!B:B,1,0),"-")=B1216,"Gelecek Sprint","-")</f>
        <v>-</v>
      </c>
      <c r="I1216" t="str">
        <f t="shared" si="36"/>
        <v>Ürün İş Listesi</v>
      </c>
      <c r="J1216">
        <v>2</v>
      </c>
    </row>
    <row r="1217" spans="1:10" x14ac:dyDescent="0.25">
      <c r="A1217" t="s">
        <v>77</v>
      </c>
      <c r="B1217" t="s">
        <v>2671</v>
      </c>
      <c r="C1217" t="s">
        <v>16</v>
      </c>
      <c r="D1217" t="s">
        <v>2680</v>
      </c>
      <c r="E1217" s="5" t="s">
        <v>59</v>
      </c>
      <c r="F1217" s="5" t="e">
        <f>VLOOKUP(B1217,'Türkkep Jira'!B:F,5,0)</f>
        <v>#N/A</v>
      </c>
      <c r="G1217" t="str">
        <f>IF(IFERROR(VLOOKUP(B1217,'Devam Eden Sprint'!B:B,1,0),"-")=B1217,"Devam Eden Sprint","-")</f>
        <v>-</v>
      </c>
      <c r="H1217" t="str">
        <f>IF(IFERROR(VLOOKUP(B1217,'Gelecek Sprint'!B:B,1,0),"-")=B1217,"Gelecek Sprint","-")</f>
        <v>-</v>
      </c>
      <c r="I1217" t="str">
        <f t="shared" si="36"/>
        <v>Ürün İş Listesi</v>
      </c>
      <c r="J1217"/>
    </row>
    <row r="1218" spans="1:10" x14ac:dyDescent="0.25">
      <c r="A1218" t="s">
        <v>14</v>
      </c>
      <c r="B1218" t="s">
        <v>2691</v>
      </c>
      <c r="C1218" t="s">
        <v>16</v>
      </c>
      <c r="D1218" t="s">
        <v>2692</v>
      </c>
      <c r="E1218" s="5" t="s">
        <v>12</v>
      </c>
      <c r="F1218" s="5" t="e">
        <f>VLOOKUP(B1218,'Türkkep Jira'!B:F,5,0)</f>
        <v>#N/A</v>
      </c>
      <c r="G1218" t="str">
        <f>IF(IFERROR(VLOOKUP(B1218,'Devam Eden Sprint'!B:B,1,0),"-")=B1218,"Devam Eden Sprint","-")</f>
        <v>-</v>
      </c>
      <c r="H1218" t="str">
        <f>IF(IFERROR(VLOOKUP(B1218,'Gelecek Sprint'!B:B,1,0),"-")=B1218,"Gelecek Sprint","-")</f>
        <v>-</v>
      </c>
      <c r="I1218" t="str">
        <f t="shared" si="36"/>
        <v>Ürün İş Listesi</v>
      </c>
      <c r="J1218">
        <v>2</v>
      </c>
    </row>
    <row r="1219" spans="1:10" x14ac:dyDescent="0.25">
      <c r="A1219" t="s">
        <v>14</v>
      </c>
      <c r="B1219" t="s">
        <v>2744</v>
      </c>
      <c r="C1219" t="s">
        <v>16</v>
      </c>
      <c r="D1219" t="s">
        <v>2743</v>
      </c>
      <c r="E1219" s="5" t="s">
        <v>38</v>
      </c>
      <c r="F1219" s="5" t="e">
        <f>VLOOKUP(B1219,'Türkkep Jira'!B:F,5,0)</f>
        <v>#N/A</v>
      </c>
      <c r="G1219" t="str">
        <f>IF(IFERROR(VLOOKUP(B1219,'Devam Eden Sprint'!B:B,1,0),"-")=B1219,"Devam Eden Sprint","-")</f>
        <v>-</v>
      </c>
      <c r="H1219" t="str">
        <f>IF(IFERROR(VLOOKUP(B1219,'Gelecek Sprint'!B:B,1,0),"-")=B1219,"Gelecek Sprint","-")</f>
        <v>-</v>
      </c>
      <c r="I1219" t="str">
        <f t="shared" si="36"/>
        <v>Ürün İş Listesi</v>
      </c>
      <c r="J1219">
        <v>3</v>
      </c>
    </row>
    <row r="1220" spans="1:10" x14ac:dyDescent="0.25">
      <c r="A1220" t="s">
        <v>14</v>
      </c>
      <c r="B1220" t="s">
        <v>2739</v>
      </c>
      <c r="C1220" t="s">
        <v>94</v>
      </c>
      <c r="D1220" t="s">
        <v>2738</v>
      </c>
      <c r="E1220" s="5" t="s">
        <v>38</v>
      </c>
      <c r="F1220" s="5" t="e">
        <f>VLOOKUP(B1220,'Türkkep Jira'!B:F,5,0)</f>
        <v>#N/A</v>
      </c>
      <c r="G1220" t="str">
        <f>IF(IFERROR(VLOOKUP(B1220,'Devam Eden Sprint'!B:B,1,0),"-")=B1220,"Devam Eden Sprint","-")</f>
        <v>-</v>
      </c>
      <c r="H1220" t="str">
        <f>IF(IFERROR(VLOOKUP(B1220,'Gelecek Sprint'!B:B,1,0),"-")=B1220,"Gelecek Sprint","-")</f>
        <v>Gelecek Sprint</v>
      </c>
      <c r="I1220" t="str">
        <f t="shared" si="36"/>
        <v>Gelecek Sprint</v>
      </c>
      <c r="J1220">
        <v>3</v>
      </c>
    </row>
    <row r="1221" spans="1:10" x14ac:dyDescent="0.25">
      <c r="A1221" t="s">
        <v>77</v>
      </c>
      <c r="B1221" t="s">
        <v>2707</v>
      </c>
      <c r="C1221" t="s">
        <v>16</v>
      </c>
      <c r="D1221" t="s">
        <v>2706</v>
      </c>
      <c r="E1221" s="5" t="s">
        <v>53</v>
      </c>
      <c r="F1221" s="5" t="e">
        <f>VLOOKUP(B1221,'Türkkep Jira'!B:F,5,0)</f>
        <v>#N/A</v>
      </c>
      <c r="G1221" t="str">
        <f>IF(IFERROR(VLOOKUP(B1221,'Devam Eden Sprint'!B:B,1,0),"-")=B1221,"Devam Eden Sprint","-")</f>
        <v>-</v>
      </c>
      <c r="H1221" t="str">
        <f>IF(IFERROR(VLOOKUP(B1221,'Gelecek Sprint'!B:B,1,0),"-")=B1221,"Gelecek Sprint","-")</f>
        <v>-</v>
      </c>
      <c r="I1221" t="str">
        <f t="shared" si="36"/>
        <v>Ürün İş Listesi</v>
      </c>
      <c r="J1221">
        <v>1</v>
      </c>
    </row>
    <row r="1222" spans="1:10" x14ac:dyDescent="0.25">
      <c r="A1222" t="s">
        <v>77</v>
      </c>
      <c r="B1222" t="s">
        <v>2705</v>
      </c>
      <c r="C1222" t="s">
        <v>16</v>
      </c>
      <c r="D1222" t="s">
        <v>2704</v>
      </c>
      <c r="E1222" s="5" t="s">
        <v>53</v>
      </c>
      <c r="F1222" s="5" t="e">
        <f>VLOOKUP(B1222,'Türkkep Jira'!B:F,5,0)</f>
        <v>#N/A</v>
      </c>
      <c r="G1222" t="str">
        <f>IF(IFERROR(VLOOKUP(B1222,'Devam Eden Sprint'!B:B,1,0),"-")=B1222,"Devam Eden Sprint","-")</f>
        <v>-</v>
      </c>
      <c r="H1222" t="str">
        <f>IF(IFERROR(VLOOKUP(B1222,'Gelecek Sprint'!B:B,1,0),"-")=B1222,"Gelecek Sprint","-")</f>
        <v>-</v>
      </c>
      <c r="I1222" t="str">
        <f t="shared" si="36"/>
        <v>Ürün İş Listesi</v>
      </c>
      <c r="J1222">
        <v>1</v>
      </c>
    </row>
    <row r="1223" spans="1:10" x14ac:dyDescent="0.25">
      <c r="A1223" t="s">
        <v>77</v>
      </c>
      <c r="B1223" t="s">
        <v>2752</v>
      </c>
      <c r="C1223" t="s">
        <v>10</v>
      </c>
      <c r="D1223" t="s">
        <v>2753</v>
      </c>
      <c r="E1223" s="5" t="s">
        <v>53</v>
      </c>
      <c r="F1223" s="5" t="e">
        <f>VLOOKUP(B1223,'Türkkep Jira'!B:F,5,0)</f>
        <v>#N/A</v>
      </c>
      <c r="G1223" t="str">
        <f>IF(IFERROR(VLOOKUP(B1223,'Devam Eden Sprint'!B:B,1,0),"-")=B1223,"Devam Eden Sprint","-")</f>
        <v>-</v>
      </c>
      <c r="H1223" t="str">
        <f>IF(IFERROR(VLOOKUP(B1223,'Gelecek Sprint'!B:B,1,0),"-")=B1223,"Gelecek Sprint","-")</f>
        <v>-</v>
      </c>
      <c r="I1223" t="str">
        <f t="shared" si="36"/>
        <v>Ürün İş Listesi</v>
      </c>
      <c r="J1223">
        <v>1</v>
      </c>
    </row>
    <row r="1224" spans="1:10" x14ac:dyDescent="0.25">
      <c r="A1224" t="s">
        <v>14</v>
      </c>
      <c r="B1224" t="s">
        <v>2754</v>
      </c>
      <c r="C1224" t="s">
        <v>27</v>
      </c>
      <c r="D1224" t="s">
        <v>2755</v>
      </c>
      <c r="E1224" s="5" t="s">
        <v>53</v>
      </c>
      <c r="F1224" s="5" t="e">
        <f>VLOOKUP(B1224,'Türkkep Jira'!B:F,5,0)</f>
        <v>#N/A</v>
      </c>
      <c r="G1224" t="str">
        <f>IF(IFERROR(VLOOKUP(B1224,'Devam Eden Sprint'!B:B,1,0),"-")=B1224,"Devam Eden Sprint","-")</f>
        <v>Devam Eden Sprint</v>
      </c>
      <c r="H1224" t="str">
        <f>IF(IFERROR(VLOOKUP(B1224,'Gelecek Sprint'!B:B,1,0),"-")=B1224,"Gelecek Sprint","-")</f>
        <v>Gelecek Sprint</v>
      </c>
      <c r="I1224" t="str">
        <f t="shared" si="36"/>
        <v>Devam Eden ve Gelecek Sprint</v>
      </c>
      <c r="J1224">
        <v>3</v>
      </c>
    </row>
    <row r="1225" spans="1:10" x14ac:dyDescent="0.25">
      <c r="A1225" t="s">
        <v>14</v>
      </c>
      <c r="B1225" t="s">
        <v>2756</v>
      </c>
      <c r="C1225" t="s">
        <v>10</v>
      </c>
      <c r="D1225" t="s">
        <v>2757</v>
      </c>
      <c r="E1225" s="5" t="s">
        <v>127</v>
      </c>
      <c r="F1225" s="5" t="e">
        <f>VLOOKUP(B1225,'Türkkep Jira'!B:F,5,0)</f>
        <v>#N/A</v>
      </c>
      <c r="G1225" t="str">
        <f>IF(IFERROR(VLOOKUP(B1225,'Devam Eden Sprint'!B:B,1,0),"-")=B1225,"Devam Eden Sprint","-")</f>
        <v>-</v>
      </c>
      <c r="H1225" t="str">
        <f>IF(IFERROR(VLOOKUP(B1225,'Gelecek Sprint'!B:B,1,0),"-")=B1225,"Gelecek Sprint","-")</f>
        <v>-</v>
      </c>
      <c r="I1225" t="str">
        <f t="shared" si="36"/>
        <v>Ürün İş Listesi</v>
      </c>
      <c r="J1225">
        <v>5</v>
      </c>
    </row>
    <row r="1226" spans="1:10" x14ac:dyDescent="0.25">
      <c r="A1226" t="s">
        <v>77</v>
      </c>
      <c r="B1226" t="s">
        <v>2681</v>
      </c>
      <c r="C1226" t="s">
        <v>10</v>
      </c>
      <c r="D1226" t="s">
        <v>2686</v>
      </c>
      <c r="E1226" s="5" t="s">
        <v>44</v>
      </c>
      <c r="F1226" s="5" t="e">
        <f>VLOOKUP(B1226,'Türkkep Jira'!B:F,5,0)</f>
        <v>#N/A</v>
      </c>
      <c r="G1226" t="str">
        <f>IF(IFERROR(VLOOKUP(B1226,'Devam Eden Sprint'!B:B,1,0),"-")=B1226,"Devam Eden Sprint","-")</f>
        <v>-</v>
      </c>
      <c r="H1226" t="str">
        <f>IF(IFERROR(VLOOKUP(B1226,'Gelecek Sprint'!B:B,1,0),"-")=B1226,"Gelecek Sprint","-")</f>
        <v>-</v>
      </c>
      <c r="I1226" t="str">
        <f t="shared" si="36"/>
        <v>Ürün İş Listesi</v>
      </c>
      <c r="J1226">
        <v>5</v>
      </c>
    </row>
    <row r="1227" spans="1:10" x14ac:dyDescent="0.25">
      <c r="A1227" t="s">
        <v>77</v>
      </c>
      <c r="B1227" t="s">
        <v>2682</v>
      </c>
      <c r="C1227" t="s">
        <v>10</v>
      </c>
      <c r="D1227" t="s">
        <v>2687</v>
      </c>
      <c r="E1227" s="5" t="s">
        <v>44</v>
      </c>
      <c r="F1227" s="5" t="e">
        <f>VLOOKUP(B1227,'Türkkep Jira'!B:F,5,0)</f>
        <v>#N/A</v>
      </c>
      <c r="G1227" t="str">
        <f>IF(IFERROR(VLOOKUP(B1227,'Devam Eden Sprint'!B:B,1,0),"-")=B1227,"Devam Eden Sprint","-")</f>
        <v>-</v>
      </c>
      <c r="H1227" t="str">
        <f>IF(IFERROR(VLOOKUP(B1227,'Gelecek Sprint'!B:B,1,0),"-")=B1227,"Gelecek Sprint","-")</f>
        <v>-</v>
      </c>
      <c r="I1227" t="str">
        <f t="shared" si="36"/>
        <v>Ürün İş Listesi</v>
      </c>
      <c r="J1227">
        <v>5</v>
      </c>
    </row>
    <row r="1228" spans="1:10" x14ac:dyDescent="0.25">
      <c r="A1228" t="s">
        <v>77</v>
      </c>
      <c r="B1228" t="s">
        <v>2683</v>
      </c>
      <c r="C1228" t="s">
        <v>10</v>
      </c>
      <c r="D1228" t="s">
        <v>2688</v>
      </c>
      <c r="E1228" s="5" t="s">
        <v>44</v>
      </c>
      <c r="F1228" s="5" t="e">
        <f>VLOOKUP(B1228,'Türkkep Jira'!B:F,5,0)</f>
        <v>#N/A</v>
      </c>
      <c r="G1228" t="str">
        <f>IF(IFERROR(VLOOKUP(B1228,'Devam Eden Sprint'!B:B,1,0),"-")=B1228,"Devam Eden Sprint","-")</f>
        <v>-</v>
      </c>
      <c r="H1228" t="str">
        <f>IF(IFERROR(VLOOKUP(B1228,'Gelecek Sprint'!B:B,1,0),"-")=B1228,"Gelecek Sprint","-")</f>
        <v>-</v>
      </c>
      <c r="I1228" t="str">
        <f t="shared" si="36"/>
        <v>Ürün İş Listesi</v>
      </c>
      <c r="J1228">
        <v>5</v>
      </c>
    </row>
    <row r="1229" spans="1:10" x14ac:dyDescent="0.25">
      <c r="A1229" t="s">
        <v>14</v>
      </c>
      <c r="B1229" t="s">
        <v>2684</v>
      </c>
      <c r="C1229" t="s">
        <v>10</v>
      </c>
      <c r="D1229" t="s">
        <v>2689</v>
      </c>
      <c r="E1229" s="5" t="s">
        <v>44</v>
      </c>
      <c r="F1229" s="5" t="e">
        <f>VLOOKUP(B1229,'Türkkep Jira'!B:F,5,0)</f>
        <v>#N/A</v>
      </c>
      <c r="G1229" t="str">
        <f>IF(IFERROR(VLOOKUP(B1229,'Devam Eden Sprint'!B:B,1,0),"-")=B1229,"Devam Eden Sprint","-")</f>
        <v>Devam Eden Sprint</v>
      </c>
      <c r="H1229" t="str">
        <f>IF(IFERROR(VLOOKUP(B1229,'Gelecek Sprint'!B:B,1,0),"-")=B1229,"Gelecek Sprint","-")</f>
        <v>Gelecek Sprint</v>
      </c>
      <c r="I1229" t="str">
        <f t="shared" si="36"/>
        <v>Devam Eden ve Gelecek Sprint</v>
      </c>
      <c r="J1229"/>
    </row>
    <row r="1230" spans="1:10" x14ac:dyDescent="0.25">
      <c r="A1230" t="s">
        <v>14</v>
      </c>
      <c r="B1230" t="s">
        <v>2685</v>
      </c>
      <c r="C1230" t="s">
        <v>26</v>
      </c>
      <c r="D1230" t="s">
        <v>2690</v>
      </c>
      <c r="E1230" s="5" t="s">
        <v>50</v>
      </c>
      <c r="F1230" s="5" t="str">
        <f>VLOOKUP(B1230,'Türkkep Jira'!B:F,5,0)</f>
        <v>Development</v>
      </c>
      <c r="G1230" t="str">
        <f>IF(IFERROR(VLOOKUP(B1230,'Devam Eden Sprint'!B:B,1,0),"-")=B1230,"Devam Eden Sprint","-")</f>
        <v>Devam Eden Sprint</v>
      </c>
      <c r="H1230" t="str">
        <f>IF(IFERROR(VLOOKUP(B1230,'Gelecek Sprint'!B:B,1,0),"-")=B1230,"Gelecek Sprint","-")</f>
        <v>Gelecek Sprint</v>
      </c>
      <c r="I1230" t="str">
        <f t="shared" si="36"/>
        <v>Devam Eden ve Gelecek Sprint</v>
      </c>
      <c r="J1230"/>
    </row>
    <row r="1231" spans="1:10" x14ac:dyDescent="0.25">
      <c r="A1231" t="s">
        <v>14</v>
      </c>
      <c r="B1231" t="s">
        <v>2693</v>
      </c>
      <c r="C1231" t="s">
        <v>16</v>
      </c>
      <c r="D1231" t="s">
        <v>2698</v>
      </c>
      <c r="E1231" s="5" t="s">
        <v>12</v>
      </c>
      <c r="F1231" s="5" t="str">
        <f>VLOOKUP(B1231,'Türkkep Jira'!B:F,5,0)</f>
        <v>Done</v>
      </c>
      <c r="G1231" t="str">
        <f>IF(IFERROR(VLOOKUP(B1231,'Devam Eden Sprint'!B:B,1,0),"-")=B1231,"Devam Eden Sprint","-")</f>
        <v>-</v>
      </c>
      <c r="H1231" t="str">
        <f>IF(IFERROR(VLOOKUP(B1231,'Gelecek Sprint'!B:B,1,0),"-")=B1231,"Gelecek Sprint","-")</f>
        <v>-</v>
      </c>
      <c r="I1231" t="str">
        <f t="shared" si="36"/>
        <v>Ürün İş Listesi</v>
      </c>
      <c r="J1231">
        <v>2</v>
      </c>
    </row>
    <row r="1232" spans="1:10" x14ac:dyDescent="0.25">
      <c r="A1232" t="s">
        <v>14</v>
      </c>
      <c r="B1232" t="s">
        <v>2694</v>
      </c>
      <c r="C1232" t="s">
        <v>10</v>
      </c>
      <c r="D1232" t="s">
        <v>2699</v>
      </c>
      <c r="E1232" s="5" t="s">
        <v>12</v>
      </c>
      <c r="F1232" s="5" t="e">
        <f>VLOOKUP(B1232,'Türkkep Jira'!B:F,5,0)</f>
        <v>#N/A</v>
      </c>
      <c r="G1232" t="str">
        <f>IF(IFERROR(VLOOKUP(B1232,'Devam Eden Sprint'!B:B,1,0),"-")=B1232,"Devam Eden Sprint","-")</f>
        <v>Devam Eden Sprint</v>
      </c>
      <c r="H1232" t="str">
        <f>IF(IFERROR(VLOOKUP(B1232,'Gelecek Sprint'!B:B,1,0),"-")=B1232,"Gelecek Sprint","-")</f>
        <v>-</v>
      </c>
      <c r="I1232" t="str">
        <f t="shared" si="36"/>
        <v>Devam Eden Sprint</v>
      </c>
      <c r="J1232">
        <v>3</v>
      </c>
    </row>
    <row r="1233" spans="1:10" x14ac:dyDescent="0.25">
      <c r="A1233" t="s">
        <v>14</v>
      </c>
      <c r="B1233" t="s">
        <v>2695</v>
      </c>
      <c r="C1233" t="s">
        <v>10</v>
      </c>
      <c r="D1233" t="s">
        <v>2700</v>
      </c>
      <c r="E1233" s="5" t="s">
        <v>12</v>
      </c>
      <c r="F1233" s="5" t="e">
        <f>VLOOKUP(B1233,'Türkkep Jira'!B:F,5,0)</f>
        <v>#N/A</v>
      </c>
      <c r="G1233" t="str">
        <f>IF(IFERROR(VLOOKUP(B1233,'Devam Eden Sprint'!B:B,1,0),"-")=B1233,"Devam Eden Sprint","-")</f>
        <v>-</v>
      </c>
      <c r="H1233" t="str">
        <f>IF(IFERROR(VLOOKUP(B1233,'Gelecek Sprint'!B:B,1,0),"-")=B1233,"Gelecek Sprint","-")</f>
        <v>-</v>
      </c>
      <c r="I1233" t="str">
        <f t="shared" si="36"/>
        <v>Ürün İş Listesi</v>
      </c>
      <c r="J1233">
        <v>1</v>
      </c>
    </row>
    <row r="1234" spans="1:10" x14ac:dyDescent="0.25">
      <c r="A1234" t="s">
        <v>14</v>
      </c>
      <c r="B1234" t="s">
        <v>2696</v>
      </c>
      <c r="C1234" t="s">
        <v>10</v>
      </c>
      <c r="D1234" t="s">
        <v>2701</v>
      </c>
      <c r="E1234" s="5" t="s">
        <v>12</v>
      </c>
      <c r="F1234" s="5" t="e">
        <f>VLOOKUP(B1234,'Türkkep Jira'!B:F,5,0)</f>
        <v>#N/A</v>
      </c>
      <c r="G1234" t="str">
        <f>IF(IFERROR(VLOOKUP(B1234,'Devam Eden Sprint'!B:B,1,0),"-")=B1234,"Devam Eden Sprint","-")</f>
        <v>-</v>
      </c>
      <c r="H1234" t="str">
        <f>IF(IFERROR(VLOOKUP(B1234,'Gelecek Sprint'!B:B,1,0),"-")=B1234,"Gelecek Sprint","-")</f>
        <v>-</v>
      </c>
      <c r="I1234" t="str">
        <f t="shared" si="36"/>
        <v>Ürün İş Listesi</v>
      </c>
      <c r="J1234">
        <v>3</v>
      </c>
    </row>
    <row r="1235" spans="1:10" x14ac:dyDescent="0.25">
      <c r="A1235" t="s">
        <v>14</v>
      </c>
      <c r="B1235" t="s">
        <v>2697</v>
      </c>
      <c r="C1235" t="s">
        <v>27</v>
      </c>
      <c r="D1235" t="s">
        <v>2702</v>
      </c>
      <c r="E1235" s="5" t="s">
        <v>12</v>
      </c>
      <c r="F1235" s="5" t="str">
        <f>VLOOKUP(B1235,'Türkkep Jira'!B:F,5,0)</f>
        <v>TO TEST</v>
      </c>
      <c r="G1235" t="str">
        <f>IF(IFERROR(VLOOKUP(B1235,'Devam Eden Sprint'!B:B,1,0),"-")=B1235,"Devam Eden Sprint","-")</f>
        <v>Devam Eden Sprint</v>
      </c>
      <c r="H1235" t="str">
        <f>IF(IFERROR(VLOOKUP(B1235,'Gelecek Sprint'!B:B,1,0),"-")=B1235,"Gelecek Sprint","-")</f>
        <v>Gelecek Sprint</v>
      </c>
      <c r="I1235" t="str">
        <f t="shared" si="36"/>
        <v>Devam Eden ve Gelecek Sprint</v>
      </c>
      <c r="J1235">
        <v>2</v>
      </c>
    </row>
    <row r="1236" spans="1:10" x14ac:dyDescent="0.25">
      <c r="A1236" t="s">
        <v>14</v>
      </c>
      <c r="B1236" t="s">
        <v>2641</v>
      </c>
      <c r="C1236" t="s">
        <v>10</v>
      </c>
      <c r="D1236" t="s">
        <v>2640</v>
      </c>
      <c r="E1236" s="5" t="s">
        <v>12</v>
      </c>
      <c r="F1236" s="5" t="e">
        <f>VLOOKUP(B1236,'Türkkep Jira'!B:F,5,0)</f>
        <v>#N/A</v>
      </c>
      <c r="G1236" t="str">
        <f>IF(IFERROR(VLOOKUP(B1236,'Devam Eden Sprint'!B:B,1,0),"-")=B1236,"Devam Eden Sprint","-")</f>
        <v>-</v>
      </c>
      <c r="H1236" t="str">
        <f>IF(IFERROR(VLOOKUP(B1236,'Gelecek Sprint'!B:B,1,0),"-")=B1236,"Gelecek Sprint","-")</f>
        <v>-</v>
      </c>
      <c r="I1236" t="str">
        <f t="shared" si="36"/>
        <v>Ürün İş Listesi</v>
      </c>
      <c r="J1236">
        <v>2</v>
      </c>
    </row>
    <row r="1237" spans="1:10" x14ac:dyDescent="0.25">
      <c r="A1237" t="s">
        <v>14</v>
      </c>
      <c r="B1237" t="s">
        <v>2735</v>
      </c>
      <c r="C1237" t="s">
        <v>10</v>
      </c>
      <c r="D1237" t="s">
        <v>2734</v>
      </c>
      <c r="E1237" s="5" t="s">
        <v>38</v>
      </c>
      <c r="F1237" s="5" t="e">
        <f>VLOOKUP(B1237,'Türkkep Jira'!B:F,5,0)</f>
        <v>#N/A</v>
      </c>
      <c r="G1237" t="str">
        <f>IF(IFERROR(VLOOKUP(B1237,'Devam Eden Sprint'!B:B,1,0),"-")=B1237,"Devam Eden Sprint","-")</f>
        <v>-</v>
      </c>
      <c r="H1237" t="str">
        <f>IF(IFERROR(VLOOKUP(B1237,'Gelecek Sprint'!B:B,1,0),"-")=B1237,"Gelecek Sprint","-")</f>
        <v>Gelecek Sprint</v>
      </c>
      <c r="I1237" t="str">
        <f t="shared" si="36"/>
        <v>Gelecek Sprint</v>
      </c>
      <c r="J1237">
        <v>5</v>
      </c>
    </row>
    <row r="1238" spans="1:10" x14ac:dyDescent="0.25">
      <c r="A1238" t="s">
        <v>77</v>
      </c>
      <c r="B1238" t="s">
        <v>2737</v>
      </c>
      <c r="C1238" t="s">
        <v>10</v>
      </c>
      <c r="D1238" t="s">
        <v>2736</v>
      </c>
      <c r="E1238" s="5" t="s">
        <v>38</v>
      </c>
      <c r="F1238" s="5" t="str">
        <f>VLOOKUP(B1238,'Türkkep Jira'!B:F,5,0)</f>
        <v>To Do</v>
      </c>
      <c r="G1238" t="str">
        <f>IF(IFERROR(VLOOKUP(B1238,'Devam Eden Sprint'!B:B,1,0),"-")=B1238,"Devam Eden Sprint","-")</f>
        <v>-</v>
      </c>
      <c r="H1238" t="str">
        <f>IF(IFERROR(VLOOKUP(B1238,'Gelecek Sprint'!B:B,1,0),"-")=B1238,"Gelecek Sprint","-")</f>
        <v>-</v>
      </c>
      <c r="I1238" t="str">
        <f t="shared" si="36"/>
        <v>Ürün İş Listesi</v>
      </c>
      <c r="J1238">
        <v>1</v>
      </c>
    </row>
    <row r="1239" spans="1:10" x14ac:dyDescent="0.25">
      <c r="A1239" t="s">
        <v>14</v>
      </c>
      <c r="B1239" t="s">
        <v>2741</v>
      </c>
      <c r="C1239" t="s">
        <v>10</v>
      </c>
      <c r="D1239" t="s">
        <v>2740</v>
      </c>
      <c r="E1239" s="5" t="s">
        <v>38</v>
      </c>
      <c r="F1239" s="5" t="str">
        <f>VLOOKUP(B1239,'Türkkep Jira'!B:F,5,0)</f>
        <v>To Do</v>
      </c>
      <c r="G1239" t="str">
        <f>IF(IFERROR(VLOOKUP(B1239,'Devam Eden Sprint'!B:B,1,0),"-")=B1239,"Devam Eden Sprint","-")</f>
        <v>-</v>
      </c>
      <c r="H1239" t="str">
        <f>IF(IFERROR(VLOOKUP(B1239,'Gelecek Sprint'!B:B,1,0),"-")=B1239,"Gelecek Sprint","-")</f>
        <v>-</v>
      </c>
      <c r="I1239" t="str">
        <f t="shared" si="36"/>
        <v>Ürün İş Listesi</v>
      </c>
      <c r="J1239">
        <v>2</v>
      </c>
    </row>
    <row r="1240" spans="1:10" x14ac:dyDescent="0.25">
      <c r="A1240" t="s">
        <v>14</v>
      </c>
      <c r="B1240" t="s">
        <v>2746</v>
      </c>
      <c r="C1240" t="s">
        <v>10</v>
      </c>
      <c r="D1240" t="s">
        <v>2745</v>
      </c>
      <c r="E1240" s="5" t="s">
        <v>38</v>
      </c>
      <c r="F1240" s="5" t="str">
        <f>VLOOKUP(B1240,'Türkkep Jira'!B:F,5,0)</f>
        <v>To Do</v>
      </c>
      <c r="G1240" t="str">
        <f>IF(IFERROR(VLOOKUP(B1240,'Devam Eden Sprint'!B:B,1,0),"-")=B1240,"Devam Eden Sprint","-")</f>
        <v>-</v>
      </c>
      <c r="H1240" t="str">
        <f>IF(IFERROR(VLOOKUP(B1240,'Gelecek Sprint'!B:B,1,0),"-")=B1240,"Gelecek Sprint","-")</f>
        <v>-</v>
      </c>
      <c r="I1240" t="str">
        <f t="shared" si="36"/>
        <v>Ürün İş Listesi</v>
      </c>
      <c r="J1240">
        <v>3</v>
      </c>
    </row>
    <row r="1241" spans="1:10" x14ac:dyDescent="0.25">
      <c r="A1241" t="s">
        <v>14</v>
      </c>
      <c r="B1241" t="s">
        <v>2742</v>
      </c>
      <c r="C1241" t="s">
        <v>10</v>
      </c>
      <c r="D1241" t="s">
        <v>2747</v>
      </c>
      <c r="E1241" s="5" t="s">
        <v>38</v>
      </c>
      <c r="F1241" s="5" t="str">
        <f>VLOOKUP(B1241,'Türkkep Jira'!B:F,5,0)</f>
        <v>To Do</v>
      </c>
      <c r="G1241" t="str">
        <f>IF(IFERROR(VLOOKUP(B1241,'Devam Eden Sprint'!B:B,1,0),"-")=B1241,"Devam Eden Sprint","-")</f>
        <v>-</v>
      </c>
      <c r="H1241" t="str">
        <f>IF(IFERROR(VLOOKUP(B1241,'Gelecek Sprint'!B:B,1,0),"-")=B1241,"Gelecek Sprint","-")</f>
        <v>-</v>
      </c>
      <c r="I1241" t="str">
        <f t="shared" si="36"/>
        <v>Ürün İş Listesi</v>
      </c>
      <c r="J1241">
        <v>3</v>
      </c>
    </row>
    <row r="1242" spans="1:10" x14ac:dyDescent="0.25">
      <c r="A1242" t="s">
        <v>14</v>
      </c>
      <c r="B1242" t="s">
        <v>2748</v>
      </c>
      <c r="C1242" t="s">
        <v>16</v>
      </c>
      <c r="D1242" t="s">
        <v>2749</v>
      </c>
      <c r="E1242" s="5" t="s">
        <v>41</v>
      </c>
      <c r="F1242" s="5" t="str">
        <f>VLOOKUP(B1242,'Türkkep Jira'!B:F,5,0)</f>
        <v>Done</v>
      </c>
      <c r="G1242" t="str">
        <f>IF(IFERROR(VLOOKUP(B1242,'Devam Eden Sprint'!B:B,1,0),"-")=B1242,"Devam Eden Sprint","-")</f>
        <v>-</v>
      </c>
      <c r="H1242" t="str">
        <f>IF(IFERROR(VLOOKUP(B1242,'Gelecek Sprint'!B:B,1,0),"-")=B1242,"Gelecek Sprint","-")</f>
        <v>-</v>
      </c>
      <c r="I1242" t="str">
        <f t="shared" si="36"/>
        <v>Ürün İş Listesi</v>
      </c>
      <c r="J1242">
        <v>5</v>
      </c>
    </row>
    <row r="1243" spans="1:10" x14ac:dyDescent="0.25">
      <c r="A1243" t="s">
        <v>14</v>
      </c>
      <c r="B1243" t="s">
        <v>2750</v>
      </c>
      <c r="C1243" t="s">
        <v>16</v>
      </c>
      <c r="D1243" t="s">
        <v>2751</v>
      </c>
      <c r="E1243" s="5" t="s">
        <v>41</v>
      </c>
      <c r="F1243" s="5" t="str">
        <f>VLOOKUP(B1243,'Türkkep Jira'!B:F,5,0)</f>
        <v>Done</v>
      </c>
      <c r="G1243" t="str">
        <f>IF(IFERROR(VLOOKUP(B1243,'Devam Eden Sprint'!B:B,1,0),"-")=B1243,"Devam Eden Sprint","-")</f>
        <v>Devam Eden Sprint</v>
      </c>
      <c r="H1243" t="str">
        <f>IF(IFERROR(VLOOKUP(B1243,'Gelecek Sprint'!B:B,1,0),"-")=B1243,"Gelecek Sprint","-")</f>
        <v>-</v>
      </c>
      <c r="I1243" t="str">
        <f t="shared" si="36"/>
        <v>Devam Eden Sprint</v>
      </c>
      <c r="J1243">
        <v>5</v>
      </c>
    </row>
    <row r="1244" spans="1:10" x14ac:dyDescent="0.25">
      <c r="A1244" t="s">
        <v>14</v>
      </c>
      <c r="B1244" t="s">
        <v>2758</v>
      </c>
      <c r="C1244" t="s">
        <v>26</v>
      </c>
      <c r="D1244" t="s">
        <v>2759</v>
      </c>
      <c r="E1244" s="5" t="s">
        <v>127</v>
      </c>
      <c r="F1244" s="5" t="e">
        <f>VLOOKUP(B1244,'Türkkep Jira'!B:F,5,0)</f>
        <v>#N/A</v>
      </c>
      <c r="G1244" t="str">
        <f>IF(IFERROR(VLOOKUP(B1244,'Devam Eden Sprint'!B:B,1,0),"-")=B1244,"Devam Eden Sprint","-")</f>
        <v>-</v>
      </c>
      <c r="H1244" t="str">
        <f>IF(IFERROR(VLOOKUP(B1244,'Gelecek Sprint'!B:B,1,0),"-")=B1244,"Gelecek Sprint","-")</f>
        <v>-</v>
      </c>
      <c r="I1244" t="str">
        <f t="shared" si="36"/>
        <v>Ürün İş Listesi</v>
      </c>
      <c r="J1244">
        <v>5</v>
      </c>
    </row>
    <row r="1245" spans="1:10" x14ac:dyDescent="0.25">
      <c r="A1245" t="s">
        <v>14</v>
      </c>
      <c r="B1245" t="s">
        <v>2760</v>
      </c>
      <c r="C1245" t="s">
        <v>10</v>
      </c>
      <c r="D1245" t="s">
        <v>2761</v>
      </c>
      <c r="E1245" s="5" t="s">
        <v>53</v>
      </c>
      <c r="F1245" s="5" t="e">
        <f>VLOOKUP(B1245,'Türkkep Jira'!B:F,5,0)</f>
        <v>#N/A</v>
      </c>
      <c r="G1245" t="str">
        <f>IF(IFERROR(VLOOKUP(B1245,'Devam Eden Sprint'!B:B,1,0),"-")=B1245,"Devam Eden Sprint","-")</f>
        <v>-</v>
      </c>
      <c r="H1245" t="str">
        <f>IF(IFERROR(VLOOKUP(B1245,'Gelecek Sprint'!B:B,1,0),"-")=B1245,"Gelecek Sprint","-")</f>
        <v>-</v>
      </c>
      <c r="I1245" t="str">
        <f t="shared" si="36"/>
        <v>Ürün İş Listesi</v>
      </c>
      <c r="J1245">
        <v>1</v>
      </c>
    </row>
    <row r="1246" spans="1:10" x14ac:dyDescent="0.25">
      <c r="A1246" t="s">
        <v>14</v>
      </c>
      <c r="B1246" t="s">
        <v>2762</v>
      </c>
      <c r="C1246" t="s">
        <v>10</v>
      </c>
      <c r="D1246" t="s">
        <v>2763</v>
      </c>
      <c r="E1246" s="5" t="s">
        <v>53</v>
      </c>
      <c r="F1246" s="5" t="e">
        <f>VLOOKUP(B1246,'Türkkep Jira'!B:F,5,0)</f>
        <v>#N/A</v>
      </c>
      <c r="G1246" t="str">
        <f>IF(IFERROR(VLOOKUP(B1246,'Devam Eden Sprint'!B:B,1,0),"-")=B1246,"Devam Eden Sprint","-")</f>
        <v>-</v>
      </c>
      <c r="H1246" t="str">
        <f>IF(IFERROR(VLOOKUP(B1246,'Gelecek Sprint'!B:B,1,0),"-")=B1246,"Gelecek Sprint","-")</f>
        <v>-</v>
      </c>
      <c r="I1246" t="str">
        <f t="shared" si="36"/>
        <v>Ürün İş Listesi</v>
      </c>
      <c r="J1246">
        <v>2</v>
      </c>
    </row>
    <row r="1247" spans="1:10" x14ac:dyDescent="0.25">
      <c r="A1247" t="s">
        <v>14</v>
      </c>
      <c r="B1247" t="s">
        <v>2764</v>
      </c>
      <c r="C1247" t="s">
        <v>26</v>
      </c>
      <c r="D1247" t="s">
        <v>2765</v>
      </c>
      <c r="E1247" s="5" t="s">
        <v>53</v>
      </c>
      <c r="F1247" s="5" t="str">
        <f>VLOOKUP(B1247,'Türkkep Jira'!B:F,5,0)</f>
        <v>Development</v>
      </c>
      <c r="G1247" t="str">
        <f>IF(IFERROR(VLOOKUP(B1247,'Devam Eden Sprint'!B:B,1,0),"-")=B1247,"Devam Eden Sprint","-")</f>
        <v>Devam Eden Sprint</v>
      </c>
      <c r="H1247" t="str">
        <f>IF(IFERROR(VLOOKUP(B1247,'Gelecek Sprint'!B:B,1,0),"-")=B1247,"Gelecek Sprint","-")</f>
        <v>Gelecek Sprint</v>
      </c>
      <c r="I1247" t="str">
        <f t="shared" si="36"/>
        <v>Devam Eden ve Gelecek Sprint</v>
      </c>
      <c r="J1247">
        <v>3</v>
      </c>
    </row>
    <row r="1248" spans="1:10" x14ac:dyDescent="0.25">
      <c r="A1248" t="s">
        <v>14</v>
      </c>
      <c r="B1248" t="s">
        <v>2766</v>
      </c>
      <c r="C1248" t="s">
        <v>16</v>
      </c>
      <c r="D1248" t="s">
        <v>2768</v>
      </c>
      <c r="E1248" s="5" t="s">
        <v>56</v>
      </c>
      <c r="F1248" s="5" t="str">
        <f>VLOOKUP(B1248,'Türkkep Jira'!B:F,5,0)</f>
        <v>Done</v>
      </c>
      <c r="G1248" t="str">
        <f>IF(IFERROR(VLOOKUP(B1248,'Devam Eden Sprint'!B:B,1,0),"-")=B1248,"Devam Eden Sprint","-")</f>
        <v>Devam Eden Sprint</v>
      </c>
      <c r="H1248" t="str">
        <f>IF(IFERROR(VLOOKUP(B1248,'Gelecek Sprint'!B:B,1,0),"-")=B1248,"Gelecek Sprint","-")</f>
        <v>-</v>
      </c>
      <c r="I1248" t="str">
        <f t="shared" ref="I1248:I1250" si="37">IFERROR(IF(AND(G1248="Devam Eden Sprint",H1248="Gelecek Sprint"),"Devam Eden ve Gelecek Sprint",IF(G1248="Devam Eden Sprint","Devam Eden Sprint",IF(H1248="Gelecek Sprint","Gelecek Sprint","Ürün İş Listesi"))),"Ürün İş Listesi")</f>
        <v>Devam Eden Sprint</v>
      </c>
      <c r="J1248">
        <v>3</v>
      </c>
    </row>
    <row r="1249" spans="1:10" x14ac:dyDescent="0.25">
      <c r="A1249" t="s">
        <v>14</v>
      </c>
      <c r="B1249" t="s">
        <v>2767</v>
      </c>
      <c r="C1249" t="s">
        <v>10</v>
      </c>
      <c r="D1249" t="s">
        <v>2769</v>
      </c>
      <c r="E1249" s="5" t="s">
        <v>50</v>
      </c>
      <c r="F1249" s="5" t="e">
        <f>VLOOKUP(B1249,'Türkkep Jira'!B:F,5,0)</f>
        <v>#N/A</v>
      </c>
      <c r="G1249" t="str">
        <f>IF(IFERROR(VLOOKUP(B1249,'Devam Eden Sprint'!B:B,1,0),"-")=B1249,"Devam Eden Sprint","-")</f>
        <v>-</v>
      </c>
      <c r="H1249" t="str">
        <f>IF(IFERROR(VLOOKUP(B1249,'Gelecek Sprint'!B:B,1,0),"-")=B1249,"Gelecek Sprint","-")</f>
        <v>-</v>
      </c>
      <c r="I1249" t="str">
        <f t="shared" si="37"/>
        <v>Ürün İş Listesi</v>
      </c>
      <c r="J1249">
        <v>1</v>
      </c>
    </row>
    <row r="1250" spans="1:10" x14ac:dyDescent="0.25">
      <c r="A1250" t="s">
        <v>14</v>
      </c>
      <c r="B1250" t="s">
        <v>2783</v>
      </c>
      <c r="C1250" t="s">
        <v>10</v>
      </c>
      <c r="D1250" t="s">
        <v>2784</v>
      </c>
      <c r="E1250" s="5" t="s">
        <v>12</v>
      </c>
      <c r="F1250" s="5" t="e">
        <f>VLOOKUP(B1250,'Türkkep Jira'!B:F,5,0)</f>
        <v>#N/A</v>
      </c>
      <c r="G1250" t="str">
        <f>IF(IFERROR(VLOOKUP(B1250,'Devam Eden Sprint'!B:B,1,0),"-")=B1250,"Devam Eden Sprint","-")</f>
        <v>-</v>
      </c>
      <c r="H1250" t="str">
        <f>IF(IFERROR(VLOOKUP(B1250,'Gelecek Sprint'!B:B,1,0),"-")=B1250,"Gelecek Sprint","-")</f>
        <v>-</v>
      </c>
      <c r="I1250" t="str">
        <f t="shared" si="37"/>
        <v>Ürün İş Listesi</v>
      </c>
      <c r="J1250">
        <v>5</v>
      </c>
    </row>
    <row r="1251" spans="1:10" x14ac:dyDescent="0.25">
      <c r="A1251" t="s">
        <v>77</v>
      </c>
      <c r="B1251" t="s">
        <v>2770</v>
      </c>
      <c r="C1251" t="s">
        <v>16</v>
      </c>
      <c r="D1251" t="s">
        <v>2776</v>
      </c>
      <c r="E1251" s="5" t="s">
        <v>56</v>
      </c>
      <c r="F1251" s="5" t="str">
        <f>VLOOKUP(B1251,'Türkkep Jira'!B:F,5,0)</f>
        <v>Done</v>
      </c>
      <c r="G1251" t="str">
        <f>IF(IFERROR(VLOOKUP(B1251,'Devam Eden Sprint'!B:B,1,0),"-")=B1251,"Devam Eden Sprint","-")</f>
        <v>Devam Eden Sprint</v>
      </c>
      <c r="H1251" t="str">
        <f>IF(IFERROR(VLOOKUP(B1251,'Gelecek Sprint'!B:B,1,0),"-")=B1251,"Gelecek Sprint","-")</f>
        <v>-</v>
      </c>
      <c r="I1251" t="str">
        <f t="shared" ref="I1251:I1262" si="38">IFERROR(IF(AND(G1251="Devam Eden Sprint",H1251="Gelecek Sprint"),"Devam Eden ve Gelecek Sprint",IF(G1251="Devam Eden Sprint","Devam Eden Sprint",IF(H1251="Gelecek Sprint","Gelecek Sprint","Ürün İş Listesi"))),"Ürün İş Listesi")</f>
        <v>Devam Eden Sprint</v>
      </c>
      <c r="J1251">
        <v>3</v>
      </c>
    </row>
    <row r="1252" spans="1:10" x14ac:dyDescent="0.25">
      <c r="A1252" t="s">
        <v>77</v>
      </c>
      <c r="B1252" t="s">
        <v>2771</v>
      </c>
      <c r="C1252" t="s">
        <v>16</v>
      </c>
      <c r="D1252" t="s">
        <v>2777</v>
      </c>
      <c r="E1252" s="5" t="s">
        <v>56</v>
      </c>
      <c r="F1252" s="5" t="str">
        <f>VLOOKUP(B1252,'Türkkep Jira'!B:F,5,0)</f>
        <v>Done</v>
      </c>
      <c r="G1252" t="str">
        <f>IF(IFERROR(VLOOKUP(B1252,'Devam Eden Sprint'!B:B,1,0),"-")=B1252,"Devam Eden Sprint","-")</f>
        <v>Devam Eden Sprint</v>
      </c>
      <c r="H1252" t="str">
        <f>IF(IFERROR(VLOOKUP(B1252,'Gelecek Sprint'!B:B,1,0),"-")=B1252,"Gelecek Sprint","-")</f>
        <v>-</v>
      </c>
      <c r="I1252" t="str">
        <f t="shared" si="38"/>
        <v>Devam Eden Sprint</v>
      </c>
      <c r="J1252">
        <v>3</v>
      </c>
    </row>
    <row r="1253" spans="1:10" x14ac:dyDescent="0.25">
      <c r="A1253" t="s">
        <v>77</v>
      </c>
      <c r="B1253" t="s">
        <v>2772</v>
      </c>
      <c r="C1253" t="s">
        <v>16</v>
      </c>
      <c r="D1253" t="s">
        <v>2778</v>
      </c>
      <c r="E1253" s="5" t="s">
        <v>56</v>
      </c>
      <c r="F1253" s="5" t="str">
        <f>VLOOKUP(B1253,'Türkkep Jira'!B:F,5,0)</f>
        <v>Done</v>
      </c>
      <c r="G1253" t="str">
        <f>IF(IFERROR(VLOOKUP(B1253,'Devam Eden Sprint'!B:B,1,0),"-")=B1253,"Devam Eden Sprint","-")</f>
        <v>Devam Eden Sprint</v>
      </c>
      <c r="H1253" t="str">
        <f>IF(IFERROR(VLOOKUP(B1253,'Gelecek Sprint'!B:B,1,0),"-")=B1253,"Gelecek Sprint","-")</f>
        <v>-</v>
      </c>
      <c r="I1253" t="str">
        <f t="shared" si="38"/>
        <v>Devam Eden Sprint</v>
      </c>
      <c r="J1253">
        <v>3</v>
      </c>
    </row>
    <row r="1254" spans="1:10" x14ac:dyDescent="0.25">
      <c r="A1254" t="s">
        <v>14</v>
      </c>
      <c r="B1254" t="s">
        <v>2773</v>
      </c>
      <c r="C1254" t="s">
        <v>16</v>
      </c>
      <c r="D1254" t="s">
        <v>2779</v>
      </c>
      <c r="E1254" s="5" t="s">
        <v>44</v>
      </c>
      <c r="F1254" s="5" t="e">
        <f>VLOOKUP(B1254,'Türkkep Jira'!B:F,5,0)</f>
        <v>#N/A</v>
      </c>
      <c r="G1254" t="str">
        <f>IF(IFERROR(VLOOKUP(B1254,'Devam Eden Sprint'!B:B,1,0),"-")=B1254,"Devam Eden Sprint","-")</f>
        <v>Devam Eden Sprint</v>
      </c>
      <c r="H1254" t="str">
        <f>IF(IFERROR(VLOOKUP(B1254,'Gelecek Sprint'!B:B,1,0),"-")=B1254,"Gelecek Sprint","-")</f>
        <v>-</v>
      </c>
      <c r="I1254" t="str">
        <f t="shared" si="38"/>
        <v>Devam Eden Sprint</v>
      </c>
      <c r="J1254">
        <v>5</v>
      </c>
    </row>
    <row r="1255" spans="1:10" x14ac:dyDescent="0.25">
      <c r="A1255" t="s">
        <v>14</v>
      </c>
      <c r="B1255" t="s">
        <v>2774</v>
      </c>
      <c r="C1255" t="s">
        <v>16</v>
      </c>
      <c r="D1255" t="s">
        <v>2781</v>
      </c>
      <c r="E1255" s="5" t="s">
        <v>50</v>
      </c>
      <c r="F1255" s="5" t="str">
        <f>VLOOKUP(B1255,'Türkkep Jira'!B:F,5,0)</f>
        <v>Done</v>
      </c>
      <c r="G1255" t="str">
        <f>IF(IFERROR(VLOOKUP(B1255,'Devam Eden Sprint'!B:B,1,0),"-")=B1255,"Devam Eden Sprint","-")</f>
        <v>Devam Eden Sprint</v>
      </c>
      <c r="H1255" t="str">
        <f>IF(IFERROR(VLOOKUP(B1255,'Gelecek Sprint'!B:B,1,0),"-")=B1255,"Gelecek Sprint","-")</f>
        <v>-</v>
      </c>
      <c r="I1255" t="str">
        <f t="shared" si="38"/>
        <v>Devam Eden Sprint</v>
      </c>
      <c r="J1255">
        <v>2</v>
      </c>
    </row>
    <row r="1256" spans="1:10" x14ac:dyDescent="0.25">
      <c r="A1256" t="s">
        <v>14</v>
      </c>
      <c r="B1256" t="s">
        <v>2775</v>
      </c>
      <c r="C1256" t="s">
        <v>16</v>
      </c>
      <c r="D1256" t="s">
        <v>2782</v>
      </c>
      <c r="E1256" s="5" t="s">
        <v>50</v>
      </c>
      <c r="F1256" s="5" t="str">
        <f>VLOOKUP(B1256,'Türkkep Jira'!B:F,5,0)</f>
        <v>Done</v>
      </c>
      <c r="G1256" t="str">
        <f>IF(IFERROR(VLOOKUP(B1256,'Devam Eden Sprint'!B:B,1,0),"-")=B1256,"Devam Eden Sprint","-")</f>
        <v>Devam Eden Sprint</v>
      </c>
      <c r="H1256" t="str">
        <f>IF(IFERROR(VLOOKUP(B1256,'Gelecek Sprint'!B:B,1,0),"-")=B1256,"Gelecek Sprint","-")</f>
        <v>-</v>
      </c>
      <c r="I1256" t="str">
        <f t="shared" si="38"/>
        <v>Devam Eden Sprint</v>
      </c>
      <c r="J1256">
        <v>2</v>
      </c>
    </row>
    <row r="1257" spans="1:10" x14ac:dyDescent="0.25">
      <c r="A1257" t="s">
        <v>14</v>
      </c>
      <c r="B1257" t="s">
        <v>2785</v>
      </c>
      <c r="C1257" t="s">
        <v>16</v>
      </c>
      <c r="D1257" t="s">
        <v>2791</v>
      </c>
      <c r="E1257" s="5" t="s">
        <v>12</v>
      </c>
      <c r="F1257" s="5" t="e">
        <f>VLOOKUP(B1257,'Türkkep Jira'!B:F,5,0)</f>
        <v>#N/A</v>
      </c>
      <c r="G1257" t="str">
        <f>IF(IFERROR(VLOOKUP(B1257,'Devam Eden Sprint'!B:B,1,0),"-")=B1257,"Devam Eden Sprint","-")</f>
        <v>Devam Eden Sprint</v>
      </c>
      <c r="H1257" t="str">
        <f>IF(IFERROR(VLOOKUP(B1257,'Gelecek Sprint'!B:B,1,0),"-")=B1257,"Gelecek Sprint","-")</f>
        <v>Gelecek Sprint</v>
      </c>
      <c r="I1257" t="str">
        <f t="shared" si="38"/>
        <v>Devam Eden ve Gelecek Sprint</v>
      </c>
      <c r="J1257">
        <v>2</v>
      </c>
    </row>
    <row r="1258" spans="1:10" x14ac:dyDescent="0.25">
      <c r="A1258" t="s">
        <v>14</v>
      </c>
      <c r="B1258" t="s">
        <v>2786</v>
      </c>
      <c r="C1258" t="s">
        <v>28</v>
      </c>
      <c r="D1258" t="s">
        <v>2792</v>
      </c>
      <c r="E1258" s="5" t="s">
        <v>12</v>
      </c>
      <c r="F1258" s="5" t="e">
        <f>VLOOKUP(B1258,'Türkkep Jira'!B:F,5,0)</f>
        <v>#N/A</v>
      </c>
      <c r="G1258" t="str">
        <f>IF(IFERROR(VLOOKUP(B1258,'Devam Eden Sprint'!B:B,1,0),"-")=B1258,"Devam Eden Sprint","-")</f>
        <v>Devam Eden Sprint</v>
      </c>
      <c r="H1258" t="str">
        <f>IF(IFERROR(VLOOKUP(B1258,'Gelecek Sprint'!B:B,1,0),"-")=B1258,"Gelecek Sprint","-")</f>
        <v>Gelecek Sprint</v>
      </c>
      <c r="I1258" t="str">
        <f t="shared" si="38"/>
        <v>Devam Eden ve Gelecek Sprint</v>
      </c>
      <c r="J1258">
        <v>5</v>
      </c>
    </row>
    <row r="1259" spans="1:10" x14ac:dyDescent="0.25">
      <c r="A1259" t="s">
        <v>14</v>
      </c>
      <c r="B1259" t="s">
        <v>2787</v>
      </c>
      <c r="C1259" t="s">
        <v>16</v>
      </c>
      <c r="D1259" t="s">
        <v>2793</v>
      </c>
      <c r="E1259" s="5" t="s">
        <v>12</v>
      </c>
      <c r="F1259" s="5" t="e">
        <f>VLOOKUP(B1259,'Türkkep Jira'!B:F,5,0)</f>
        <v>#N/A</v>
      </c>
      <c r="G1259" t="str">
        <f>IF(IFERROR(VLOOKUP(B1259,'Devam Eden Sprint'!B:B,1,0),"-")=B1259,"Devam Eden Sprint","-")</f>
        <v>Devam Eden Sprint</v>
      </c>
      <c r="H1259" t="str">
        <f>IF(IFERROR(VLOOKUP(B1259,'Gelecek Sprint'!B:B,1,0),"-")=B1259,"Gelecek Sprint","-")</f>
        <v>Gelecek Sprint</v>
      </c>
      <c r="I1259" t="str">
        <f t="shared" si="38"/>
        <v>Devam Eden ve Gelecek Sprint</v>
      </c>
      <c r="J1259">
        <v>3</v>
      </c>
    </row>
    <row r="1260" spans="1:10" x14ac:dyDescent="0.25">
      <c r="A1260" t="s">
        <v>14</v>
      </c>
      <c r="B1260" t="s">
        <v>2788</v>
      </c>
      <c r="C1260" t="s">
        <v>26</v>
      </c>
      <c r="D1260" t="s">
        <v>2794</v>
      </c>
      <c r="E1260" s="5" t="s">
        <v>12</v>
      </c>
      <c r="F1260" s="5" t="e">
        <f>VLOOKUP(B1260,'Türkkep Jira'!B:F,5,0)</f>
        <v>#N/A</v>
      </c>
      <c r="G1260" t="str">
        <f>IF(IFERROR(VLOOKUP(B1260,'Devam Eden Sprint'!B:B,1,0),"-")=B1260,"Devam Eden Sprint","-")</f>
        <v>Devam Eden Sprint</v>
      </c>
      <c r="H1260" t="str">
        <f>IF(IFERROR(VLOOKUP(B1260,'Gelecek Sprint'!B:B,1,0),"-")=B1260,"Gelecek Sprint","-")</f>
        <v>Gelecek Sprint</v>
      </c>
      <c r="I1260" t="str">
        <f t="shared" si="38"/>
        <v>Devam Eden ve Gelecek Sprint</v>
      </c>
      <c r="J1260">
        <v>5</v>
      </c>
    </row>
    <row r="1261" spans="1:10" x14ac:dyDescent="0.25">
      <c r="A1261" t="s">
        <v>14</v>
      </c>
      <c r="B1261" t="s">
        <v>2789</v>
      </c>
      <c r="C1261" t="s">
        <v>27</v>
      </c>
      <c r="D1261" t="s">
        <v>2795</v>
      </c>
      <c r="E1261" s="5" t="s">
        <v>12</v>
      </c>
      <c r="F1261" s="5" t="str">
        <f>VLOOKUP(B1261,'Türkkep Jira'!B:F,5,0)</f>
        <v>TO TEST</v>
      </c>
      <c r="G1261" t="str">
        <f>IF(IFERROR(VLOOKUP(B1261,'Devam Eden Sprint'!B:B,1,0),"-")=B1261,"Devam Eden Sprint","-")</f>
        <v>Devam Eden Sprint</v>
      </c>
      <c r="H1261" t="str">
        <f>IF(IFERROR(VLOOKUP(B1261,'Gelecek Sprint'!B:B,1,0),"-")=B1261,"Gelecek Sprint","-")</f>
        <v>Gelecek Sprint</v>
      </c>
      <c r="I1261" t="str">
        <f t="shared" si="38"/>
        <v>Devam Eden ve Gelecek Sprint</v>
      </c>
      <c r="J1261">
        <v>3</v>
      </c>
    </row>
    <row r="1262" spans="1:10" x14ac:dyDescent="0.25">
      <c r="A1262" t="s">
        <v>14</v>
      </c>
      <c r="B1262" t="s">
        <v>2790</v>
      </c>
      <c r="C1262" t="s">
        <v>27</v>
      </c>
      <c r="D1262" t="s">
        <v>2796</v>
      </c>
      <c r="E1262" s="5" t="s">
        <v>12</v>
      </c>
      <c r="F1262" s="5" t="str">
        <f>VLOOKUP(B1262,'Türkkep Jira'!B:F,5,0)</f>
        <v>TO TEST</v>
      </c>
      <c r="G1262" t="str">
        <f>IF(IFERROR(VLOOKUP(B1262,'Devam Eden Sprint'!B:B,1,0),"-")=B1262,"Devam Eden Sprint","-")</f>
        <v>Devam Eden Sprint</v>
      </c>
      <c r="H1262" t="str">
        <f>IF(IFERROR(VLOOKUP(B1262,'Gelecek Sprint'!B:B,1,0),"-")=B1262,"Gelecek Sprint","-")</f>
        <v>Gelecek Sprint</v>
      </c>
      <c r="I1262" t="str">
        <f t="shared" si="38"/>
        <v>Devam Eden ve Gelecek Sprint</v>
      </c>
      <c r="J1262">
        <v>3</v>
      </c>
    </row>
    <row r="1263" spans="1:10" x14ac:dyDescent="0.25">
      <c r="A1263" t="s">
        <v>14</v>
      </c>
      <c r="B1263" t="s">
        <v>2799</v>
      </c>
      <c r="C1263" t="s">
        <v>27</v>
      </c>
      <c r="D1263" t="s">
        <v>2809</v>
      </c>
      <c r="E1263" s="5" t="s">
        <v>1620</v>
      </c>
      <c r="F1263" s="5" t="e">
        <f>VLOOKUP(B1263,'Türkkep Jira'!B:F,5,0)</f>
        <v>#N/A</v>
      </c>
      <c r="G1263" t="str">
        <f>IF(IFERROR(VLOOKUP(B1263,'Devam Eden Sprint'!B:B,1,0),"-")=B1263,"Devam Eden Sprint","-")</f>
        <v>Devam Eden Sprint</v>
      </c>
      <c r="H1263" t="str">
        <f>IF(IFERROR(VLOOKUP(B1263,'Gelecek Sprint'!B:B,1,0),"-")=B1263,"Gelecek Sprint","-")</f>
        <v>Gelecek Sprint</v>
      </c>
      <c r="I1263" t="str">
        <f t="shared" ref="I1263:I1273" si="39">IFERROR(IF(AND(G1263="Devam Eden Sprint",H1263="Gelecek Sprint"),"Devam Eden ve Gelecek Sprint",IF(G1263="Devam Eden Sprint","Devam Eden Sprint",IF(H1263="Gelecek Sprint","Gelecek Sprint","Ürün İş Listesi"))),"Ürün İş Listesi")</f>
        <v>Devam Eden ve Gelecek Sprint</v>
      </c>
      <c r="J1263">
        <v>1</v>
      </c>
    </row>
    <row r="1264" spans="1:10" x14ac:dyDescent="0.25">
      <c r="A1264" t="s">
        <v>14</v>
      </c>
      <c r="B1264" t="s">
        <v>2800</v>
      </c>
      <c r="C1264" t="s">
        <v>26</v>
      </c>
      <c r="D1264" t="s">
        <v>2810</v>
      </c>
      <c r="E1264" s="5" t="s">
        <v>1620</v>
      </c>
      <c r="F1264" s="5" t="str">
        <f>VLOOKUP(B1264,'Türkkep Jira'!B:F,5,0)</f>
        <v>Development</v>
      </c>
      <c r="G1264" t="str">
        <f>IF(IFERROR(VLOOKUP(B1264,'Devam Eden Sprint'!B:B,1,0),"-")=B1264,"Devam Eden Sprint","-")</f>
        <v>Devam Eden Sprint</v>
      </c>
      <c r="H1264" t="str">
        <f>IF(IFERROR(VLOOKUP(B1264,'Gelecek Sprint'!B:B,1,0),"-")=B1264,"Gelecek Sprint","-")</f>
        <v>Gelecek Sprint</v>
      </c>
      <c r="I1264" t="str">
        <f t="shared" si="39"/>
        <v>Devam Eden ve Gelecek Sprint</v>
      </c>
      <c r="J1264">
        <v>3</v>
      </c>
    </row>
    <row r="1265" spans="1:10" x14ac:dyDescent="0.25">
      <c r="A1265" t="s">
        <v>14</v>
      </c>
      <c r="B1265" t="s">
        <v>2801</v>
      </c>
      <c r="C1265" t="s">
        <v>27</v>
      </c>
      <c r="D1265" t="s">
        <v>2811</v>
      </c>
      <c r="E1265" s="5" t="s">
        <v>1620</v>
      </c>
      <c r="F1265" s="5" t="e">
        <f>VLOOKUP(B1265,'Türkkep Jira'!B:F,5,0)</f>
        <v>#N/A</v>
      </c>
      <c r="G1265" t="str">
        <f>IF(IFERROR(VLOOKUP(B1265,'Devam Eden Sprint'!B:B,1,0),"-")=B1265,"Devam Eden Sprint","-")</f>
        <v>Devam Eden Sprint</v>
      </c>
      <c r="H1265" t="str">
        <f>IF(IFERROR(VLOOKUP(B1265,'Gelecek Sprint'!B:B,1,0),"-")=B1265,"Gelecek Sprint","-")</f>
        <v>Gelecek Sprint</v>
      </c>
      <c r="I1265" t="str">
        <f t="shared" si="39"/>
        <v>Devam Eden ve Gelecek Sprint</v>
      </c>
      <c r="J1265">
        <v>2</v>
      </c>
    </row>
    <row r="1266" spans="1:10" x14ac:dyDescent="0.25">
      <c r="A1266" t="s">
        <v>14</v>
      </c>
      <c r="B1266" t="s">
        <v>2802</v>
      </c>
      <c r="C1266" t="s">
        <v>27</v>
      </c>
      <c r="D1266" t="s">
        <v>2812</v>
      </c>
      <c r="E1266" s="5" t="s">
        <v>1620</v>
      </c>
      <c r="F1266" s="5" t="e">
        <f>VLOOKUP(B1266,'Türkkep Jira'!B:F,5,0)</f>
        <v>#N/A</v>
      </c>
      <c r="G1266" t="str">
        <f>IF(IFERROR(VLOOKUP(B1266,'Devam Eden Sprint'!B:B,1,0),"-")=B1266,"Devam Eden Sprint","-")</f>
        <v>Devam Eden Sprint</v>
      </c>
      <c r="H1266" t="str">
        <f>IF(IFERROR(VLOOKUP(B1266,'Gelecek Sprint'!B:B,1,0),"-")=B1266,"Gelecek Sprint","-")</f>
        <v>Gelecek Sprint</v>
      </c>
      <c r="I1266" t="str">
        <f t="shared" si="39"/>
        <v>Devam Eden ve Gelecek Sprint</v>
      </c>
      <c r="J1266">
        <v>1</v>
      </c>
    </row>
    <row r="1267" spans="1:10" x14ac:dyDescent="0.25">
      <c r="A1267" t="s">
        <v>14</v>
      </c>
      <c r="B1267" t="s">
        <v>2803</v>
      </c>
      <c r="C1267" t="s">
        <v>27</v>
      </c>
      <c r="D1267" t="s">
        <v>2813</v>
      </c>
      <c r="E1267" s="5" t="s">
        <v>1620</v>
      </c>
      <c r="F1267" s="5" t="e">
        <f>VLOOKUP(B1267,'Türkkep Jira'!B:F,5,0)</f>
        <v>#N/A</v>
      </c>
      <c r="G1267" t="str">
        <f>IF(IFERROR(VLOOKUP(B1267,'Devam Eden Sprint'!B:B,1,0),"-")=B1267,"Devam Eden Sprint","-")</f>
        <v>Devam Eden Sprint</v>
      </c>
      <c r="H1267" t="str">
        <f>IF(IFERROR(VLOOKUP(B1267,'Gelecek Sprint'!B:B,1,0),"-")=B1267,"Gelecek Sprint","-")</f>
        <v>Gelecek Sprint</v>
      </c>
      <c r="I1267" t="str">
        <f t="shared" si="39"/>
        <v>Devam Eden ve Gelecek Sprint</v>
      </c>
      <c r="J1267">
        <v>1</v>
      </c>
    </row>
    <row r="1268" spans="1:10" x14ac:dyDescent="0.25">
      <c r="A1268" t="s">
        <v>77</v>
      </c>
      <c r="B1268" t="s">
        <v>2804</v>
      </c>
      <c r="C1268" t="s">
        <v>16</v>
      </c>
      <c r="D1268" t="s">
        <v>2815</v>
      </c>
      <c r="E1268" s="5" t="s">
        <v>53</v>
      </c>
      <c r="F1268" s="5" t="str">
        <f>VLOOKUP(B1268,'Türkkep Jira'!B:F,5,0)</f>
        <v>Done</v>
      </c>
      <c r="G1268" t="str">
        <f>IF(IFERROR(VLOOKUP(B1268,'Devam Eden Sprint'!B:B,1,0),"-")=B1268,"Devam Eden Sprint","-")</f>
        <v>Devam Eden Sprint</v>
      </c>
      <c r="H1268" t="str">
        <f>IF(IFERROR(VLOOKUP(B1268,'Gelecek Sprint'!B:B,1,0),"-")=B1268,"Gelecek Sprint","-")</f>
        <v>-</v>
      </c>
      <c r="I1268" t="str">
        <f t="shared" si="39"/>
        <v>Devam Eden Sprint</v>
      </c>
      <c r="J1268">
        <v>2</v>
      </c>
    </row>
    <row r="1269" spans="1:10" x14ac:dyDescent="0.25">
      <c r="A1269" t="s">
        <v>14</v>
      </c>
      <c r="B1269" t="s">
        <v>2805</v>
      </c>
      <c r="C1269" t="s">
        <v>16</v>
      </c>
      <c r="D1269" t="s">
        <v>2816</v>
      </c>
      <c r="E1269" s="5" t="s">
        <v>53</v>
      </c>
      <c r="F1269" s="5" t="str">
        <f>VLOOKUP(B1269,'Türkkep Jira'!B:F,5,0)</f>
        <v>Done</v>
      </c>
      <c r="G1269" t="str">
        <f>IF(IFERROR(VLOOKUP(B1269,'Devam Eden Sprint'!B:B,1,0),"-")=B1269,"Devam Eden Sprint","-")</f>
        <v>Devam Eden Sprint</v>
      </c>
      <c r="H1269" t="str">
        <f>IF(IFERROR(VLOOKUP(B1269,'Gelecek Sprint'!B:B,1,0),"-")=B1269,"Gelecek Sprint","-")</f>
        <v>-</v>
      </c>
      <c r="I1269" t="str">
        <f t="shared" si="39"/>
        <v>Devam Eden Sprint</v>
      </c>
      <c r="J1269">
        <v>1</v>
      </c>
    </row>
    <row r="1270" spans="1:10" x14ac:dyDescent="0.25">
      <c r="A1270" t="s">
        <v>14</v>
      </c>
      <c r="B1270" t="s">
        <v>2806</v>
      </c>
      <c r="C1270" t="s">
        <v>16</v>
      </c>
      <c r="D1270" t="s">
        <v>2817</v>
      </c>
      <c r="E1270" s="5" t="s">
        <v>53</v>
      </c>
      <c r="F1270" s="5" t="str">
        <f>VLOOKUP(B1270,'Türkkep Jira'!B:F,5,0)</f>
        <v>Done</v>
      </c>
      <c r="G1270" t="str">
        <f>IF(IFERROR(VLOOKUP(B1270,'Devam Eden Sprint'!B:B,1,0),"-")=B1270,"Devam Eden Sprint","-")</f>
        <v>Devam Eden Sprint</v>
      </c>
      <c r="H1270" t="str">
        <f>IF(IFERROR(VLOOKUP(B1270,'Gelecek Sprint'!B:B,1,0),"-")=B1270,"Gelecek Sprint","-")</f>
        <v>-</v>
      </c>
      <c r="I1270" t="str">
        <f t="shared" si="39"/>
        <v>Devam Eden Sprint</v>
      </c>
      <c r="J1270">
        <v>2</v>
      </c>
    </row>
    <row r="1271" spans="1:10" x14ac:dyDescent="0.25">
      <c r="A1271" t="s">
        <v>77</v>
      </c>
      <c r="B1271" t="s">
        <v>2807</v>
      </c>
      <c r="C1271" t="s">
        <v>27</v>
      </c>
      <c r="D1271" t="s">
        <v>2818</v>
      </c>
      <c r="E1271" s="5" t="s">
        <v>47</v>
      </c>
      <c r="F1271" s="5" t="e">
        <f>VLOOKUP(B1271,'Türkkep Jira'!B:F,5,0)</f>
        <v>#N/A</v>
      </c>
      <c r="G1271" t="str">
        <f>IF(IFERROR(VLOOKUP(B1271,'Devam Eden Sprint'!B:B,1,0),"-")=B1271,"Devam Eden Sprint","-")</f>
        <v>Devam Eden Sprint</v>
      </c>
      <c r="H1271" t="str">
        <f>IF(IFERROR(VLOOKUP(B1271,'Gelecek Sprint'!B:B,1,0),"-")=B1271,"Gelecek Sprint","-")</f>
        <v>Gelecek Sprint</v>
      </c>
      <c r="I1271" t="str">
        <f t="shared" si="39"/>
        <v>Devam Eden ve Gelecek Sprint</v>
      </c>
      <c r="J1271">
        <v>2</v>
      </c>
    </row>
    <row r="1272" spans="1:10" x14ac:dyDescent="0.25">
      <c r="A1272" t="s">
        <v>14</v>
      </c>
      <c r="B1272" t="s">
        <v>2808</v>
      </c>
      <c r="C1272" t="s">
        <v>27</v>
      </c>
      <c r="D1272" t="s">
        <v>2819</v>
      </c>
      <c r="E1272" s="5" t="s">
        <v>47</v>
      </c>
      <c r="F1272" s="5" t="e">
        <f>VLOOKUP(B1272,'Türkkep Jira'!B:F,5,0)</f>
        <v>#N/A</v>
      </c>
      <c r="G1272" t="str">
        <f>IF(IFERROR(VLOOKUP(B1272,'Devam Eden Sprint'!B:B,1,0),"-")=B1272,"Devam Eden Sprint","-")</f>
        <v>Devam Eden Sprint</v>
      </c>
      <c r="H1272" t="str">
        <f>IF(IFERROR(VLOOKUP(B1272,'Gelecek Sprint'!B:B,1,0),"-")=B1272,"Gelecek Sprint","-")</f>
        <v>Gelecek Sprint</v>
      </c>
      <c r="I1272" t="str">
        <f t="shared" si="39"/>
        <v>Devam Eden ve Gelecek Sprint</v>
      </c>
      <c r="J1272">
        <v>3</v>
      </c>
    </row>
    <row r="1273" spans="1:10" x14ac:dyDescent="0.25">
      <c r="A1273" t="s">
        <v>77</v>
      </c>
      <c r="B1273" t="s">
        <v>2797</v>
      </c>
      <c r="C1273" t="s">
        <v>10</v>
      </c>
      <c r="D1273" t="s">
        <v>2798</v>
      </c>
      <c r="E1273" s="5" t="s">
        <v>1620</v>
      </c>
      <c r="F1273" s="5" t="e">
        <f>VLOOKUP(B1273,'Türkkep Jira'!B:F,5,0)</f>
        <v>#N/A</v>
      </c>
      <c r="G1273" t="str">
        <f>IF(IFERROR(VLOOKUP(B1273,'Devam Eden Sprint'!B:B,1,0),"-")=B1273,"Devam Eden Sprint","-")</f>
        <v>-</v>
      </c>
      <c r="H1273" t="str">
        <f>IF(IFERROR(VLOOKUP(B1273,'Gelecek Sprint'!B:B,1,0),"-")=B1273,"Gelecek Sprint","-")</f>
        <v>-</v>
      </c>
      <c r="I1273" t="str">
        <f t="shared" si="39"/>
        <v>Ürün İş Listesi</v>
      </c>
      <c r="J1273">
        <v>1</v>
      </c>
    </row>
    <row r="1274" spans="1:10" x14ac:dyDescent="0.25">
      <c r="A1274" t="s">
        <v>77</v>
      </c>
      <c r="B1274" t="s">
        <v>2997</v>
      </c>
      <c r="C1274" t="s">
        <v>16</v>
      </c>
      <c r="D1274" t="s">
        <v>2998</v>
      </c>
      <c r="E1274" s="5" t="s">
        <v>41</v>
      </c>
      <c r="F1274" s="5" t="e">
        <f>VLOOKUP(B1274,'Türkkep Jira'!B:F,5,0)</f>
        <v>#N/A</v>
      </c>
      <c r="G1274" t="str">
        <f>IF(IFERROR(VLOOKUP(B1274,'Devam Eden Sprint'!B:B,1,0),"-")=B1274,"Devam Eden Sprint","-")</f>
        <v>Devam Eden Sprint</v>
      </c>
      <c r="H1274" t="str">
        <f>IF(IFERROR(VLOOKUP(B1274,'Gelecek Sprint'!B:B,1,0),"-")=B1274,"Gelecek Sprint","-")</f>
        <v>-</v>
      </c>
      <c r="I1274" t="str">
        <f t="shared" ref="I1274:I1279" si="40">IFERROR(IF(AND(G1274="Devam Eden Sprint",H1274="Gelecek Sprint"),"Devam Eden ve Gelecek Sprint",IF(G1274="Devam Eden Sprint","Devam Eden Sprint",IF(H1274="Gelecek Sprint","Gelecek Sprint","Ürün İş Listesi"))),"Ürün İş Listesi")</f>
        <v>Devam Eden Sprint</v>
      </c>
      <c r="J1274"/>
    </row>
    <row r="1275" spans="1:10" x14ac:dyDescent="0.25">
      <c r="A1275" t="s">
        <v>14</v>
      </c>
      <c r="B1275" t="s">
        <v>2999</v>
      </c>
      <c r="C1275" t="s">
        <v>16</v>
      </c>
      <c r="D1275" t="s">
        <v>3000</v>
      </c>
      <c r="E1275" s="5" t="s">
        <v>41</v>
      </c>
      <c r="F1275" s="5" t="e">
        <f>VLOOKUP(B1275,'Türkkep Jira'!B:F,5,0)</f>
        <v>#N/A</v>
      </c>
      <c r="G1275" t="str">
        <f>IF(IFERROR(VLOOKUP(B1275,'Devam Eden Sprint'!B:B,1,0),"-")=B1275,"Devam Eden Sprint","-")</f>
        <v>Devam Eden Sprint</v>
      </c>
      <c r="H1275" t="str">
        <f>IF(IFERROR(VLOOKUP(B1275,'Gelecek Sprint'!B:B,1,0),"-")=B1275,"Gelecek Sprint","-")</f>
        <v>-</v>
      </c>
      <c r="I1275" t="str">
        <f t="shared" si="40"/>
        <v>Devam Eden Sprint</v>
      </c>
      <c r="J1275"/>
    </row>
    <row r="1276" spans="1:10" x14ac:dyDescent="0.25">
      <c r="A1276" t="s">
        <v>77</v>
      </c>
      <c r="B1276" t="s">
        <v>3001</v>
      </c>
      <c r="C1276" t="s">
        <v>16</v>
      </c>
      <c r="D1276" t="s">
        <v>3002</v>
      </c>
      <c r="E1276" s="5" t="s">
        <v>41</v>
      </c>
      <c r="F1276" s="5" t="e">
        <f>VLOOKUP(B1276,'Türkkep Jira'!B:F,5,0)</f>
        <v>#N/A</v>
      </c>
      <c r="G1276" t="str">
        <f>IF(IFERROR(VLOOKUP(B1276,'Devam Eden Sprint'!B:B,1,0),"-")=B1276,"Devam Eden Sprint","-")</f>
        <v>Devam Eden Sprint</v>
      </c>
      <c r="H1276" t="str">
        <f>IF(IFERROR(VLOOKUP(B1276,'Gelecek Sprint'!B:B,1,0),"-")=B1276,"Gelecek Sprint","-")</f>
        <v>-</v>
      </c>
      <c r="I1276" t="str">
        <f t="shared" si="40"/>
        <v>Devam Eden Sprint</v>
      </c>
      <c r="J1276"/>
    </row>
    <row r="1277" spans="1:10" x14ac:dyDescent="0.25">
      <c r="A1277" t="s">
        <v>77</v>
      </c>
      <c r="B1277" t="s">
        <v>3003</v>
      </c>
      <c r="C1277" t="s">
        <v>16</v>
      </c>
      <c r="D1277" t="s">
        <v>3004</v>
      </c>
      <c r="E1277" s="5" t="s">
        <v>41</v>
      </c>
      <c r="F1277" s="5" t="e">
        <f>VLOOKUP(B1277,'Türkkep Jira'!B:F,5,0)</f>
        <v>#N/A</v>
      </c>
      <c r="G1277" t="str">
        <f>IF(IFERROR(VLOOKUP(B1277,'Devam Eden Sprint'!B:B,1,0),"-")=B1277,"Devam Eden Sprint","-")</f>
        <v>Devam Eden Sprint</v>
      </c>
      <c r="H1277" t="str">
        <f>IF(IFERROR(VLOOKUP(B1277,'Gelecek Sprint'!B:B,1,0),"-")=B1277,"Gelecek Sprint","-")</f>
        <v>-</v>
      </c>
      <c r="I1277" t="str">
        <f t="shared" si="40"/>
        <v>Devam Eden Sprint</v>
      </c>
      <c r="J1277"/>
    </row>
    <row r="1278" spans="1:10" x14ac:dyDescent="0.25">
      <c r="A1278" t="s">
        <v>77</v>
      </c>
      <c r="B1278" t="s">
        <v>3005</v>
      </c>
      <c r="C1278" t="s">
        <v>16</v>
      </c>
      <c r="D1278" t="s">
        <v>3006</v>
      </c>
      <c r="E1278" s="5" t="s">
        <v>41</v>
      </c>
      <c r="F1278" s="5" t="e">
        <f>VLOOKUP(B1278,'Türkkep Jira'!B:F,5,0)</f>
        <v>#N/A</v>
      </c>
      <c r="G1278" t="str">
        <f>IF(IFERROR(VLOOKUP(B1278,'Devam Eden Sprint'!B:B,1,0),"-")=B1278,"Devam Eden Sprint","-")</f>
        <v>Devam Eden Sprint</v>
      </c>
      <c r="H1278" t="str">
        <f>IF(IFERROR(VLOOKUP(B1278,'Gelecek Sprint'!B:B,1,0),"-")=B1278,"Gelecek Sprint","-")</f>
        <v>-</v>
      </c>
      <c r="I1278" t="str">
        <f t="shared" si="40"/>
        <v>Devam Eden Sprint</v>
      </c>
      <c r="J1278"/>
    </row>
    <row r="1279" spans="1:10" x14ac:dyDescent="0.25">
      <c r="A1279" t="s">
        <v>77</v>
      </c>
      <c r="B1279" t="s">
        <v>3007</v>
      </c>
      <c r="C1279" t="s">
        <v>16</v>
      </c>
      <c r="D1279" t="s">
        <v>3008</v>
      </c>
      <c r="E1279" s="5" t="s">
        <v>41</v>
      </c>
      <c r="F1279" s="5" t="e">
        <f>VLOOKUP(B1279,'Türkkep Jira'!B:F,5,0)</f>
        <v>#N/A</v>
      </c>
      <c r="G1279" t="str">
        <f>IF(IFERROR(VLOOKUP(B1279,'Devam Eden Sprint'!B:B,1,0),"-")=B1279,"Devam Eden Sprint","-")</f>
        <v>Devam Eden Sprint</v>
      </c>
      <c r="H1279" t="str">
        <f>IF(IFERROR(VLOOKUP(B1279,'Gelecek Sprint'!B:B,1,0),"-")=B1279,"Gelecek Sprint","-")</f>
        <v>-</v>
      </c>
      <c r="I1279" t="str">
        <f t="shared" si="40"/>
        <v>Devam Eden Sprint</v>
      </c>
      <c r="J1279"/>
    </row>
    <row r="1280" spans="1:10" x14ac:dyDescent="0.25">
      <c r="A1280" t="s">
        <v>14</v>
      </c>
      <c r="B1280" t="s">
        <v>3020</v>
      </c>
      <c r="C1280" t="s">
        <v>27</v>
      </c>
      <c r="D1280" t="s">
        <v>3021</v>
      </c>
      <c r="E1280" s="5" t="s">
        <v>50</v>
      </c>
      <c r="F1280" s="5" t="str">
        <f>VLOOKUP(B1280,'Türkkep Jira'!B:F,5,0)</f>
        <v>TO TEST</v>
      </c>
      <c r="G1280" t="str">
        <f>IF(IFERROR(VLOOKUP(B1280,'Devam Eden Sprint'!B:B,1,0),"-")=B1280,"Devam Eden Sprint","-")</f>
        <v>Devam Eden Sprint</v>
      </c>
      <c r="H1280" t="str">
        <f>IF(IFERROR(VLOOKUP(B1280,'Gelecek Sprint'!B:B,1,0),"-")=B1280,"Gelecek Sprint","-")</f>
        <v>Gelecek Sprint</v>
      </c>
      <c r="I1280" t="str">
        <f t="shared" ref="I1280:I1303" si="41">IFERROR(IF(AND(G1280="Devam Eden Sprint",H1280="Gelecek Sprint"),"Devam Eden ve Gelecek Sprint",IF(G1280="Devam Eden Sprint","Devam Eden Sprint",IF(H1280="Gelecek Sprint","Gelecek Sprint","Ürün İş Listesi"))),"Ürün İş Listesi")</f>
        <v>Devam Eden ve Gelecek Sprint</v>
      </c>
      <c r="J1280"/>
    </row>
    <row r="1281" spans="1:10" x14ac:dyDescent="0.25">
      <c r="A1281" t="s">
        <v>14</v>
      </c>
      <c r="B1281" t="s">
        <v>3022</v>
      </c>
      <c r="C1281" t="s">
        <v>10</v>
      </c>
      <c r="D1281" t="s">
        <v>1298</v>
      </c>
      <c r="E1281" s="5" t="s">
        <v>50</v>
      </c>
      <c r="F1281" s="5" t="str">
        <f>VLOOKUP(B1281,'Türkkep Jira'!B:F,5,0)</f>
        <v>To Do</v>
      </c>
      <c r="G1281" t="str">
        <f>IF(IFERROR(VLOOKUP(B1281,'Devam Eden Sprint'!B:B,1,0),"-")=B1281,"Devam Eden Sprint","-")</f>
        <v>Devam Eden Sprint</v>
      </c>
      <c r="H1281" t="str">
        <f>IF(IFERROR(VLOOKUP(B1281,'Gelecek Sprint'!B:B,1,0),"-")=B1281,"Gelecek Sprint","-")</f>
        <v>Gelecek Sprint</v>
      </c>
      <c r="I1281" t="str">
        <f t="shared" si="41"/>
        <v>Devam Eden ve Gelecek Sprint</v>
      </c>
      <c r="J1281"/>
    </row>
    <row r="1282" spans="1:10" x14ac:dyDescent="0.25">
      <c r="A1282" t="s">
        <v>77</v>
      </c>
      <c r="B1282" t="s">
        <v>3024</v>
      </c>
      <c r="C1282" t="s">
        <v>16</v>
      </c>
      <c r="D1282" t="s">
        <v>3025</v>
      </c>
      <c r="E1282" s="5" t="s">
        <v>50</v>
      </c>
      <c r="F1282" s="5" t="e">
        <f>VLOOKUP(B1282,'Türkkep Jira'!B:F,5,0)</f>
        <v>#N/A</v>
      </c>
      <c r="G1282" t="str">
        <f>IF(IFERROR(VLOOKUP(B1282,'Devam Eden Sprint'!B:B,1,0),"-")=B1282,"Devam Eden Sprint","-")</f>
        <v>Devam Eden Sprint</v>
      </c>
      <c r="H1282" t="str">
        <f>IF(IFERROR(VLOOKUP(B1282,'Gelecek Sprint'!B:B,1,0),"-")=B1282,"Gelecek Sprint","-")</f>
        <v>Gelecek Sprint</v>
      </c>
      <c r="I1282" t="str">
        <f t="shared" si="41"/>
        <v>Devam Eden ve Gelecek Sprint</v>
      </c>
      <c r="J1282"/>
    </row>
    <row r="1283" spans="1:10" x14ac:dyDescent="0.25">
      <c r="A1283" t="s">
        <v>77</v>
      </c>
      <c r="B1283" t="s">
        <v>3026</v>
      </c>
      <c r="C1283" t="s">
        <v>16</v>
      </c>
      <c r="D1283" t="s">
        <v>3027</v>
      </c>
      <c r="E1283" s="5" t="s">
        <v>50</v>
      </c>
      <c r="F1283" s="5" t="e">
        <f>VLOOKUP(B1283,'Türkkep Jira'!B:F,5,0)</f>
        <v>#N/A</v>
      </c>
      <c r="G1283" t="str">
        <f>IF(IFERROR(VLOOKUP(B1283,'Devam Eden Sprint'!B:B,1,0),"-")=B1283,"Devam Eden Sprint","-")</f>
        <v>Devam Eden Sprint</v>
      </c>
      <c r="H1283" t="str">
        <f>IF(IFERROR(VLOOKUP(B1283,'Gelecek Sprint'!B:B,1,0),"-")=B1283,"Gelecek Sprint","-")</f>
        <v>Gelecek Sprint</v>
      </c>
      <c r="I1283" t="str">
        <f t="shared" si="41"/>
        <v>Devam Eden ve Gelecek Sprint</v>
      </c>
      <c r="J1283"/>
    </row>
    <row r="1284" spans="1:10" x14ac:dyDescent="0.25">
      <c r="A1284" t="s">
        <v>77</v>
      </c>
      <c r="B1284" t="s">
        <v>1884</v>
      </c>
      <c r="C1284" t="s">
        <v>16</v>
      </c>
      <c r="D1284" t="s">
        <v>1946</v>
      </c>
      <c r="E1284" s="5" t="s">
        <v>56</v>
      </c>
      <c r="F1284" s="5" t="str">
        <f>VLOOKUP(B1284,'Türkkep Jira'!B:F,5,0)</f>
        <v>Done</v>
      </c>
      <c r="G1284" t="str">
        <f>IF(IFERROR(VLOOKUP(B1284,'Devam Eden Sprint'!B:B,1,0),"-")=B1284,"Devam Eden Sprint","-")</f>
        <v>Devam Eden Sprint</v>
      </c>
      <c r="H1284" t="str">
        <f>IF(IFERROR(VLOOKUP(B1284,'Gelecek Sprint'!B:B,1,0),"-")=B1284,"Gelecek Sprint","-")</f>
        <v>-</v>
      </c>
      <c r="I1284" t="str">
        <f t="shared" si="41"/>
        <v>Devam Eden Sprint</v>
      </c>
      <c r="J1284"/>
    </row>
    <row r="1285" spans="1:10" x14ac:dyDescent="0.25">
      <c r="A1285" t="s">
        <v>14</v>
      </c>
      <c r="B1285" t="s">
        <v>3035</v>
      </c>
      <c r="C1285" t="s">
        <v>16</v>
      </c>
      <c r="D1285" t="s">
        <v>3036</v>
      </c>
      <c r="E1285" s="5" t="s">
        <v>12</v>
      </c>
      <c r="F1285" s="5" t="str">
        <f>VLOOKUP(B1285,'Türkkep Jira'!B:F,5,0)</f>
        <v>Done</v>
      </c>
      <c r="G1285" t="str">
        <f>IF(IFERROR(VLOOKUP(B1285,'Devam Eden Sprint'!B:B,1,0),"-")=B1285,"Devam Eden Sprint","-")</f>
        <v>Devam Eden Sprint</v>
      </c>
      <c r="H1285" t="str">
        <f>IF(IFERROR(VLOOKUP(B1285,'Gelecek Sprint'!B:B,1,0),"-")=B1285,"Gelecek Sprint","-")</f>
        <v>-</v>
      </c>
      <c r="I1285" t="str">
        <f t="shared" si="41"/>
        <v>Devam Eden Sprint</v>
      </c>
      <c r="J1285"/>
    </row>
    <row r="1286" spans="1:10" x14ac:dyDescent="0.25">
      <c r="A1286" t="s">
        <v>14</v>
      </c>
      <c r="B1286" t="s">
        <v>3037</v>
      </c>
      <c r="C1286" t="s">
        <v>16</v>
      </c>
      <c r="D1286" t="s">
        <v>3038</v>
      </c>
      <c r="E1286" s="5" t="s">
        <v>12</v>
      </c>
      <c r="F1286" s="5" t="str">
        <f>VLOOKUP(B1286,'Türkkep Jira'!B:F,5,0)</f>
        <v>Done</v>
      </c>
      <c r="G1286" t="str">
        <f>IF(IFERROR(VLOOKUP(B1286,'Devam Eden Sprint'!B:B,1,0),"-")=B1286,"Devam Eden Sprint","-")</f>
        <v>Devam Eden Sprint</v>
      </c>
      <c r="H1286" t="str">
        <f>IF(IFERROR(VLOOKUP(B1286,'Gelecek Sprint'!B:B,1,0),"-")=B1286,"Gelecek Sprint","-")</f>
        <v>-</v>
      </c>
      <c r="I1286" t="str">
        <f t="shared" si="41"/>
        <v>Devam Eden Sprint</v>
      </c>
      <c r="J1286"/>
    </row>
    <row r="1287" spans="1:10" x14ac:dyDescent="0.25">
      <c r="A1287" t="s">
        <v>14</v>
      </c>
      <c r="B1287" t="s">
        <v>3044</v>
      </c>
      <c r="C1287" t="s">
        <v>16</v>
      </c>
      <c r="D1287" t="s">
        <v>3046</v>
      </c>
      <c r="E1287" s="5" t="s">
        <v>1386</v>
      </c>
      <c r="F1287" s="5" t="e">
        <f>VLOOKUP(B1287,'Türkkep Jira'!B:F,5,0)</f>
        <v>#N/A</v>
      </c>
      <c r="G1287" t="str">
        <f>IF(IFERROR(VLOOKUP(B1287,'Devam Eden Sprint'!B:B,1,0),"-")=B1287,"Devam Eden Sprint","-")</f>
        <v>Devam Eden Sprint</v>
      </c>
      <c r="H1287" t="str">
        <f>IF(IFERROR(VLOOKUP(B1287,'Gelecek Sprint'!B:B,1,0),"-")=B1287,"Gelecek Sprint","-")</f>
        <v>Gelecek Sprint</v>
      </c>
      <c r="I1287" t="str">
        <f t="shared" si="41"/>
        <v>Devam Eden ve Gelecek Sprint</v>
      </c>
      <c r="J1287"/>
    </row>
    <row r="1288" spans="1:10" x14ac:dyDescent="0.25">
      <c r="A1288" t="s">
        <v>14</v>
      </c>
      <c r="B1288" t="s">
        <v>3047</v>
      </c>
      <c r="C1288" s="29" t="s">
        <v>3045</v>
      </c>
      <c r="D1288" t="s">
        <v>3048</v>
      </c>
      <c r="E1288" s="5" t="s">
        <v>38</v>
      </c>
      <c r="F1288" s="5" t="e">
        <f>VLOOKUP(B1288,'Türkkep Jira'!B:F,5,0)</f>
        <v>#N/A</v>
      </c>
      <c r="G1288" t="str">
        <f>IF(IFERROR(VLOOKUP(B1288,'Devam Eden Sprint'!B:B,1,0),"-")=B1288,"Devam Eden Sprint","-")</f>
        <v>Devam Eden Sprint</v>
      </c>
      <c r="H1288" t="str">
        <f>IF(IFERROR(VLOOKUP(B1288,'Gelecek Sprint'!B:B,1,0),"-")=B1288,"Gelecek Sprint","-")</f>
        <v>Gelecek Sprint</v>
      </c>
      <c r="I1288" t="str">
        <f t="shared" si="41"/>
        <v>Devam Eden ve Gelecek Sprint</v>
      </c>
      <c r="J1288"/>
    </row>
    <row r="1289" spans="1:10" x14ac:dyDescent="0.25">
      <c r="A1289" t="s">
        <v>14</v>
      </c>
      <c r="B1289" t="s">
        <v>3049</v>
      </c>
      <c r="C1289" s="29" t="s">
        <v>3045</v>
      </c>
      <c r="D1289" t="s">
        <v>3050</v>
      </c>
      <c r="E1289" s="5" t="s">
        <v>1386</v>
      </c>
      <c r="F1289" s="5" t="e">
        <f>VLOOKUP(B1289,'Türkkep Jira'!B:F,5,0)</f>
        <v>#N/A</v>
      </c>
      <c r="G1289" t="str">
        <f>IF(IFERROR(VLOOKUP(B1289,'Devam Eden Sprint'!B:B,1,0),"-")=B1289,"Devam Eden Sprint","-")</f>
        <v>Devam Eden Sprint</v>
      </c>
      <c r="H1289" t="str">
        <f>IF(IFERROR(VLOOKUP(B1289,'Gelecek Sprint'!B:B,1,0),"-")=B1289,"Gelecek Sprint","-")</f>
        <v>Gelecek Sprint</v>
      </c>
      <c r="I1289" t="str">
        <f t="shared" si="41"/>
        <v>Devam Eden ve Gelecek Sprint</v>
      </c>
      <c r="J1289"/>
    </row>
    <row r="1290" spans="1:10" x14ac:dyDescent="0.25">
      <c r="A1290" t="s">
        <v>14</v>
      </c>
      <c r="B1290" t="s">
        <v>3051</v>
      </c>
      <c r="C1290" s="29" t="s">
        <v>3045</v>
      </c>
      <c r="D1290" t="s">
        <v>3052</v>
      </c>
      <c r="E1290" s="5" t="s">
        <v>38</v>
      </c>
      <c r="F1290" s="5" t="e">
        <f>VLOOKUP(B1290,'Türkkep Jira'!B:F,5,0)</f>
        <v>#N/A</v>
      </c>
      <c r="G1290" t="str">
        <f>IF(IFERROR(VLOOKUP(B1290,'Devam Eden Sprint'!B:B,1,0),"-")=B1290,"Devam Eden Sprint","-")</f>
        <v>Devam Eden Sprint</v>
      </c>
      <c r="H1290" t="str">
        <f>IF(IFERROR(VLOOKUP(B1290,'Gelecek Sprint'!B:B,1,0),"-")=B1290,"Gelecek Sprint","-")</f>
        <v>Gelecek Sprint</v>
      </c>
      <c r="I1290" t="str">
        <f t="shared" si="41"/>
        <v>Devam Eden ve Gelecek Sprint</v>
      </c>
      <c r="J1290"/>
    </row>
    <row r="1291" spans="1:10" x14ac:dyDescent="0.25">
      <c r="A1291" t="s">
        <v>14</v>
      </c>
      <c r="B1291" t="s">
        <v>3053</v>
      </c>
      <c r="C1291" s="29" t="s">
        <v>16</v>
      </c>
      <c r="D1291" t="s">
        <v>3054</v>
      </c>
      <c r="E1291" s="5" t="s">
        <v>38</v>
      </c>
      <c r="F1291" s="5" t="e">
        <f>VLOOKUP(B1291,'Türkkep Jira'!B:F,5,0)</f>
        <v>#N/A</v>
      </c>
      <c r="G1291" t="str">
        <f>IF(IFERROR(VLOOKUP(B1291,'Devam Eden Sprint'!B:B,1,0),"-")=B1291,"Devam Eden Sprint","-")</f>
        <v>Devam Eden Sprint</v>
      </c>
      <c r="H1291" t="str">
        <f>IF(IFERROR(VLOOKUP(B1291,'Gelecek Sprint'!B:B,1,0),"-")=B1291,"Gelecek Sprint","-")</f>
        <v>-</v>
      </c>
      <c r="I1291" t="str">
        <f t="shared" si="41"/>
        <v>Devam Eden Sprint</v>
      </c>
      <c r="J1291"/>
    </row>
    <row r="1292" spans="1:10" x14ac:dyDescent="0.25">
      <c r="A1292" t="s">
        <v>77</v>
      </c>
      <c r="B1292" t="s">
        <v>3029</v>
      </c>
      <c r="C1292" t="s">
        <v>10</v>
      </c>
      <c r="D1292" t="s">
        <v>3030</v>
      </c>
      <c r="E1292" s="5" t="s">
        <v>3031</v>
      </c>
      <c r="F1292" s="5" t="str">
        <f>VLOOKUP(B1292,'Türkkep Jira'!B:F,5,0)</f>
        <v>To Do</v>
      </c>
      <c r="G1292" t="str">
        <f>IF(IFERROR(VLOOKUP(B1292,'Devam Eden Sprint'!B:B,1,0),"-")=B1292,"Devam Eden Sprint","-")</f>
        <v>-</v>
      </c>
      <c r="H1292" t="str">
        <f>IF(IFERROR(VLOOKUP(B1292,'Gelecek Sprint'!B:B,1,0),"-")=B1292,"Gelecek Sprint","-")</f>
        <v>Gelecek Sprint</v>
      </c>
      <c r="I1292" t="str">
        <f t="shared" si="41"/>
        <v>Gelecek Sprint</v>
      </c>
      <c r="J1292"/>
    </row>
    <row r="1293" spans="1:10" x14ac:dyDescent="0.25">
      <c r="A1293" t="s">
        <v>14</v>
      </c>
      <c r="B1293" t="s">
        <v>3043</v>
      </c>
      <c r="C1293" t="s">
        <v>10</v>
      </c>
      <c r="D1293" t="s">
        <v>3032</v>
      </c>
      <c r="E1293" s="5" t="s">
        <v>56</v>
      </c>
      <c r="F1293" s="5" t="e">
        <f>VLOOKUP(B1293,'Türkkep Jira'!B:F,5,0)</f>
        <v>#N/A</v>
      </c>
      <c r="G1293" t="str">
        <f>IF(IFERROR(VLOOKUP(B1293,'Devam Eden Sprint'!B:B,1,0),"-")=B1293,"Devam Eden Sprint","-")</f>
        <v>-</v>
      </c>
      <c r="H1293" t="str">
        <f>IF(IFERROR(VLOOKUP(B1293,'Gelecek Sprint'!B:B,1,0),"-")=B1293,"Gelecek Sprint","-")</f>
        <v>Gelecek Sprint</v>
      </c>
      <c r="I1293" t="str">
        <f t="shared" si="41"/>
        <v>Gelecek Sprint</v>
      </c>
      <c r="J1293"/>
    </row>
    <row r="1294" spans="1:10" x14ac:dyDescent="0.25">
      <c r="A1294" t="s">
        <v>14</v>
      </c>
      <c r="B1294" t="s">
        <v>1818</v>
      </c>
      <c r="C1294" t="s">
        <v>10</v>
      </c>
      <c r="D1294" t="s">
        <v>3034</v>
      </c>
      <c r="E1294" s="5" t="s">
        <v>50</v>
      </c>
      <c r="F1294" s="5" t="e">
        <f>VLOOKUP(B1294,'Türkkep Jira'!B:F,5,0)</f>
        <v>#N/A</v>
      </c>
      <c r="G1294" t="str">
        <f>IF(IFERROR(VLOOKUP(B1294,'Devam Eden Sprint'!B:B,1,0),"-")=B1294,"Devam Eden Sprint","-")</f>
        <v>-</v>
      </c>
      <c r="H1294" t="str">
        <f>IF(IFERROR(VLOOKUP(B1294,'Gelecek Sprint'!B:B,1,0),"-")=B1294,"Gelecek Sprint","-")</f>
        <v>Gelecek Sprint</v>
      </c>
      <c r="I1294" t="str">
        <f t="shared" si="41"/>
        <v>Gelecek Sprint</v>
      </c>
      <c r="J1294"/>
    </row>
    <row r="1295" spans="1:10" x14ac:dyDescent="0.25">
      <c r="A1295" t="s">
        <v>14</v>
      </c>
      <c r="B1295" t="s">
        <v>3063</v>
      </c>
      <c r="C1295" t="s">
        <v>10</v>
      </c>
      <c r="D1295" t="s">
        <v>3034</v>
      </c>
      <c r="E1295" s="5" t="s">
        <v>59</v>
      </c>
      <c r="F1295" s="5" t="e">
        <f>VLOOKUP(B1295,'Türkkep Jira'!B:F,5,0)</f>
        <v>#N/A</v>
      </c>
      <c r="G1295" t="str">
        <f>IF(IFERROR(VLOOKUP(B1295,'Devam Eden Sprint'!B:B,1,0),"-")=B1295,"Devam Eden Sprint","-")</f>
        <v>-</v>
      </c>
      <c r="H1295" t="str">
        <f>IF(IFERROR(VLOOKUP(B1295,'Gelecek Sprint'!B:B,1,0),"-")=B1295,"Gelecek Sprint","-")</f>
        <v>Gelecek Sprint</v>
      </c>
      <c r="I1295" t="str">
        <f t="shared" si="41"/>
        <v>Gelecek Sprint</v>
      </c>
      <c r="J1295"/>
    </row>
    <row r="1296" spans="1:10" x14ac:dyDescent="0.25">
      <c r="A1296" t="s">
        <v>14</v>
      </c>
      <c r="B1296" t="s">
        <v>2976</v>
      </c>
      <c r="C1296" t="s">
        <v>10</v>
      </c>
      <c r="D1296" t="s">
        <v>2975</v>
      </c>
      <c r="E1296" s="5" t="s">
        <v>12</v>
      </c>
      <c r="F1296" s="5" t="e">
        <f>VLOOKUP(B1296,'Türkkep Jira'!B:F,5,0)</f>
        <v>#N/A</v>
      </c>
      <c r="G1296" t="str">
        <f>IF(IFERROR(VLOOKUP(B1296,'Devam Eden Sprint'!B:B,1,0),"-")=B1296,"Devam Eden Sprint","-")</f>
        <v>-</v>
      </c>
      <c r="H1296" t="str">
        <f>IF(IFERROR(VLOOKUP(B1296,'Gelecek Sprint'!B:B,1,0),"-")=B1296,"Gelecek Sprint","-")</f>
        <v>Gelecek Sprint</v>
      </c>
      <c r="I1296" t="str">
        <f t="shared" si="41"/>
        <v>Gelecek Sprint</v>
      </c>
      <c r="J1296"/>
    </row>
    <row r="1297" spans="1:10" x14ac:dyDescent="0.25">
      <c r="A1297" t="s">
        <v>14</v>
      </c>
      <c r="B1297" t="s">
        <v>3039</v>
      </c>
      <c r="C1297" t="s">
        <v>10</v>
      </c>
      <c r="D1297" t="s">
        <v>3040</v>
      </c>
      <c r="E1297" s="5" t="s">
        <v>12</v>
      </c>
      <c r="F1297" s="5" t="e">
        <f>VLOOKUP(B1297,'Türkkep Jira'!B:F,5,0)</f>
        <v>#N/A</v>
      </c>
      <c r="G1297" t="str">
        <f>IF(IFERROR(VLOOKUP(B1297,'Devam Eden Sprint'!B:B,1,0),"-")=B1297,"Devam Eden Sprint","-")</f>
        <v>-</v>
      </c>
      <c r="H1297" t="str">
        <f>IF(IFERROR(VLOOKUP(B1297,'Gelecek Sprint'!B:B,1,0),"-")=B1297,"Gelecek Sprint","-")</f>
        <v>Gelecek Sprint</v>
      </c>
      <c r="I1297" t="str">
        <f t="shared" si="41"/>
        <v>Gelecek Sprint</v>
      </c>
      <c r="J1297"/>
    </row>
    <row r="1298" spans="1:10" x14ac:dyDescent="0.25">
      <c r="A1298" t="s">
        <v>14</v>
      </c>
      <c r="B1298" t="s">
        <v>2981</v>
      </c>
      <c r="C1298" t="s">
        <v>10</v>
      </c>
      <c r="D1298" t="s">
        <v>2980</v>
      </c>
      <c r="E1298" s="5" t="s">
        <v>12</v>
      </c>
      <c r="F1298" s="5" t="e">
        <f>VLOOKUP(B1298,'Türkkep Jira'!B:F,5,0)</f>
        <v>#N/A</v>
      </c>
      <c r="G1298" t="str">
        <f>IF(IFERROR(VLOOKUP(B1298,'Devam Eden Sprint'!B:B,1,0),"-")=B1298,"Devam Eden Sprint","-")</f>
        <v>-</v>
      </c>
      <c r="H1298" t="str">
        <f>IF(IFERROR(VLOOKUP(B1298,'Gelecek Sprint'!B:B,1,0),"-")=B1298,"Gelecek Sprint","-")</f>
        <v>Gelecek Sprint</v>
      </c>
      <c r="I1298" t="str">
        <f t="shared" si="41"/>
        <v>Gelecek Sprint</v>
      </c>
      <c r="J1298"/>
    </row>
    <row r="1299" spans="1:10" x14ac:dyDescent="0.25">
      <c r="A1299" t="s">
        <v>14</v>
      </c>
      <c r="B1299" t="s">
        <v>3041</v>
      </c>
      <c r="C1299" t="s">
        <v>10</v>
      </c>
      <c r="D1299" t="s">
        <v>3042</v>
      </c>
      <c r="E1299" s="5" t="s">
        <v>12</v>
      </c>
      <c r="F1299" s="5" t="e">
        <f>VLOOKUP(B1299,'Türkkep Jira'!B:F,5,0)</f>
        <v>#N/A</v>
      </c>
      <c r="G1299" t="str">
        <f>IF(IFERROR(VLOOKUP(B1299,'Devam Eden Sprint'!B:B,1,0),"-")=B1299,"Devam Eden Sprint","-")</f>
        <v>-</v>
      </c>
      <c r="H1299" t="str">
        <f>IF(IFERROR(VLOOKUP(B1299,'Gelecek Sprint'!B:B,1,0),"-")=B1299,"Gelecek Sprint","-")</f>
        <v>Gelecek Sprint</v>
      </c>
      <c r="I1299" t="str">
        <f t="shared" si="41"/>
        <v>Gelecek Sprint</v>
      </c>
      <c r="J1299"/>
    </row>
    <row r="1300" spans="1:10" x14ac:dyDescent="0.25">
      <c r="A1300" t="s">
        <v>14</v>
      </c>
      <c r="B1300" t="s">
        <v>2978</v>
      </c>
      <c r="C1300" t="s">
        <v>10</v>
      </c>
      <c r="D1300" t="s">
        <v>2977</v>
      </c>
      <c r="E1300" s="5" t="s">
        <v>12</v>
      </c>
      <c r="F1300" s="5" t="e">
        <f>VLOOKUP(B1300,'Türkkep Jira'!B:F,5,0)</f>
        <v>#N/A</v>
      </c>
      <c r="G1300" t="str">
        <f>IF(IFERROR(VLOOKUP(B1300,'Devam Eden Sprint'!B:B,1,0),"-")=B1300,"Devam Eden Sprint","-")</f>
        <v>-</v>
      </c>
      <c r="H1300" t="str">
        <f>IF(IFERROR(VLOOKUP(B1300,'Gelecek Sprint'!B:B,1,0),"-")=B1300,"Gelecek Sprint","-")</f>
        <v>Gelecek Sprint</v>
      </c>
      <c r="I1300" t="str">
        <f t="shared" si="41"/>
        <v>Gelecek Sprint</v>
      </c>
      <c r="J1300"/>
    </row>
    <row r="1301" spans="1:10" x14ac:dyDescent="0.25">
      <c r="A1301" t="s">
        <v>14</v>
      </c>
      <c r="B1301" t="s">
        <v>3056</v>
      </c>
      <c r="C1301" t="s">
        <v>10</v>
      </c>
      <c r="D1301" t="s">
        <v>3057</v>
      </c>
      <c r="E1301" s="5" t="s">
        <v>41</v>
      </c>
      <c r="F1301" s="5" t="e">
        <f>VLOOKUP(B1301,'Türkkep Jira'!B:F,5,0)</f>
        <v>#N/A</v>
      </c>
      <c r="G1301" t="str">
        <f>IF(IFERROR(VLOOKUP(B1301,'Devam Eden Sprint'!B:B,1,0),"-")=B1301,"Devam Eden Sprint","-")</f>
        <v>-</v>
      </c>
      <c r="H1301" t="str">
        <f>IF(IFERROR(VLOOKUP(B1301,'Gelecek Sprint'!B:B,1,0),"-")=B1301,"Gelecek Sprint","-")</f>
        <v>Gelecek Sprint</v>
      </c>
      <c r="I1301" t="str">
        <f t="shared" si="41"/>
        <v>Gelecek Sprint</v>
      </c>
      <c r="J1301"/>
    </row>
    <row r="1302" spans="1:10" x14ac:dyDescent="0.25">
      <c r="A1302" t="s">
        <v>3058</v>
      </c>
      <c r="B1302" t="s">
        <v>3059</v>
      </c>
      <c r="C1302" t="s">
        <v>10</v>
      </c>
      <c r="D1302" t="s">
        <v>3060</v>
      </c>
      <c r="E1302" s="5" t="s">
        <v>41</v>
      </c>
      <c r="F1302" s="5" t="e">
        <f>VLOOKUP(B1302,'Türkkep Jira'!B:F,5,0)</f>
        <v>#N/A</v>
      </c>
      <c r="G1302" t="str">
        <f>IF(IFERROR(VLOOKUP(B1302,'Devam Eden Sprint'!B:B,1,0),"-")=B1302,"Devam Eden Sprint","-")</f>
        <v>-</v>
      </c>
      <c r="H1302" t="str">
        <f>IF(IFERROR(VLOOKUP(B1302,'Gelecek Sprint'!B:B,1,0),"-")=B1302,"Gelecek Sprint","-")</f>
        <v>Gelecek Sprint</v>
      </c>
      <c r="I1302" t="str">
        <f t="shared" si="41"/>
        <v>Gelecek Sprint</v>
      </c>
      <c r="J1302"/>
    </row>
    <row r="1303" spans="1:10" x14ac:dyDescent="0.25">
      <c r="A1303" t="s">
        <v>14</v>
      </c>
      <c r="B1303" t="s">
        <v>3061</v>
      </c>
      <c r="C1303" t="s">
        <v>10</v>
      </c>
      <c r="D1303" t="s">
        <v>3062</v>
      </c>
      <c r="E1303" s="5" t="s">
        <v>41</v>
      </c>
      <c r="F1303" s="5" t="e">
        <f>VLOOKUP(B1303,'Türkkep Jira'!B:F,5,0)</f>
        <v>#N/A</v>
      </c>
      <c r="G1303" t="str">
        <f>IF(IFERROR(VLOOKUP(B1303,'Devam Eden Sprint'!B:B,1,0),"-")=B1303,"Devam Eden Sprint","-")</f>
        <v>-</v>
      </c>
      <c r="H1303" t="str">
        <f>IF(IFERROR(VLOOKUP(B1303,'Gelecek Sprint'!B:B,1,0),"-")=B1303,"Gelecek Sprint","-")</f>
        <v>Gelecek Sprint</v>
      </c>
      <c r="I1303" t="str">
        <f t="shared" si="41"/>
        <v>Gelecek Sprint</v>
      </c>
      <c r="J1303"/>
    </row>
  </sheetData>
  <autoFilter ref="A1:K1303" xr:uid="{427990BA-613E-4568-8830-70CDFB113D33}"/>
  <mergeCells count="1">
    <mergeCell ref="AJ30:AK30"/>
  </mergeCells>
  <conditionalFormatting sqref="B9:B77">
    <cfRule type="duplicateValues" dxfId="25" priority="46"/>
  </conditionalFormatting>
  <conditionalFormatting sqref="B367:B369">
    <cfRule type="duplicateValues" dxfId="24" priority="40"/>
  </conditionalFormatting>
  <conditionalFormatting sqref="B386:B388">
    <cfRule type="duplicateValues" dxfId="23" priority="37"/>
  </conditionalFormatting>
  <conditionalFormatting sqref="B527:B528">
    <cfRule type="duplicateValues" dxfId="22" priority="35"/>
  </conditionalFormatting>
  <conditionalFormatting sqref="B560:B562">
    <cfRule type="duplicateValues" dxfId="21" priority="34"/>
  </conditionalFormatting>
  <conditionalFormatting sqref="B624:B626">
    <cfRule type="duplicateValues" dxfId="20" priority="31"/>
  </conditionalFormatting>
  <conditionalFormatting sqref="B631:B632">
    <cfRule type="duplicateValues" dxfId="19" priority="30"/>
  </conditionalFormatting>
  <conditionalFormatting sqref="B648:B650">
    <cfRule type="duplicateValues" dxfId="18" priority="28"/>
  </conditionalFormatting>
  <conditionalFormatting sqref="B740:B741">
    <cfRule type="duplicateValues" dxfId="17" priority="25"/>
  </conditionalFormatting>
  <conditionalFormatting sqref="B742:B743">
    <cfRule type="duplicateValues" dxfId="16" priority="24"/>
  </conditionalFormatting>
  <conditionalFormatting sqref="B747:B748">
    <cfRule type="duplicateValues" dxfId="15" priority="23"/>
  </conditionalFormatting>
  <conditionalFormatting sqref="B755:B756">
    <cfRule type="duplicateValues" dxfId="14" priority="21"/>
  </conditionalFormatting>
  <conditionalFormatting sqref="B879:B885">
    <cfRule type="duplicateValues" dxfId="13" priority="27"/>
  </conditionalFormatting>
  <conditionalFormatting sqref="B888">
    <cfRule type="duplicateValues" dxfId="12" priority="26"/>
  </conditionalFormatting>
  <conditionalFormatting sqref="D9:D78">
    <cfRule type="duplicateValues" dxfId="11" priority="47"/>
    <cfRule type="duplicateValues" dxfId="10" priority="48"/>
  </conditionalFormatting>
  <conditionalFormatting sqref="D77">
    <cfRule type="duplicateValues" dxfId="9" priority="43"/>
    <cfRule type="duplicateValues" dxfId="8" priority="44"/>
  </conditionalFormatting>
  <conditionalFormatting sqref="D287 D282:D284 D280 D278 D273 D271 D264 D261 D254:D256 D241 D235 D227 D172 D166 D156:D157 D150 D146:D147 D128 D97:D103 D89:D94">
    <cfRule type="duplicateValues" dxfId="7" priority="41"/>
    <cfRule type="duplicateValues" dxfId="6" priority="42"/>
  </conditionalFormatting>
  <hyperlinks>
    <hyperlink ref="D200" r:id="rId7" display="http://192.168.124.186:8080/browse/MUL-204" xr:uid="{2A0BF134-42C5-40FD-BC7C-88BFCD250652}"/>
    <hyperlink ref="D201" r:id="rId8" display="http://192.168.124.186:8080/browse/MUL-205" xr:uid="{C774FCA7-4453-4EB2-B9A7-D4B121AFE410}"/>
    <hyperlink ref="D202" r:id="rId9" display="http://192.168.124.186:8080/browse/MUL-206" xr:uid="{B2566D71-C9CF-4B93-97B3-833082CAFE01}"/>
    <hyperlink ref="B990" r:id="rId10" tooltip="View this issue" display="http://192.168.124.186:8080/browse/UKDS-198" xr:uid="{D7C65CA6-685C-4B3B-8150-4F65F1A92A77}"/>
    <hyperlink ref="B991" r:id="rId11" tooltip="View this issue" display="http://192.168.124.186:8080/browse/UKDS-189" xr:uid="{B2ED5973-6EEE-4D02-AEA5-3818F5DC9443}"/>
    <hyperlink ref="B992" r:id="rId12" tooltip="View this issue" display="http://192.168.124.186:8080/browse/UKDS-191" xr:uid="{6EFC240D-807D-4B2C-B507-EEC5A7AEED04}"/>
    <hyperlink ref="B993" r:id="rId13" tooltip="View this issue" display="http://192.168.124.186:8080/browse/UKDS-194" xr:uid="{5060B58B-4EAE-4497-B0D1-79738FC52CE8}"/>
    <hyperlink ref="B994" r:id="rId14" tooltip="View this issue" display="http://192.168.124.186:8080/browse/UKDS-195" xr:uid="{2CB13B70-F860-4876-906B-E7F6F1A3A954}"/>
    <hyperlink ref="B995" r:id="rId15" tooltip="View this issue" display="http://192.168.124.186:8080/browse/UKDS-197" xr:uid="{6DCA99A4-CA15-482F-B2A3-F2CE29A468DD}"/>
    <hyperlink ref="B996" r:id="rId16" tooltip="View this issue" display="http://192.168.124.186:8080/browse/UKDS-196" xr:uid="{B5B1E464-B6FF-4F4E-A32C-2E1BB98BF67D}"/>
    <hyperlink ref="B997" r:id="rId17" tooltip="View this issue" display="http://192.168.124.186:8080/browse/UKDS-193" xr:uid="{1F813187-9BC4-4ECE-9061-43E2E2634229}"/>
    <hyperlink ref="B998" r:id="rId18" tooltip="View this issue" display="http://192.168.124.186:8080/browse/UKDS-192" xr:uid="{17DD39F0-2726-4468-ADF5-36A316EB098B}"/>
    <hyperlink ref="B1017" r:id="rId19" tooltip="View this issue" display="http://192.168.124.186:8080/browse/UKDS-201" xr:uid="{9B632313-5BB7-4055-A433-1118E298A1DA}"/>
    <hyperlink ref="B1018" r:id="rId20" tooltip="View this issue" display="http://192.168.124.186:8080/browse/WIK-741" xr:uid="{71E07F54-BD6A-42D5-9311-BEBC2CB33233}"/>
    <hyperlink ref="B1019" r:id="rId21" tooltip="View this issue" display="http://192.168.124.186:8080/browse/WIK-743" xr:uid="{9475C8D2-0BC7-47ED-90E3-436BA9E972CE}"/>
    <hyperlink ref="B1037" r:id="rId22" tooltip="View this issue" display="http://192.168.124.186:8080/browse/WIK-749" xr:uid="{9D05E964-8303-4169-AB16-E5F21B302613}"/>
    <hyperlink ref="B1038" r:id="rId23" tooltip="View this issue" display="http://192.168.124.186:8080/browse/WIK-748" xr:uid="{821D940A-0942-448F-9C97-FB1A9BC8FD69}"/>
    <hyperlink ref="B1039" r:id="rId24" tooltip="View this issue" display="http://192.168.124.186:8080/browse/WIK-747" xr:uid="{E3B70F1B-8287-4CE3-8422-891C68FB9880}"/>
    <hyperlink ref="B1040" r:id="rId25" tooltip="View this issue" display="http://192.168.124.186:8080/browse/WIK-754" xr:uid="{482BD6F5-09C4-4CC2-971F-BC0D19AFBD8B}"/>
    <hyperlink ref="B1041" r:id="rId26" tooltip="View this issue" display="http://192.168.124.186:8080/browse/WIK-751" xr:uid="{FF284B95-6719-46FF-A340-96179C9FF779}"/>
    <hyperlink ref="B1042" r:id="rId27" tooltip="View this issue" display="http://192.168.124.186:8080/browse/WIK-753" xr:uid="{64CAAFCC-9F0C-4595-837F-21FBAE2C86A0}"/>
    <hyperlink ref="B1043" r:id="rId28" tooltip="View this issue" display="http://192.168.124.186:8080/browse/UKDS-203" xr:uid="{1C5847BE-A6A3-43D6-8C8D-C88A97C4E634}"/>
    <hyperlink ref="B1054" r:id="rId29" tooltip="View this issue" display="http://192.168.124.186:8080/browse/UKDS-179" xr:uid="{26F80EF9-D566-471F-A3E3-F84C23D46FF2}"/>
    <hyperlink ref="B1083" r:id="rId30" tooltip="View this issue" display="http://192.168.124.186:8080/browse/WIK-760" xr:uid="{57D1495C-05AE-4288-BC36-6D510BE91F79}"/>
    <hyperlink ref="B1084" r:id="rId31" tooltip="View this issue" display="http://192.168.124.186:8080/browse/WIK-759" xr:uid="{DA03345A-B064-41FA-833A-603B0BC2167B}"/>
    <hyperlink ref="B1085" r:id="rId32" tooltip="View this issue" display="http://192.168.124.186:8080/browse/WIK-761" xr:uid="{5CA27156-0D37-4B96-93E8-6E533C5B3055}"/>
    <hyperlink ref="B1086" r:id="rId33" tooltip="View this issue" display="http://192.168.124.186:8080/browse/WIK-763" xr:uid="{6401E059-8284-4C43-8D2D-A19A4C7A8773}"/>
    <hyperlink ref="B1087" r:id="rId34" tooltip="View this issue" display="http://192.168.124.186:8080/browse/WIK-765" xr:uid="{71E6FC45-EE88-4A41-91F4-AC58C947681E}"/>
    <hyperlink ref="B1088" r:id="rId35" tooltip="View this issue" display="http://192.168.124.186:8080/browse/WIK-767" xr:uid="{B2019ADD-326C-4213-9612-B97E07B8ABDA}"/>
    <hyperlink ref="B1089" r:id="rId36" tooltip="View this issue" display="http://192.168.124.186:8080/browse/WIK-768" xr:uid="{051F803B-1B3B-4575-8F5A-D527DA482750}"/>
    <hyperlink ref="B1090" r:id="rId37" tooltip="View this issue" display="http://192.168.124.186:8080/browse/UKDS-205" xr:uid="{1E35844D-562A-41D2-8756-2758217AA80A}"/>
    <hyperlink ref="B1221" r:id="rId38" tooltip="View this issue" display="http://192.168.124.186:8080/browse/WIK-794" xr:uid="{FA5C4E87-224B-4AC6-9672-57D46441519B}"/>
    <hyperlink ref="B1222" r:id="rId39" tooltip="View this issue" display="http://192.168.124.186:8080/browse/WIK-795" xr:uid="{1FCE0359-18FD-4533-A519-443AB3BD877D}"/>
    <hyperlink ref="B1223" r:id="rId40" tooltip="View this issue" display="http://192.168.124.186:8080/browse/WIK-796" xr:uid="{E2B771AE-7693-4B9F-9561-82ECD8B8C465}"/>
    <hyperlink ref="B1224" r:id="rId41" tooltip="View this issue" display="http://192.168.124.186:8080/browse/WIK-793" xr:uid="{15456BA5-587C-4C48-BDDA-76BBFB5E98A2}"/>
    <hyperlink ref="B1225" r:id="rId42" tooltip="View this issue" display="http://192.168.124.186:8080/browse/UKDS-214" xr:uid="{38835868-17BC-4FE8-8CCB-9D8E6F9E7186}"/>
    <hyperlink ref="B1244" r:id="rId43" tooltip="View this issue" display="http://192.168.124.186:8080/browse/UKDS-215" xr:uid="{6BD6C754-27AC-4C81-95D8-DC80560395EC}"/>
    <hyperlink ref="B1245" r:id="rId44" tooltip="View this issue" display="http://192.168.124.186:8080/browse/WIK-803" xr:uid="{2B4B2597-57C1-4209-91CB-731B9BFD2632}"/>
    <hyperlink ref="B1246" r:id="rId45" tooltip="View this issue" display="http://192.168.124.186:8080/browse/WIK-800" xr:uid="{CAE4B855-3D99-42B1-B54F-4F4A2B1679A6}"/>
    <hyperlink ref="B1247" r:id="rId46" tooltip="View this issue" display="http://192.168.124.186:8080/browse/WIK-791" xr:uid="{4DFDE4C4-F030-4EDC-9A1C-6ED357F42648}"/>
    <hyperlink ref="B1263" r:id="rId47" tooltip="View this issue" display="http://192.168.124.186:8080/browse/UKDS-223" xr:uid="{41E03719-D982-4B2C-AA65-BCE636E79B31}"/>
    <hyperlink ref="B1264" r:id="rId48" tooltip="View this issue" display="http://192.168.124.186:8080/browse/UKDS-219" xr:uid="{E11F1B9B-9A63-4BAE-9FF3-E85A4794FB2D}"/>
    <hyperlink ref="B1265" r:id="rId49" tooltip="View this issue" display="http://192.168.124.186:8080/browse/UKDS-221" xr:uid="{7238F1B7-553C-4555-BBED-5D465B4ED39E}"/>
    <hyperlink ref="B1266" r:id="rId50" tooltip="View this issue" display="http://192.168.124.186:8080/browse/UKDS-220" xr:uid="{9AAC5BEB-07C8-4C7F-9592-601C68F0BF46}"/>
    <hyperlink ref="B1267" r:id="rId51" tooltip="View this issue" display="http://192.168.124.186:8080/browse/UKDS-222" xr:uid="{9258DE8A-31D6-4898-B026-165132847A71}"/>
    <hyperlink ref="B1268" r:id="rId52" tooltip="View this issue" display="http://192.168.124.186:8080/browse/WIK-815" xr:uid="{8740032C-9011-4346-B6B3-8438AB9D5566}"/>
    <hyperlink ref="B1269" r:id="rId53" tooltip="View this issue" display="http://192.168.124.186:8080/browse/WIK-810" xr:uid="{88C19B9E-149A-4000-A66F-EA8A3A68F6BF}"/>
    <hyperlink ref="B1270" r:id="rId54" tooltip="View this issue" display="http://192.168.124.186:8080/browse/WIK-812" xr:uid="{ABB1AA09-8C66-4506-923C-3868E239E1F6}"/>
    <hyperlink ref="B1271" r:id="rId55" tooltip="View this issue" display="http://192.168.124.186:8080/browse/KEP-317" xr:uid="{03EEF35A-CE5B-4A3E-A7BF-20EA8D3A062E}"/>
    <hyperlink ref="B1272" r:id="rId56" tooltip="View this issue" display="http://192.168.124.186:8080/browse/KEP-318" xr:uid="{1598A709-350E-4A4F-B0BF-C6AD749ABB5E}"/>
    <hyperlink ref="B1273" r:id="rId57" tooltip="View this issue" display="http://192.168.124.186:8080/browse/UKDS-217" xr:uid="{26B078FC-2876-4471-9174-58A5F747B0DF}"/>
    <hyperlink ref="B1293" r:id="rId58" display="http://192.168.124.186:8080/browse/MU-223" xr:uid="{0736FD30-280A-4C9F-BD66-7754E73DDC5E}"/>
  </hyperlinks>
  <pageMargins left="0.7" right="0.7" top="0.75" bottom="0.75" header="0.3" footer="0.3"/>
  <drawing r:id="rId59"/>
  <legacyDrawing r:id="rId6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505D3-A126-42FB-832D-FB3DC1399509}">
  <dimension ref="A1:H95"/>
  <sheetViews>
    <sheetView zoomScale="85" zoomScaleNormal="85" workbookViewId="0">
      <selection activeCell="D18" sqref="D18"/>
    </sheetView>
  </sheetViews>
  <sheetFormatPr defaultRowHeight="15" x14ac:dyDescent="0.25"/>
  <cols>
    <col min="4" max="4" width="102.140625" bestFit="1" customWidth="1"/>
    <col min="5" max="5" width="24.7109375" bestFit="1" customWidth="1"/>
    <col min="6" max="6" width="15.28515625" customWidth="1"/>
  </cols>
  <sheetData>
    <row r="1" spans="1:8" x14ac:dyDescent="0.25">
      <c r="A1" t="s">
        <v>0</v>
      </c>
      <c r="B1" t="s">
        <v>1</v>
      </c>
      <c r="C1" t="s">
        <v>2</v>
      </c>
      <c r="D1" t="s">
        <v>3</v>
      </c>
      <c r="E1" t="s">
        <v>1815</v>
      </c>
      <c r="F1" t="s">
        <v>1816</v>
      </c>
      <c r="G1" t="s">
        <v>1817</v>
      </c>
    </row>
    <row r="2" spans="1:8" x14ac:dyDescent="0.25">
      <c r="A2" s="20" t="s">
        <v>14</v>
      </c>
      <c r="B2" s="20" t="s">
        <v>2329</v>
      </c>
      <c r="C2" s="20" t="s">
        <v>3010</v>
      </c>
      <c r="D2" s="20" t="s">
        <v>2337</v>
      </c>
      <c r="E2" s="20" t="s">
        <v>44</v>
      </c>
      <c r="F2" s="20" t="s">
        <v>3009</v>
      </c>
      <c r="G2" s="21">
        <v>8</v>
      </c>
      <c r="H2" t="str">
        <f>VLOOKUP(B2,'Ürün İş Listesi'!B:B,1,0)</f>
        <v>IEU-291</v>
      </c>
    </row>
    <row r="3" spans="1:8" x14ac:dyDescent="0.25">
      <c r="A3" s="20" t="s">
        <v>14</v>
      </c>
      <c r="B3" s="20" t="s">
        <v>1755</v>
      </c>
      <c r="C3" s="20" t="s">
        <v>3012</v>
      </c>
      <c r="D3" s="20" t="s">
        <v>1756</v>
      </c>
      <c r="E3" s="20" t="s">
        <v>44</v>
      </c>
      <c r="F3" s="20" t="s">
        <v>3011</v>
      </c>
      <c r="G3" s="21"/>
      <c r="H3" t="str">
        <f>VLOOKUP(B3,'Ürün İş Listesi'!B:B,1,0)</f>
        <v>IEU-264</v>
      </c>
    </row>
    <row r="4" spans="1:8" x14ac:dyDescent="0.25">
      <c r="A4" s="20" t="s">
        <v>14</v>
      </c>
      <c r="B4" s="20" t="s">
        <v>2656</v>
      </c>
      <c r="C4" s="20" t="s">
        <v>3010</v>
      </c>
      <c r="D4" s="20" t="s">
        <v>2658</v>
      </c>
      <c r="E4" s="20" t="s">
        <v>44</v>
      </c>
      <c r="F4" s="20" t="s">
        <v>3009</v>
      </c>
      <c r="G4" s="21">
        <v>3</v>
      </c>
      <c r="H4" t="str">
        <f>VLOOKUP(B4,'Ürün İş Listesi'!B:B,1,0)</f>
        <v>IEU-320</v>
      </c>
    </row>
    <row r="5" spans="1:8" x14ac:dyDescent="0.25">
      <c r="A5" s="20" t="s">
        <v>14</v>
      </c>
      <c r="B5" s="20" t="s">
        <v>2462</v>
      </c>
      <c r="C5" s="20" t="s">
        <v>3010</v>
      </c>
      <c r="D5" s="20" t="s">
        <v>2461</v>
      </c>
      <c r="E5" s="20" t="s">
        <v>44</v>
      </c>
      <c r="F5" s="20" t="s">
        <v>3013</v>
      </c>
      <c r="G5" s="21">
        <v>8</v>
      </c>
      <c r="H5" t="str">
        <f>VLOOKUP(B5,'Ürün İş Listesi'!B:B,1,0)</f>
        <v>IEU-299</v>
      </c>
    </row>
    <row r="6" spans="1:8" x14ac:dyDescent="0.25">
      <c r="A6" s="20" t="s">
        <v>77</v>
      </c>
      <c r="B6" s="20" t="s">
        <v>2626</v>
      </c>
      <c r="C6" s="20" t="s">
        <v>3010</v>
      </c>
      <c r="D6" s="20" t="s">
        <v>2625</v>
      </c>
      <c r="E6" s="20" t="s">
        <v>44</v>
      </c>
      <c r="F6" s="20" t="s">
        <v>3014</v>
      </c>
      <c r="G6" s="21">
        <v>3</v>
      </c>
      <c r="H6" t="str">
        <f>VLOOKUP(B6,'Ürün İş Listesi'!B:B,1,0)</f>
        <v>IEU-310</v>
      </c>
    </row>
    <row r="7" spans="1:8" x14ac:dyDescent="0.25">
      <c r="A7" s="20" t="s">
        <v>14</v>
      </c>
      <c r="B7" s="20" t="s">
        <v>2773</v>
      </c>
      <c r="C7" s="20" t="s">
        <v>3010</v>
      </c>
      <c r="D7" s="20" t="s">
        <v>2779</v>
      </c>
      <c r="E7" s="20" t="s">
        <v>44</v>
      </c>
      <c r="F7" s="20" t="s">
        <v>3015</v>
      </c>
      <c r="G7" s="21">
        <v>5</v>
      </c>
      <c r="H7" t="str">
        <f>VLOOKUP(B7,'Ürün İş Listesi'!B:B,1,0)</f>
        <v>IEU-323</v>
      </c>
    </row>
    <row r="8" spans="1:8" x14ac:dyDescent="0.25">
      <c r="A8" s="20" t="s">
        <v>14</v>
      </c>
      <c r="B8" s="20" t="s">
        <v>2684</v>
      </c>
      <c r="C8" s="20" t="s">
        <v>3017</v>
      </c>
      <c r="D8" s="20" t="s">
        <v>2780</v>
      </c>
      <c r="E8" s="20" t="s">
        <v>44</v>
      </c>
      <c r="F8" s="20" t="s">
        <v>3016</v>
      </c>
      <c r="G8" s="21">
        <v>5</v>
      </c>
      <c r="H8" t="str">
        <f>VLOOKUP(B8,'Ürün İş Listesi'!B:B,1,0)</f>
        <v>IEU-324</v>
      </c>
    </row>
    <row r="9" spans="1:8" x14ac:dyDescent="0.25">
      <c r="A9" s="20" t="s">
        <v>14</v>
      </c>
      <c r="B9" s="20" t="s">
        <v>2685</v>
      </c>
      <c r="C9" s="20" t="s">
        <v>3017</v>
      </c>
      <c r="D9" s="20" t="s">
        <v>2690</v>
      </c>
      <c r="E9" s="20" t="s">
        <v>50</v>
      </c>
      <c r="F9" s="20" t="s">
        <v>3018</v>
      </c>
      <c r="G9" s="21"/>
      <c r="H9" t="str">
        <f>VLOOKUP(B9,'Ürün İş Listesi'!B:B,1,0)</f>
        <v>KA-1588</v>
      </c>
    </row>
    <row r="10" spans="1:8" x14ac:dyDescent="0.25">
      <c r="A10" s="20" t="s">
        <v>14</v>
      </c>
      <c r="B10" s="20" t="s">
        <v>2774</v>
      </c>
      <c r="C10" s="20" t="s">
        <v>3010</v>
      </c>
      <c r="D10" s="20" t="s">
        <v>2781</v>
      </c>
      <c r="E10" s="20" t="s">
        <v>50</v>
      </c>
      <c r="F10" s="20" t="s">
        <v>3019</v>
      </c>
      <c r="G10" s="21">
        <v>2</v>
      </c>
      <c r="H10" t="str">
        <f>VLOOKUP(B10,'Ürün İş Listesi'!B:B,1,0)</f>
        <v>KA-1595</v>
      </c>
    </row>
    <row r="11" spans="1:8" x14ac:dyDescent="0.25">
      <c r="A11" s="20" t="s">
        <v>14</v>
      </c>
      <c r="B11" s="20" t="s">
        <v>2775</v>
      </c>
      <c r="C11" s="20" t="s">
        <v>3010</v>
      </c>
      <c r="D11" s="20" t="s">
        <v>2782</v>
      </c>
      <c r="E11" s="20" t="s">
        <v>50</v>
      </c>
      <c r="F11" s="20" t="s">
        <v>3019</v>
      </c>
      <c r="G11" s="21">
        <v>2</v>
      </c>
      <c r="H11" t="str">
        <f>VLOOKUP(B11,'Ürün İş Listesi'!B:B,1,0)</f>
        <v>KA-1594</v>
      </c>
    </row>
    <row r="12" spans="1:8" x14ac:dyDescent="0.25">
      <c r="A12" s="20" t="s">
        <v>14</v>
      </c>
      <c r="B12" s="20" t="s">
        <v>2378</v>
      </c>
      <c r="C12" s="20" t="s">
        <v>3017</v>
      </c>
      <c r="D12" s="20" t="s">
        <v>2377</v>
      </c>
      <c r="E12" s="20" t="s">
        <v>56</v>
      </c>
      <c r="F12" s="20" t="s">
        <v>3015</v>
      </c>
      <c r="G12" s="21">
        <v>5</v>
      </c>
      <c r="H12" t="str">
        <f>VLOOKUP(B12,'Ürün İş Listesi'!B:B,1,0)</f>
        <v>MU-188</v>
      </c>
    </row>
    <row r="13" spans="1:8" x14ac:dyDescent="0.25">
      <c r="A13" s="20" t="s">
        <v>14</v>
      </c>
      <c r="B13" s="20" t="s">
        <v>2766</v>
      </c>
      <c r="C13" s="20" t="s">
        <v>3010</v>
      </c>
      <c r="D13" s="20" t="s">
        <v>2768</v>
      </c>
      <c r="E13" s="20" t="s">
        <v>56</v>
      </c>
      <c r="F13" s="20" t="s">
        <v>3009</v>
      </c>
      <c r="G13" s="21">
        <v>3</v>
      </c>
      <c r="H13" t="str">
        <f>VLOOKUP(B13,'Ürün İş Listesi'!B:B,1,0)</f>
        <v>MU-215</v>
      </c>
    </row>
    <row r="14" spans="1:8" x14ac:dyDescent="0.25">
      <c r="A14" s="20" t="s">
        <v>14</v>
      </c>
      <c r="B14" s="20" t="s">
        <v>2526</v>
      </c>
      <c r="C14" s="20" t="s">
        <v>3010</v>
      </c>
      <c r="D14" s="20" t="s">
        <v>2525</v>
      </c>
      <c r="E14" s="20" t="s">
        <v>56</v>
      </c>
      <c r="F14" s="20" t="s">
        <v>3009</v>
      </c>
      <c r="G14" s="21"/>
      <c r="H14" t="str">
        <f>VLOOKUP(B14,'Ürün İş Listesi'!B:B,1,0)</f>
        <v>MU-196</v>
      </c>
    </row>
    <row r="15" spans="1:8" x14ac:dyDescent="0.25">
      <c r="A15" s="20" t="s">
        <v>77</v>
      </c>
      <c r="B15" s="20" t="s">
        <v>2770</v>
      </c>
      <c r="C15" s="20" t="s">
        <v>3010</v>
      </c>
      <c r="D15" s="20" t="s">
        <v>2776</v>
      </c>
      <c r="E15" s="20" t="s">
        <v>56</v>
      </c>
      <c r="F15" s="20" t="s">
        <v>3009</v>
      </c>
      <c r="G15" s="21">
        <v>3</v>
      </c>
      <c r="H15" t="str">
        <f>VLOOKUP(B15,'Ürün İş Listesi'!B:B,1,0)</f>
        <v>MU-217</v>
      </c>
    </row>
    <row r="16" spans="1:8" x14ac:dyDescent="0.25">
      <c r="A16" s="20" t="s">
        <v>77</v>
      </c>
      <c r="B16" s="20" t="s">
        <v>2771</v>
      </c>
      <c r="C16" s="20" t="s">
        <v>3010</v>
      </c>
      <c r="D16" s="20" t="s">
        <v>2777</v>
      </c>
      <c r="E16" s="20" t="s">
        <v>56</v>
      </c>
      <c r="F16" s="20" t="s">
        <v>3009</v>
      </c>
      <c r="G16" s="21">
        <v>3</v>
      </c>
      <c r="H16" t="str">
        <f>VLOOKUP(B16,'Ürün İş Listesi'!B:B,1,0)</f>
        <v>MU-216</v>
      </c>
    </row>
    <row r="17" spans="1:8" x14ac:dyDescent="0.25">
      <c r="A17" s="20" t="s">
        <v>77</v>
      </c>
      <c r="B17" s="20" t="s">
        <v>2772</v>
      </c>
      <c r="C17" s="20" t="s">
        <v>3010</v>
      </c>
      <c r="D17" s="20" t="s">
        <v>2778</v>
      </c>
      <c r="E17" s="20" t="s">
        <v>56</v>
      </c>
      <c r="F17" s="20" t="s">
        <v>3009</v>
      </c>
      <c r="G17" s="21">
        <v>3</v>
      </c>
      <c r="H17" t="str">
        <f>VLOOKUP(B17,'Ürün İş Listesi'!B:B,1,0)</f>
        <v>MU-218</v>
      </c>
    </row>
    <row r="18" spans="1:8" x14ac:dyDescent="0.25">
      <c r="A18" s="20" t="s">
        <v>14</v>
      </c>
      <c r="B18" s="20" t="s">
        <v>3020</v>
      </c>
      <c r="C18" s="20" t="s">
        <v>3012</v>
      </c>
      <c r="D18" s="20" t="s">
        <v>3021</v>
      </c>
      <c r="E18" s="20" t="s">
        <v>50</v>
      </c>
      <c r="F18" s="20" t="s">
        <v>3009</v>
      </c>
      <c r="G18" s="21">
        <v>5</v>
      </c>
      <c r="H18" t="str">
        <f>VLOOKUP(B18,'Ürün İş Listesi'!B:B,1,0)</f>
        <v>KA-1596</v>
      </c>
    </row>
    <row r="19" spans="1:8" x14ac:dyDescent="0.25">
      <c r="A19" s="20" t="s">
        <v>14</v>
      </c>
      <c r="B19" s="20" t="s">
        <v>3022</v>
      </c>
      <c r="C19" s="20" t="s">
        <v>3017</v>
      </c>
      <c r="D19" s="20" t="s">
        <v>1298</v>
      </c>
      <c r="E19" s="20" t="s">
        <v>50</v>
      </c>
      <c r="F19" s="20" t="s">
        <v>3023</v>
      </c>
      <c r="G19" s="21">
        <v>3</v>
      </c>
      <c r="H19" t="str">
        <f>VLOOKUP(B19,'Ürün İş Listesi'!B:B,1,0)</f>
        <v>KA-1597</v>
      </c>
    </row>
    <row r="20" spans="1:8" x14ac:dyDescent="0.25">
      <c r="A20" s="20" t="s">
        <v>77</v>
      </c>
      <c r="B20" s="20" t="s">
        <v>3024</v>
      </c>
      <c r="C20" s="20" t="s">
        <v>3012</v>
      </c>
      <c r="D20" s="20" t="s">
        <v>3025</v>
      </c>
      <c r="E20" s="20" t="s">
        <v>50</v>
      </c>
      <c r="F20" s="20" t="s">
        <v>3009</v>
      </c>
      <c r="G20" s="21">
        <v>2</v>
      </c>
      <c r="H20" t="str">
        <f>VLOOKUP(B20,'Ürün İş Listesi'!B:B,1,0)</f>
        <v>KA-1602</v>
      </c>
    </row>
    <row r="21" spans="1:8" x14ac:dyDescent="0.25">
      <c r="A21" s="20" t="s">
        <v>77</v>
      </c>
      <c r="B21" s="20" t="s">
        <v>3026</v>
      </c>
      <c r="C21" s="20" t="s">
        <v>3012</v>
      </c>
      <c r="D21" s="20" t="s">
        <v>3027</v>
      </c>
      <c r="E21" s="20" t="s">
        <v>50</v>
      </c>
      <c r="F21" s="20" t="s">
        <v>3009</v>
      </c>
      <c r="G21" s="21">
        <v>2</v>
      </c>
      <c r="H21" t="str">
        <f>VLOOKUP(B21,'Ürün İş Listesi'!B:B,1,0)</f>
        <v>KA-1603</v>
      </c>
    </row>
    <row r="22" spans="1:8" x14ac:dyDescent="0.25">
      <c r="A22" s="20" t="s">
        <v>14</v>
      </c>
      <c r="B22" s="20" t="s">
        <v>1656</v>
      </c>
      <c r="C22" s="20" t="s">
        <v>3010</v>
      </c>
      <c r="D22" s="20" t="s">
        <v>1657</v>
      </c>
      <c r="E22" s="20" t="s">
        <v>56</v>
      </c>
      <c r="F22" s="20" t="s">
        <v>3009</v>
      </c>
      <c r="G22" s="21">
        <v>3</v>
      </c>
      <c r="H22" t="str">
        <f>VLOOKUP(B22,'Ürün İş Listesi'!B:B,1,0)</f>
        <v>MU-141</v>
      </c>
    </row>
    <row r="23" spans="1:8" x14ac:dyDescent="0.25">
      <c r="A23" s="20" t="s">
        <v>77</v>
      </c>
      <c r="B23" s="20" t="s">
        <v>1884</v>
      </c>
      <c r="C23" s="20" t="s">
        <v>3010</v>
      </c>
      <c r="D23" s="20" t="s">
        <v>1946</v>
      </c>
      <c r="E23" s="20" t="s">
        <v>56</v>
      </c>
      <c r="F23" s="20" t="s">
        <v>3009</v>
      </c>
      <c r="G23" s="21">
        <v>3</v>
      </c>
      <c r="H23" t="str">
        <f>VLOOKUP(B23,'Ürün İş Listesi'!B:B,1,0)</f>
        <v>MU-128</v>
      </c>
    </row>
    <row r="24" spans="1:8" x14ac:dyDescent="0.25">
      <c r="A24" s="23" t="s">
        <v>14</v>
      </c>
      <c r="B24" s="33" t="s">
        <v>1813</v>
      </c>
      <c r="D24" s="24" t="s">
        <v>1814</v>
      </c>
      <c r="E24" s="23" t="s">
        <v>47</v>
      </c>
      <c r="G24" s="24">
        <v>8</v>
      </c>
      <c r="H24" t="str">
        <f>VLOOKUP(B24,'Ürün İş Listesi'!B:B,1,0)</f>
        <v>KEP-302</v>
      </c>
    </row>
    <row r="25" spans="1:8" x14ac:dyDescent="0.25">
      <c r="A25" s="34" t="s">
        <v>14</v>
      </c>
      <c r="B25" s="34" t="s">
        <v>2534</v>
      </c>
      <c r="D25" s="34" t="s">
        <v>2461</v>
      </c>
      <c r="E25" s="34" t="s">
        <v>47</v>
      </c>
      <c r="G25" s="34"/>
      <c r="H25" t="str">
        <f>VLOOKUP(B25,'Ürün İş Listesi'!B:B,1,0)</f>
        <v>KEP-315</v>
      </c>
    </row>
    <row r="26" spans="1:8" x14ac:dyDescent="0.25">
      <c r="A26" s="23" t="s">
        <v>77</v>
      </c>
      <c r="B26" s="33" t="s">
        <v>2807</v>
      </c>
      <c r="D26" s="24" t="s">
        <v>2818</v>
      </c>
      <c r="E26" s="23" t="s">
        <v>47</v>
      </c>
      <c r="G26" s="24">
        <v>2</v>
      </c>
      <c r="H26" t="str">
        <f>VLOOKUP(B26,'Ürün İş Listesi'!B:B,1,0)</f>
        <v>KEP-317</v>
      </c>
    </row>
    <row r="27" spans="1:8" x14ac:dyDescent="0.25">
      <c r="A27" s="34" t="s">
        <v>14</v>
      </c>
      <c r="B27" s="34" t="s">
        <v>2808</v>
      </c>
      <c r="D27" s="34" t="s">
        <v>2819</v>
      </c>
      <c r="E27" s="34" t="s">
        <v>47</v>
      </c>
      <c r="G27" s="34">
        <v>3</v>
      </c>
      <c r="H27" t="str">
        <f>VLOOKUP(B27,'Ürün İş Listesi'!B:B,1,0)</f>
        <v>KEP-318</v>
      </c>
    </row>
    <row r="28" spans="1:8" x14ac:dyDescent="0.25">
      <c r="A28" s="23" t="s">
        <v>14</v>
      </c>
      <c r="B28" s="33" t="s">
        <v>2362</v>
      </c>
      <c r="D28" s="24" t="s">
        <v>2363</v>
      </c>
      <c r="E28" s="23" t="s">
        <v>599</v>
      </c>
      <c r="G28" s="24">
        <v>3</v>
      </c>
      <c r="H28" t="str">
        <f>VLOOKUP(B28,'Ürün İş Listesi'!B:B,1,0)</f>
        <v>WIK-765</v>
      </c>
    </row>
    <row r="29" spans="1:8" x14ac:dyDescent="0.25">
      <c r="A29" s="34" t="s">
        <v>14</v>
      </c>
      <c r="B29" s="34" t="s">
        <v>2366</v>
      </c>
      <c r="D29" s="34" t="s">
        <v>2367</v>
      </c>
      <c r="E29" s="34" t="s">
        <v>599</v>
      </c>
      <c r="G29" s="34">
        <v>2</v>
      </c>
      <c r="H29" t="str">
        <f>VLOOKUP(B29,'Ürün İş Listesi'!B:B,1,0)</f>
        <v>WIK-768</v>
      </c>
    </row>
    <row r="30" spans="1:8" x14ac:dyDescent="0.25">
      <c r="A30" s="23" t="s">
        <v>14</v>
      </c>
      <c r="B30" s="33" t="s">
        <v>2483</v>
      </c>
      <c r="D30" s="24" t="s">
        <v>2461</v>
      </c>
      <c r="E30" s="23" t="s">
        <v>53</v>
      </c>
      <c r="G30" s="24"/>
      <c r="H30" t="str">
        <f>VLOOKUP(B30,'Ürün İş Listesi'!B:B,1,0)</f>
        <v>WIK-783</v>
      </c>
    </row>
    <row r="31" spans="1:8" x14ac:dyDescent="0.25">
      <c r="A31" s="34" t="s">
        <v>14</v>
      </c>
      <c r="B31" s="34" t="s">
        <v>2754</v>
      </c>
      <c r="D31" s="34" t="s">
        <v>2755</v>
      </c>
      <c r="E31" s="34" t="s">
        <v>53</v>
      </c>
      <c r="G31" s="34">
        <v>3</v>
      </c>
      <c r="H31" t="str">
        <f>VLOOKUP(B31,'Ürün İş Listesi'!B:B,1,0)</f>
        <v>WIK-793</v>
      </c>
    </row>
    <row r="32" spans="1:8" x14ac:dyDescent="0.25">
      <c r="A32" s="23" t="s">
        <v>14</v>
      </c>
      <c r="B32" s="33" t="s">
        <v>2764</v>
      </c>
      <c r="D32" s="24" t="s">
        <v>2765</v>
      </c>
      <c r="E32" s="23" t="s">
        <v>53</v>
      </c>
      <c r="G32" s="24">
        <v>3</v>
      </c>
      <c r="H32" t="str">
        <f>VLOOKUP(B32,'Ürün İş Listesi'!B:B,1,0)</f>
        <v>WIK-791</v>
      </c>
    </row>
    <row r="33" spans="1:8" x14ac:dyDescent="0.25">
      <c r="A33" s="34" t="s">
        <v>77</v>
      </c>
      <c r="B33" s="34" t="s">
        <v>2804</v>
      </c>
      <c r="D33" s="34" t="s">
        <v>2815</v>
      </c>
      <c r="E33" s="34" t="s">
        <v>53</v>
      </c>
      <c r="G33" s="34">
        <v>2</v>
      </c>
      <c r="H33" t="str">
        <f>VLOOKUP(B33,'Ürün İş Listesi'!B:B,1,0)</f>
        <v>WIK-815</v>
      </c>
    </row>
    <row r="34" spans="1:8" x14ac:dyDescent="0.25">
      <c r="A34" s="23" t="s">
        <v>14</v>
      </c>
      <c r="B34" s="33" t="s">
        <v>2805</v>
      </c>
      <c r="D34" s="24" t="s">
        <v>2816</v>
      </c>
      <c r="E34" s="23" t="s">
        <v>53</v>
      </c>
      <c r="G34" s="24">
        <v>1</v>
      </c>
      <c r="H34" t="str">
        <f>VLOOKUP(B34,'Ürün İş Listesi'!B:B,1,0)</f>
        <v>WIK-810</v>
      </c>
    </row>
    <row r="35" spans="1:8" x14ac:dyDescent="0.25">
      <c r="A35" s="34" t="s">
        <v>14</v>
      </c>
      <c r="B35" s="34" t="s">
        <v>2806</v>
      </c>
      <c r="D35" s="34" t="s">
        <v>2817</v>
      </c>
      <c r="E35" s="34" t="s">
        <v>53</v>
      </c>
      <c r="G35" s="34">
        <v>2</v>
      </c>
      <c r="H35" t="str">
        <f>VLOOKUP(B35,'Ürün İş Listesi'!B:B,1,0)</f>
        <v>WIK-812</v>
      </c>
    </row>
    <row r="36" spans="1:8" x14ac:dyDescent="0.25">
      <c r="A36" s="23" t="s">
        <v>14</v>
      </c>
      <c r="B36" s="33" t="s">
        <v>2524</v>
      </c>
      <c r="D36" s="24" t="s">
        <v>2461</v>
      </c>
      <c r="E36" s="23" t="s">
        <v>2814</v>
      </c>
      <c r="G36" s="24"/>
      <c r="H36" t="str">
        <f>VLOOKUP(B36,'Ürün İş Listesi'!B:B,1,0)</f>
        <v>MUL-213</v>
      </c>
    </row>
    <row r="37" spans="1:8" x14ac:dyDescent="0.25">
      <c r="A37" s="34" t="s">
        <v>14</v>
      </c>
      <c r="B37" s="34" t="s">
        <v>2799</v>
      </c>
      <c r="D37" s="34" t="s">
        <v>2809</v>
      </c>
      <c r="E37" s="34" t="s">
        <v>1620</v>
      </c>
      <c r="G37" s="34">
        <v>1</v>
      </c>
      <c r="H37" t="str">
        <f>VLOOKUP(B37,'Ürün İş Listesi'!B:B,1,0)</f>
        <v>UKDS-223</v>
      </c>
    </row>
    <row r="38" spans="1:8" x14ac:dyDescent="0.25">
      <c r="A38" s="23" t="s">
        <v>14</v>
      </c>
      <c r="B38" s="33" t="s">
        <v>2800</v>
      </c>
      <c r="D38" s="24" t="s">
        <v>2810</v>
      </c>
      <c r="E38" s="23" t="s">
        <v>1620</v>
      </c>
      <c r="G38" s="24">
        <v>3</v>
      </c>
      <c r="H38" t="str">
        <f>VLOOKUP(B38,'Ürün İş Listesi'!B:B,1,0)</f>
        <v>UKDS-219</v>
      </c>
    </row>
    <row r="39" spans="1:8" x14ac:dyDescent="0.25">
      <c r="A39" s="34" t="s">
        <v>14</v>
      </c>
      <c r="B39" s="34" t="s">
        <v>2801</v>
      </c>
      <c r="D39" s="34" t="s">
        <v>2811</v>
      </c>
      <c r="E39" s="34" t="s">
        <v>1620</v>
      </c>
      <c r="G39" s="34">
        <v>2</v>
      </c>
      <c r="H39" t="str">
        <f>VLOOKUP(B39,'Ürün İş Listesi'!B:B,1,0)</f>
        <v>UKDS-221</v>
      </c>
    </row>
    <row r="40" spans="1:8" x14ac:dyDescent="0.25">
      <c r="A40" s="23" t="s">
        <v>14</v>
      </c>
      <c r="B40" s="33" t="s">
        <v>2802</v>
      </c>
      <c r="D40" s="24" t="s">
        <v>2812</v>
      </c>
      <c r="E40" s="23" t="s">
        <v>1620</v>
      </c>
      <c r="G40" s="24">
        <v>1</v>
      </c>
      <c r="H40" t="str">
        <f>VLOOKUP(B40,'Ürün İş Listesi'!B:B,1,0)</f>
        <v>UKDS-220</v>
      </c>
    </row>
    <row r="41" spans="1:8" x14ac:dyDescent="0.25">
      <c r="A41" s="34" t="s">
        <v>14</v>
      </c>
      <c r="B41" s="34" t="s">
        <v>2803</v>
      </c>
      <c r="D41" s="34" t="s">
        <v>2813</v>
      </c>
      <c r="E41" s="34" t="s">
        <v>1620</v>
      </c>
      <c r="G41" s="34">
        <v>1</v>
      </c>
      <c r="H41" t="str">
        <f>VLOOKUP(B41,'Ürün İş Listesi'!B:B,1,0)</f>
        <v>UKDS-222</v>
      </c>
    </row>
    <row r="42" spans="1:8" x14ac:dyDescent="0.25">
      <c r="A42" s="39" t="s">
        <v>14</v>
      </c>
      <c r="B42" s="29" t="s">
        <v>1004</v>
      </c>
      <c r="D42" s="29" t="s">
        <v>1987</v>
      </c>
      <c r="E42" s="29" t="s">
        <v>12</v>
      </c>
      <c r="G42" s="29">
        <v>5</v>
      </c>
      <c r="H42" t="str">
        <f>VLOOKUP(B42,'Ürün İş Listesi'!B:B,1,0)</f>
        <v>CRM-639</v>
      </c>
    </row>
    <row r="43" spans="1:8" x14ac:dyDescent="0.25">
      <c r="A43" s="36" t="s">
        <v>14</v>
      </c>
      <c r="B43" s="30" t="s">
        <v>1095</v>
      </c>
      <c r="D43" s="30" t="s">
        <v>1096</v>
      </c>
      <c r="E43" s="30" t="s">
        <v>12</v>
      </c>
      <c r="G43" s="30">
        <v>3</v>
      </c>
      <c r="H43" t="str">
        <f>VLOOKUP(B43,'Ürün İş Listesi'!B:B,1,0)</f>
        <v>CRM-649</v>
      </c>
    </row>
    <row r="44" spans="1:8" x14ac:dyDescent="0.25">
      <c r="A44" s="39" t="s">
        <v>14</v>
      </c>
      <c r="B44" s="29" t="s">
        <v>1807</v>
      </c>
      <c r="D44" s="29" t="s">
        <v>1808</v>
      </c>
      <c r="E44" s="29" t="s">
        <v>12</v>
      </c>
      <c r="G44" s="29">
        <v>2</v>
      </c>
      <c r="H44" t="str">
        <f>VLOOKUP(B44,'Ürün İş Listesi'!B:B,1,0)</f>
        <v>CRM-682</v>
      </c>
    </row>
    <row r="45" spans="1:8" x14ac:dyDescent="0.25">
      <c r="A45" s="36" t="s">
        <v>14</v>
      </c>
      <c r="B45" s="30" t="s">
        <v>2209</v>
      </c>
      <c r="D45" s="30" t="s">
        <v>2208</v>
      </c>
      <c r="E45" s="30" t="s">
        <v>12</v>
      </c>
      <c r="G45" s="30">
        <v>2</v>
      </c>
      <c r="H45" t="str">
        <f>VLOOKUP(B45,'Ürün İş Listesi'!B:B,1,0)</f>
        <v>CRM-737</v>
      </c>
    </row>
    <row r="46" spans="1:8" x14ac:dyDescent="0.25">
      <c r="A46" s="39" t="s">
        <v>14</v>
      </c>
      <c r="B46" s="29" t="s">
        <v>2296</v>
      </c>
      <c r="D46" s="29" t="s">
        <v>2297</v>
      </c>
      <c r="E46" s="29" t="s">
        <v>12</v>
      </c>
      <c r="G46" s="29">
        <v>1</v>
      </c>
      <c r="H46" t="str">
        <f>VLOOKUP(B46,'Ürün İş Listesi'!B:B,1,0)</f>
        <v>CRM-754</v>
      </c>
    </row>
    <row r="47" spans="1:8" x14ac:dyDescent="0.25">
      <c r="A47" s="36" t="s">
        <v>14</v>
      </c>
      <c r="B47" s="30" t="s">
        <v>2433</v>
      </c>
      <c r="D47" s="30" t="s">
        <v>2432</v>
      </c>
      <c r="E47" s="30" t="s">
        <v>12</v>
      </c>
      <c r="G47" s="30">
        <v>5</v>
      </c>
      <c r="H47" t="str">
        <f>VLOOKUP(B47,'Ürün İş Listesi'!B:B,1,0)</f>
        <v>CRM-763</v>
      </c>
    </row>
    <row r="48" spans="1:8" x14ac:dyDescent="0.25">
      <c r="A48" s="39" t="s">
        <v>14</v>
      </c>
      <c r="B48" s="29" t="s">
        <v>2428</v>
      </c>
      <c r="D48" s="29" t="s">
        <v>2427</v>
      </c>
      <c r="E48" s="29" t="s">
        <v>12</v>
      </c>
      <c r="G48" s="29">
        <v>3</v>
      </c>
      <c r="H48" t="str">
        <f>VLOOKUP(B48,'Ürün İş Listesi'!B:B,1,0)</f>
        <v>CRM-766</v>
      </c>
    </row>
    <row r="49" spans="1:8" x14ac:dyDescent="0.25">
      <c r="A49" s="36" t="s">
        <v>14</v>
      </c>
      <c r="B49" s="30" t="s">
        <v>2207</v>
      </c>
      <c r="D49" s="30" t="s">
        <v>2206</v>
      </c>
      <c r="E49" s="30" t="s">
        <v>12</v>
      </c>
      <c r="G49" s="30">
        <v>3</v>
      </c>
      <c r="H49" t="str">
        <f>VLOOKUP(B49,'Ürün İş Listesi'!B:B,1,0)</f>
        <v>CRM-738</v>
      </c>
    </row>
    <row r="50" spans="1:8" x14ac:dyDescent="0.25">
      <c r="A50" s="39" t="s">
        <v>14</v>
      </c>
      <c r="B50" s="29" t="s">
        <v>2431</v>
      </c>
      <c r="D50" s="29" t="s">
        <v>2472</v>
      </c>
      <c r="E50" s="29" t="s">
        <v>12</v>
      </c>
      <c r="G50" s="29">
        <v>3</v>
      </c>
      <c r="H50" t="str">
        <f>VLOOKUP(B50,'Ürün İş Listesi'!B:B,1,0)</f>
        <v>CRM-764</v>
      </c>
    </row>
    <row r="51" spans="1:8" x14ac:dyDescent="0.25">
      <c r="A51" s="36" t="s">
        <v>14</v>
      </c>
      <c r="B51" s="30" t="s">
        <v>2569</v>
      </c>
      <c r="D51" s="30" t="s">
        <v>2570</v>
      </c>
      <c r="E51" s="30" t="s">
        <v>12</v>
      </c>
      <c r="G51" s="30">
        <v>5</v>
      </c>
      <c r="H51" t="str">
        <f>VLOOKUP(B51,'Ürün İş Listesi'!B:B,1,0)</f>
        <v>CRM-780</v>
      </c>
    </row>
    <row r="52" spans="1:8" x14ac:dyDescent="0.25">
      <c r="A52" s="39" t="s">
        <v>14</v>
      </c>
      <c r="B52" s="29" t="s">
        <v>2571</v>
      </c>
      <c r="D52" s="29" t="s">
        <v>2572</v>
      </c>
      <c r="E52" s="29" t="s">
        <v>12</v>
      </c>
      <c r="G52" s="29">
        <v>5</v>
      </c>
      <c r="H52" t="str">
        <f>VLOOKUP(B52,'Ürün İş Listesi'!B:B,1,0)</f>
        <v>CRM-789</v>
      </c>
    </row>
    <row r="53" spans="1:8" x14ac:dyDescent="0.25">
      <c r="A53" s="36" t="s">
        <v>14</v>
      </c>
      <c r="B53" s="30" t="s">
        <v>2577</v>
      </c>
      <c r="D53" s="30" t="s">
        <v>2578</v>
      </c>
      <c r="E53" s="30" t="s">
        <v>12</v>
      </c>
      <c r="G53" s="30">
        <v>3</v>
      </c>
      <c r="H53" t="str">
        <f>VLOOKUP(B53,'Ürün İş Listesi'!B:B,1,0)</f>
        <v>CRM-785</v>
      </c>
    </row>
    <row r="54" spans="1:8" x14ac:dyDescent="0.25">
      <c r="A54" s="39" t="s">
        <v>14</v>
      </c>
      <c r="B54" s="29" t="s">
        <v>2697</v>
      </c>
      <c r="D54" s="29" t="s">
        <v>2702</v>
      </c>
      <c r="E54" s="29" t="s">
        <v>12</v>
      </c>
      <c r="G54" s="29">
        <v>2</v>
      </c>
      <c r="H54" t="str">
        <f>VLOOKUP(B54,'Ürün İş Listesi'!B:B,1,0)</f>
        <v>CRM-762</v>
      </c>
    </row>
    <row r="55" spans="1:8" x14ac:dyDescent="0.25">
      <c r="A55" s="36" t="s">
        <v>14</v>
      </c>
      <c r="B55" s="30" t="s">
        <v>2550</v>
      </c>
      <c r="D55" s="30" t="s">
        <v>2549</v>
      </c>
      <c r="E55" s="30" t="s">
        <v>12</v>
      </c>
      <c r="G55" s="30">
        <v>3</v>
      </c>
      <c r="H55" t="str">
        <f>VLOOKUP(B55,'Ürün İş Listesi'!B:B,1,0)</f>
        <v>CRM-758</v>
      </c>
    </row>
    <row r="56" spans="1:8" x14ac:dyDescent="0.25">
      <c r="A56" s="39" t="s">
        <v>14</v>
      </c>
      <c r="B56" s="29" t="s">
        <v>1774</v>
      </c>
      <c r="D56" s="29" t="s">
        <v>1775</v>
      </c>
      <c r="E56" s="29" t="s">
        <v>12</v>
      </c>
      <c r="G56" s="29">
        <v>3</v>
      </c>
      <c r="H56" t="str">
        <f>VLOOKUP(B56,'Ürün İş Listesi'!B:B,1,0)</f>
        <v>CRM-724</v>
      </c>
    </row>
    <row r="57" spans="1:8" x14ac:dyDescent="0.25">
      <c r="A57" s="36" t="s">
        <v>14</v>
      </c>
      <c r="B57" s="30" t="s">
        <v>2785</v>
      </c>
      <c r="D57" s="30" t="s">
        <v>2791</v>
      </c>
      <c r="E57" s="30" t="s">
        <v>12</v>
      </c>
      <c r="G57" s="30">
        <v>2</v>
      </c>
      <c r="H57" t="str">
        <f>VLOOKUP(B57,'Ürün İş Listesi'!B:B,1,0)</f>
        <v>CRM-806</v>
      </c>
    </row>
    <row r="58" spans="1:8" x14ac:dyDescent="0.25">
      <c r="A58" s="39" t="s">
        <v>14</v>
      </c>
      <c r="B58" s="29" t="s">
        <v>2786</v>
      </c>
      <c r="D58" s="29" t="s">
        <v>2792</v>
      </c>
      <c r="E58" s="29" t="s">
        <v>12</v>
      </c>
      <c r="G58" s="29">
        <v>5</v>
      </c>
      <c r="H58" t="str">
        <f>VLOOKUP(B58,'Ürün İş Listesi'!B:B,1,0)</f>
        <v>CRM-810</v>
      </c>
    </row>
    <row r="59" spans="1:8" x14ac:dyDescent="0.25">
      <c r="A59" s="36" t="s">
        <v>14</v>
      </c>
      <c r="B59" s="30" t="s">
        <v>2787</v>
      </c>
      <c r="D59" s="30" t="s">
        <v>2793</v>
      </c>
      <c r="E59" s="30" t="s">
        <v>12</v>
      </c>
      <c r="G59" s="30">
        <v>3</v>
      </c>
      <c r="H59" t="str">
        <f>VLOOKUP(B59,'Ürün İş Listesi'!B:B,1,0)</f>
        <v>CRM-813</v>
      </c>
    </row>
    <row r="60" spans="1:8" x14ac:dyDescent="0.25">
      <c r="A60" s="39" t="s">
        <v>14</v>
      </c>
      <c r="B60" s="29" t="s">
        <v>2788</v>
      </c>
      <c r="D60" s="29" t="s">
        <v>2794</v>
      </c>
      <c r="E60" s="29" t="s">
        <v>12</v>
      </c>
      <c r="G60" s="29">
        <v>5</v>
      </c>
      <c r="H60" t="str">
        <f>VLOOKUP(B60,'Ürün İş Listesi'!B:B,1,0)</f>
        <v>CRM-815</v>
      </c>
    </row>
    <row r="61" spans="1:8" x14ac:dyDescent="0.25">
      <c r="A61" s="36" t="s">
        <v>14</v>
      </c>
      <c r="B61" s="30" t="s">
        <v>2789</v>
      </c>
      <c r="D61" s="30" t="s">
        <v>2795</v>
      </c>
      <c r="E61" s="30" t="s">
        <v>12</v>
      </c>
      <c r="G61" s="30">
        <v>3</v>
      </c>
      <c r="H61" t="str">
        <f>VLOOKUP(B61,'Ürün İş Listesi'!B:B,1,0)</f>
        <v>CRM-774</v>
      </c>
    </row>
    <row r="62" spans="1:8" x14ac:dyDescent="0.25">
      <c r="A62" s="39" t="s">
        <v>14</v>
      </c>
      <c r="B62" s="29" t="s">
        <v>2790</v>
      </c>
      <c r="D62" s="29" t="s">
        <v>2796</v>
      </c>
      <c r="E62" s="29" t="s">
        <v>12</v>
      </c>
      <c r="G62" s="29">
        <v>3</v>
      </c>
      <c r="H62" t="str">
        <f>VLOOKUP(B62,'Ürün İş Listesi'!B:B,1,0)</f>
        <v>CRM-812</v>
      </c>
    </row>
    <row r="63" spans="1:8" x14ac:dyDescent="0.25">
      <c r="A63" s="36" t="s">
        <v>14</v>
      </c>
      <c r="B63" s="30" t="s">
        <v>2544</v>
      </c>
      <c r="D63" s="30" t="s">
        <v>2543</v>
      </c>
      <c r="E63" s="30" t="s">
        <v>12</v>
      </c>
      <c r="G63" s="30">
        <v>5</v>
      </c>
      <c r="H63" t="str">
        <f>VLOOKUP(B63,'Ürün İş Listesi'!B:B,1,0)</f>
        <v>CRM-777</v>
      </c>
    </row>
    <row r="64" spans="1:8" x14ac:dyDescent="0.25">
      <c r="A64" s="39" t="s">
        <v>14</v>
      </c>
      <c r="B64" s="29" t="s">
        <v>2694</v>
      </c>
      <c r="D64" s="29" t="s">
        <v>2578</v>
      </c>
      <c r="E64" s="29" t="s">
        <v>12</v>
      </c>
      <c r="G64" s="29">
        <v>3</v>
      </c>
      <c r="H64" t="str">
        <f>VLOOKUP(B64,'Ürün İş Listesi'!B:B,1,0)</f>
        <v>CRM-800</v>
      </c>
    </row>
    <row r="65" spans="1:8" x14ac:dyDescent="0.25">
      <c r="A65" s="36" t="s">
        <v>14</v>
      </c>
      <c r="B65" s="30" t="s">
        <v>3035</v>
      </c>
      <c r="D65" s="30" t="s">
        <v>3036</v>
      </c>
      <c r="E65" s="30" t="s">
        <v>12</v>
      </c>
      <c r="G65" s="30">
        <v>3</v>
      </c>
      <c r="H65" t="str">
        <f>VLOOKUP(B65,'Ürün İş Listesi'!B:B,1,0)</f>
        <v>CRM-809</v>
      </c>
    </row>
    <row r="66" spans="1:8" x14ac:dyDescent="0.25">
      <c r="A66" s="39" t="s">
        <v>14</v>
      </c>
      <c r="B66" s="29" t="s">
        <v>3037</v>
      </c>
      <c r="D66" s="29" t="s">
        <v>3038</v>
      </c>
      <c r="E66" s="29" t="s">
        <v>12</v>
      </c>
      <c r="G66" s="29">
        <v>1</v>
      </c>
      <c r="H66" t="str">
        <f>VLOOKUP(B66,'Ürün İş Listesi'!B:B,1,0)</f>
        <v>CRM-821</v>
      </c>
    </row>
    <row r="67" spans="1:8" x14ac:dyDescent="0.25">
      <c r="A67" s="39" t="s">
        <v>14</v>
      </c>
      <c r="B67" s="29" t="s">
        <v>3044</v>
      </c>
      <c r="C67" s="29" t="s">
        <v>3045</v>
      </c>
      <c r="D67" s="29" t="s">
        <v>3046</v>
      </c>
      <c r="E67" s="29" t="s">
        <v>1386</v>
      </c>
      <c r="F67" s="29"/>
      <c r="G67" s="42">
        <v>13</v>
      </c>
      <c r="H67" t="str">
        <f>VLOOKUP(B67,'Ürün İş Listesi'!B:B,1,0)</f>
        <v>ES-306</v>
      </c>
    </row>
    <row r="68" spans="1:8" x14ac:dyDescent="0.25">
      <c r="A68" s="36" t="s">
        <v>14</v>
      </c>
      <c r="B68" s="30" t="s">
        <v>3047</v>
      </c>
      <c r="C68" s="30" t="s">
        <v>3045</v>
      </c>
      <c r="D68" s="30" t="s">
        <v>3048</v>
      </c>
      <c r="E68" s="30" t="s">
        <v>38</v>
      </c>
      <c r="F68" s="30"/>
      <c r="G68" s="43">
        <v>13</v>
      </c>
      <c r="H68" t="str">
        <f>VLOOKUP(B68,'Ürün İş Listesi'!B:B,1,0)</f>
        <v>EDF-824</v>
      </c>
    </row>
    <row r="69" spans="1:8" x14ac:dyDescent="0.25">
      <c r="A69" s="39" t="s">
        <v>14</v>
      </c>
      <c r="B69" s="29" t="s">
        <v>3049</v>
      </c>
      <c r="C69" s="29" t="s">
        <v>3045</v>
      </c>
      <c r="D69" s="29" t="s">
        <v>3050</v>
      </c>
      <c r="E69" s="29" t="s">
        <v>1386</v>
      </c>
      <c r="F69" s="29"/>
      <c r="G69" s="42">
        <v>5</v>
      </c>
      <c r="H69" t="str">
        <f>VLOOKUP(B69,'Ürün İş Listesi'!B:B,1,0)</f>
        <v>ES-305</v>
      </c>
    </row>
    <row r="70" spans="1:8" x14ac:dyDescent="0.25">
      <c r="A70" s="36" t="s">
        <v>14</v>
      </c>
      <c r="B70" s="30" t="s">
        <v>3051</v>
      </c>
      <c r="C70" s="30" t="s">
        <v>3045</v>
      </c>
      <c r="D70" s="30" t="s">
        <v>3052</v>
      </c>
      <c r="E70" s="30" t="s">
        <v>38</v>
      </c>
      <c r="F70" s="30"/>
      <c r="G70" s="43">
        <v>5</v>
      </c>
      <c r="H70" t="str">
        <f>VLOOKUP(B70,'Ürün İş Listesi'!B:B,1,0)</f>
        <v>EDF-822</v>
      </c>
    </row>
    <row r="71" spans="1:8" x14ac:dyDescent="0.25">
      <c r="A71" s="39" t="s">
        <v>14</v>
      </c>
      <c r="B71" s="29" t="s">
        <v>3053</v>
      </c>
      <c r="C71" s="29" t="s">
        <v>16</v>
      </c>
      <c r="D71" s="29" t="s">
        <v>3054</v>
      </c>
      <c r="E71" s="29" t="s">
        <v>38</v>
      </c>
      <c r="F71" s="29"/>
      <c r="G71" s="42">
        <v>1</v>
      </c>
      <c r="H71" t="str">
        <f>VLOOKUP(B71,'Ürün İş Listesi'!B:B,1,0)</f>
        <v>EDF-821</v>
      </c>
    </row>
    <row r="72" spans="1:8" x14ac:dyDescent="0.25">
      <c r="A72" s="36" t="s">
        <v>77</v>
      </c>
      <c r="B72" s="30" t="s">
        <v>2997</v>
      </c>
      <c r="C72" s="30" t="s">
        <v>16</v>
      </c>
      <c r="D72" s="30" t="s">
        <v>2998</v>
      </c>
      <c r="E72" s="30" t="s">
        <v>41</v>
      </c>
      <c r="F72" s="30" t="s">
        <v>3055</v>
      </c>
      <c r="G72" s="43">
        <v>1</v>
      </c>
      <c r="H72" t="str">
        <f>VLOOKUP(B72,'Ürün İş Listesi'!B:B,1,0)</f>
        <v>EFT-2381</v>
      </c>
    </row>
    <row r="73" spans="1:8" x14ac:dyDescent="0.25">
      <c r="A73" s="39" t="s">
        <v>14</v>
      </c>
      <c r="B73" s="29" t="s">
        <v>2999</v>
      </c>
      <c r="C73" s="29" t="s">
        <v>16</v>
      </c>
      <c r="D73" s="29" t="s">
        <v>3000</v>
      </c>
      <c r="E73" s="29" t="s">
        <v>41</v>
      </c>
      <c r="F73" s="29" t="s">
        <v>3055</v>
      </c>
      <c r="G73" s="42">
        <v>2</v>
      </c>
      <c r="H73" t="str">
        <f>VLOOKUP(B73,'Ürün İş Listesi'!B:B,1,0)</f>
        <v>EFT-2380</v>
      </c>
    </row>
    <row r="74" spans="1:8" x14ac:dyDescent="0.25">
      <c r="A74" s="36" t="s">
        <v>77</v>
      </c>
      <c r="B74" s="30" t="s">
        <v>3001</v>
      </c>
      <c r="C74" s="30" t="s">
        <v>16</v>
      </c>
      <c r="D74" s="30" t="s">
        <v>3002</v>
      </c>
      <c r="E74" s="30" t="s">
        <v>41</v>
      </c>
      <c r="F74" s="30" t="s">
        <v>3055</v>
      </c>
      <c r="G74" s="43">
        <v>1</v>
      </c>
      <c r="H74" t="str">
        <f>VLOOKUP(B74,'Ürün İş Listesi'!B:B,1,0)</f>
        <v>EFT-2379</v>
      </c>
    </row>
    <row r="75" spans="1:8" x14ac:dyDescent="0.25">
      <c r="A75" s="39" t="s">
        <v>77</v>
      </c>
      <c r="B75" s="29" t="s">
        <v>3003</v>
      </c>
      <c r="C75" s="29" t="s">
        <v>16</v>
      </c>
      <c r="D75" s="29" t="s">
        <v>3004</v>
      </c>
      <c r="E75" s="29" t="s">
        <v>41</v>
      </c>
      <c r="F75" s="29" t="s">
        <v>3055</v>
      </c>
      <c r="G75" s="42">
        <v>1</v>
      </c>
      <c r="H75" t="str">
        <f>VLOOKUP(B75,'Ürün İş Listesi'!B:B,1,0)</f>
        <v>EFT-2378</v>
      </c>
    </row>
    <row r="76" spans="1:8" x14ac:dyDescent="0.25">
      <c r="A76" s="36" t="s">
        <v>77</v>
      </c>
      <c r="B76" s="30" t="s">
        <v>3005</v>
      </c>
      <c r="C76" s="30" t="s">
        <v>16</v>
      </c>
      <c r="D76" s="30" t="s">
        <v>3006</v>
      </c>
      <c r="E76" s="30" t="s">
        <v>41</v>
      </c>
      <c r="F76" s="30" t="s">
        <v>3055</v>
      </c>
      <c r="G76" s="43">
        <v>2</v>
      </c>
      <c r="H76" t="str">
        <f>VLOOKUP(B76,'Ürün İş Listesi'!B:B,1,0)</f>
        <v>EFT-2377</v>
      </c>
    </row>
    <row r="77" spans="1:8" x14ac:dyDescent="0.25">
      <c r="A77" s="39" t="s">
        <v>77</v>
      </c>
      <c r="B77" s="29" t="s">
        <v>3007</v>
      </c>
      <c r="C77" s="29" t="s">
        <v>16</v>
      </c>
      <c r="D77" s="29" t="s">
        <v>3008</v>
      </c>
      <c r="E77" s="29" t="s">
        <v>41</v>
      </c>
      <c r="F77" s="29" t="s">
        <v>3055</v>
      </c>
      <c r="G77" s="42">
        <v>1</v>
      </c>
      <c r="H77" t="str">
        <f>VLOOKUP(B77,'Ürün İş Listesi'!B:B,1,0)</f>
        <v>EFT-2376</v>
      </c>
    </row>
    <row r="78" spans="1:8" x14ac:dyDescent="0.25">
      <c r="A78" s="36" t="s">
        <v>14</v>
      </c>
      <c r="B78" s="30" t="s">
        <v>2750</v>
      </c>
      <c r="C78" s="30" t="s">
        <v>16</v>
      </c>
      <c r="D78" s="30" t="s">
        <v>2751</v>
      </c>
      <c r="E78" s="30" t="s">
        <v>41</v>
      </c>
      <c r="F78" s="30" t="s">
        <v>3055</v>
      </c>
      <c r="G78" s="43">
        <v>5</v>
      </c>
      <c r="H78" t="str">
        <f>VLOOKUP(B78,'Ürün İş Listesi'!B:B,1,0)</f>
        <v>EFT-2368</v>
      </c>
    </row>
    <row r="79" spans="1:8" x14ac:dyDescent="0.25">
      <c r="A79" s="39" t="s">
        <v>14</v>
      </c>
      <c r="B79" s="29" t="s">
        <v>2540</v>
      </c>
      <c r="C79" s="29" t="s">
        <v>1820</v>
      </c>
      <c r="D79" s="29" t="s">
        <v>2461</v>
      </c>
      <c r="E79" s="29" t="s">
        <v>41</v>
      </c>
      <c r="F79" s="29"/>
      <c r="G79" s="42">
        <v>13</v>
      </c>
      <c r="H79" t="str">
        <f>VLOOKUP(B79,'Ürün İş Listesi'!B:B,1,0)</f>
        <v>EFT-2351</v>
      </c>
    </row>
    <row r="80" spans="1:8" x14ac:dyDescent="0.25">
      <c r="A80" s="20"/>
      <c r="B80" s="20"/>
      <c r="D80" s="20"/>
      <c r="E80" s="20"/>
      <c r="G80" s="21"/>
      <c r="H80" t="e">
        <f>VLOOKUP(B80,'Ürün İş Listesi'!B:B,1,0)</f>
        <v>#N/A</v>
      </c>
    </row>
    <row r="81" spans="1:8" x14ac:dyDescent="0.25">
      <c r="A81" s="20"/>
      <c r="B81" s="20"/>
      <c r="D81" s="20"/>
      <c r="E81" s="20"/>
      <c r="G81" s="21"/>
      <c r="H81" t="e">
        <f>VLOOKUP(B81,'Ürün İş Listesi'!B:B,1,0)</f>
        <v>#N/A</v>
      </c>
    </row>
    <row r="82" spans="1:8" x14ac:dyDescent="0.25">
      <c r="A82" s="20"/>
      <c r="B82" s="20"/>
      <c r="D82" s="22"/>
      <c r="E82" s="20"/>
      <c r="G82" s="21"/>
      <c r="H82" t="e">
        <f>VLOOKUP(B82,'Ürün İş Listesi'!B:B,1,0)</f>
        <v>#N/A</v>
      </c>
    </row>
    <row r="83" spans="1:8" x14ac:dyDescent="0.25">
      <c r="A83" s="20"/>
      <c r="B83" s="20"/>
      <c r="D83" s="20"/>
      <c r="E83" s="20"/>
      <c r="G83" s="21"/>
      <c r="H83" t="e">
        <f>VLOOKUP(B83,'Ürün İş Listesi'!B:B,1,0)</f>
        <v>#N/A</v>
      </c>
    </row>
    <row r="84" spans="1:8" x14ac:dyDescent="0.25">
      <c r="A84" s="20"/>
      <c r="B84" s="20"/>
      <c r="D84" s="20"/>
      <c r="E84" s="20"/>
      <c r="G84" s="21"/>
      <c r="H84" t="e">
        <f>VLOOKUP(B84,'Ürün İş Listesi'!B:B,1,0)</f>
        <v>#N/A</v>
      </c>
    </row>
    <row r="85" spans="1:8" x14ac:dyDescent="0.25">
      <c r="A85" s="20"/>
      <c r="B85" s="20"/>
      <c r="D85" s="20"/>
      <c r="E85" s="20"/>
      <c r="G85" s="21"/>
      <c r="H85" t="e">
        <f>VLOOKUP(B85,'Ürün İş Listesi'!B:B,1,0)</f>
        <v>#N/A</v>
      </c>
    </row>
    <row r="86" spans="1:8" x14ac:dyDescent="0.25">
      <c r="A86" s="20"/>
      <c r="B86" s="20"/>
      <c r="D86" s="20"/>
      <c r="E86" s="20"/>
      <c r="G86" s="21"/>
      <c r="H86" t="e">
        <f>VLOOKUP(B86,'Ürün İş Listesi'!B:B,1,0)</f>
        <v>#N/A</v>
      </c>
    </row>
    <row r="87" spans="1:8" x14ac:dyDescent="0.25">
      <c r="A87" s="20"/>
      <c r="B87" s="20"/>
      <c r="D87" s="20"/>
      <c r="E87" s="20"/>
      <c r="G87" s="21"/>
      <c r="H87" t="e">
        <f>VLOOKUP(B87,'Ürün İş Listesi'!B:B,1,0)</f>
        <v>#N/A</v>
      </c>
    </row>
    <row r="88" spans="1:8" x14ac:dyDescent="0.25">
      <c r="A88" s="20"/>
      <c r="B88" s="20"/>
      <c r="D88" s="20"/>
      <c r="E88" s="20"/>
      <c r="G88" s="21"/>
      <c r="H88" t="e">
        <f>VLOOKUP(B88,'Ürün İş Listesi'!B:B,1,0)</f>
        <v>#N/A</v>
      </c>
    </row>
    <row r="89" spans="1:8" x14ac:dyDescent="0.25">
      <c r="A89" s="20"/>
      <c r="B89" s="20"/>
      <c r="D89" s="20"/>
      <c r="E89" s="20"/>
      <c r="G89" s="21"/>
      <c r="H89" t="e">
        <f>VLOOKUP(B89,'Ürün İş Listesi'!B:B,1,0)</f>
        <v>#N/A</v>
      </c>
    </row>
    <row r="90" spans="1:8" x14ac:dyDescent="0.25">
      <c r="A90" s="20"/>
      <c r="B90" s="20"/>
      <c r="D90" s="20"/>
      <c r="E90" s="20"/>
      <c r="G90" s="21"/>
      <c r="H90" t="e">
        <f>VLOOKUP(B90,'Ürün İş Listesi'!B:B,1,0)</f>
        <v>#N/A</v>
      </c>
    </row>
    <row r="91" spans="1:8" x14ac:dyDescent="0.25">
      <c r="A91" s="20"/>
      <c r="B91" s="20"/>
      <c r="D91" s="20"/>
      <c r="E91" s="20"/>
      <c r="G91" s="21"/>
      <c r="H91" t="e">
        <f>VLOOKUP(B91,'Ürün İş Listesi'!B:B,1,0)</f>
        <v>#N/A</v>
      </c>
    </row>
    <row r="92" spans="1:8" x14ac:dyDescent="0.25">
      <c r="A92" s="20"/>
      <c r="B92" s="20"/>
      <c r="D92" s="20"/>
      <c r="E92" s="20"/>
      <c r="G92" s="21"/>
      <c r="H92" t="e">
        <f>VLOOKUP(B92,'Ürün İş Listesi'!B:B,1,0)</f>
        <v>#N/A</v>
      </c>
    </row>
    <row r="93" spans="1:8" x14ac:dyDescent="0.25">
      <c r="A93" s="20"/>
      <c r="B93" s="20"/>
      <c r="D93" s="20"/>
      <c r="E93" s="20"/>
      <c r="G93" s="21"/>
      <c r="H93" t="e">
        <f>VLOOKUP(B93,'Ürün İş Listesi'!B:B,1,0)</f>
        <v>#N/A</v>
      </c>
    </row>
    <row r="94" spans="1:8" x14ac:dyDescent="0.25">
      <c r="A94" s="20"/>
      <c r="B94" s="20"/>
      <c r="D94" s="20"/>
      <c r="E94" s="20"/>
      <c r="G94" s="21"/>
      <c r="H94" t="e">
        <f>VLOOKUP(B94,'Ürün İş Listesi'!B:B,1,0)</f>
        <v>#N/A</v>
      </c>
    </row>
    <row r="95" spans="1:8" x14ac:dyDescent="0.25">
      <c r="A95" s="20"/>
      <c r="B95" s="20"/>
      <c r="D95" s="20"/>
      <c r="E95" s="20"/>
      <c r="G95" s="21"/>
      <c r="H95" t="e">
        <f>VLOOKUP(B95,'Ürün İş Listesi'!B:B,1,0)</f>
        <v>#N/A</v>
      </c>
    </row>
  </sheetData>
  <autoFilter ref="A1:H95" xr:uid="{873505D3-A126-42FB-832D-FB3DC1399509}"/>
  <conditionalFormatting sqref="B21">
    <cfRule type="duplicateValues" dxfId="5" priority="2"/>
  </conditionalFormatting>
  <conditionalFormatting sqref="B43">
    <cfRule type="duplicateValues" dxfId="4" priority="1"/>
  </conditionalFormatting>
  <hyperlinks>
    <hyperlink ref="B24" r:id="rId1" tooltip="View this issue" display="http://192.168.124.186:8080/browse/KEP-302" xr:uid="{22748644-69DC-4A44-8011-290815E9E5FE}"/>
    <hyperlink ref="B28" r:id="rId2" tooltip="View this issue" display="http://192.168.124.186:8080/browse/WIK-765" xr:uid="{6052575F-8C5F-4E0F-88F3-935898CAE331}"/>
    <hyperlink ref="B29" r:id="rId3" tooltip="View this issue" display="http://192.168.124.186:8080/browse/WIK-768" xr:uid="{B684B828-93A8-4261-A41A-260B39D29273}"/>
    <hyperlink ref="B31" r:id="rId4" tooltip="View this issue" display="http://192.168.124.186:8080/browse/WIK-793" xr:uid="{673AEC9F-9373-4A34-B456-AA934D191024}"/>
    <hyperlink ref="B32" r:id="rId5" tooltip="View this issue" display="http://192.168.124.186:8080/browse/WIK-791" xr:uid="{1182C099-87E9-4845-9524-7D1E1AAE44A3}"/>
    <hyperlink ref="B37" r:id="rId6" tooltip="View this issue" display="http://192.168.124.186:8080/browse/UKDS-223" xr:uid="{BB03DCA8-14CE-4F95-9A4B-F449B2872883}"/>
    <hyperlink ref="B38" r:id="rId7" tooltip="View this issue" display="http://192.168.124.186:8080/browse/UKDS-219" xr:uid="{F1A5EC1F-ED15-4F4E-9D91-2E6248FA7646}"/>
    <hyperlink ref="B39" r:id="rId8" tooltip="View this issue" display="http://192.168.124.186:8080/browse/UKDS-221" xr:uid="{D09641C5-68A5-4694-947A-8DB5D4871BF0}"/>
    <hyperlink ref="B40" r:id="rId9" tooltip="View this issue" display="http://192.168.124.186:8080/browse/UKDS-220" xr:uid="{9F135EFB-CC7E-413E-8E0B-17EA3443F50F}"/>
    <hyperlink ref="B41" r:id="rId10" tooltip="View this issue" display="http://192.168.124.186:8080/browse/UKDS-222" xr:uid="{34FF37DE-8FAC-403D-BAA7-22F57F534C2F}"/>
    <hyperlink ref="B36" r:id="rId11" tooltip="View this issue" display="http://192.168.124.186:8080/browse/MUL-213" xr:uid="{30E74987-5D62-40E0-8092-D7417AB461F3}"/>
    <hyperlink ref="B33" r:id="rId12" tooltip="View this issue" display="http://192.168.124.186:8080/browse/WIK-815" xr:uid="{22DD6BA7-9160-4098-ADAD-F5ACABAD72B1}"/>
    <hyperlink ref="B34" r:id="rId13" tooltip="View this issue" display="http://192.168.124.186:8080/browse/WIK-810" xr:uid="{5226986E-7E0A-4E91-AC47-CBF78F569685}"/>
    <hyperlink ref="B35" r:id="rId14" tooltip="View this issue" display="http://192.168.124.186:8080/browse/WIK-812" xr:uid="{3B762CE8-A4C9-4EA8-8529-148B7C52F44C}"/>
    <hyperlink ref="B26" r:id="rId15" tooltip="View this issue" display="http://192.168.124.186:8080/browse/KEP-317" xr:uid="{5A8F5C8E-2216-482C-A981-DC0EA1826827}"/>
    <hyperlink ref="B27" r:id="rId16" tooltip="View this issue" display="http://192.168.124.186:8080/browse/KEP-318" xr:uid="{D4B30046-796A-482F-A8F5-55B405AD4601}"/>
  </hyperlinks>
  <pageMargins left="0.7" right="0.7" top="0.75" bottom="0.75" header="0.3" footer="0.3"/>
  <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CFD6D-6ED0-47E8-9E8A-080B6BFDB26F}">
  <dimension ref="A1:H68"/>
  <sheetViews>
    <sheetView zoomScale="85" zoomScaleNormal="85" workbookViewId="0">
      <selection activeCell="D18" sqref="D18"/>
    </sheetView>
  </sheetViews>
  <sheetFormatPr defaultRowHeight="15" x14ac:dyDescent="0.25"/>
  <cols>
    <col min="4" max="4" width="109.5703125" bestFit="1" customWidth="1"/>
    <col min="5" max="5" width="14.28515625" bestFit="1" customWidth="1"/>
    <col min="7" max="7" width="15.140625" style="5" bestFit="1" customWidth="1"/>
  </cols>
  <sheetData>
    <row r="1" spans="1:8" x14ac:dyDescent="0.25">
      <c r="A1" t="s">
        <v>0</v>
      </c>
      <c r="B1" t="s">
        <v>1</v>
      </c>
      <c r="C1" t="s">
        <v>2</v>
      </c>
      <c r="D1" t="s">
        <v>3</v>
      </c>
      <c r="E1" t="s">
        <v>1815</v>
      </c>
      <c r="F1" t="s">
        <v>1816</v>
      </c>
      <c r="G1" s="5" t="s">
        <v>1817</v>
      </c>
    </row>
    <row r="2" spans="1:8" x14ac:dyDescent="0.25">
      <c r="A2" s="20" t="s">
        <v>14</v>
      </c>
      <c r="B2" s="20" t="s">
        <v>1755</v>
      </c>
      <c r="C2" s="20" t="s">
        <v>3012</v>
      </c>
      <c r="D2" s="20" t="s">
        <v>1756</v>
      </c>
      <c r="E2" s="20" t="s">
        <v>44</v>
      </c>
      <c r="F2" s="20" t="s">
        <v>3011</v>
      </c>
      <c r="G2" s="21"/>
      <c r="H2" t="str">
        <f>VLOOKUP(B2,'Ürün İş Listesi'!B:B,1,0)</f>
        <v>IEU-264</v>
      </c>
    </row>
    <row r="3" spans="1:8" x14ac:dyDescent="0.25">
      <c r="A3" s="20" t="s">
        <v>14</v>
      </c>
      <c r="B3" s="20" t="s">
        <v>2684</v>
      </c>
      <c r="C3" s="20" t="s">
        <v>3017</v>
      </c>
      <c r="D3" s="20" t="s">
        <v>2780</v>
      </c>
      <c r="E3" s="20" t="s">
        <v>44</v>
      </c>
      <c r="F3" s="20" t="s">
        <v>3016</v>
      </c>
      <c r="G3" s="21">
        <v>5</v>
      </c>
      <c r="H3" t="str">
        <f>VLOOKUP(B3,'Ürün İş Listesi'!B:B,1,0)</f>
        <v>IEU-324</v>
      </c>
    </row>
    <row r="4" spans="1:8" x14ac:dyDescent="0.25">
      <c r="A4" s="20" t="s">
        <v>14</v>
      </c>
      <c r="B4" s="20" t="s">
        <v>2685</v>
      </c>
      <c r="C4" s="20" t="s">
        <v>3028</v>
      </c>
      <c r="D4" s="20" t="s">
        <v>2690</v>
      </c>
      <c r="E4" s="20" t="s">
        <v>50</v>
      </c>
      <c r="F4" s="20" t="s">
        <v>3018</v>
      </c>
      <c r="G4" s="21"/>
      <c r="H4" t="str">
        <f>VLOOKUP(B4,'Ürün İş Listesi'!B:B,1,0)</f>
        <v>KA-1588</v>
      </c>
    </row>
    <row r="5" spans="1:8" x14ac:dyDescent="0.25">
      <c r="A5" s="20" t="s">
        <v>14</v>
      </c>
      <c r="B5" s="20" t="s">
        <v>2378</v>
      </c>
      <c r="C5" s="20" t="s">
        <v>3017</v>
      </c>
      <c r="D5" s="20" t="s">
        <v>2377</v>
      </c>
      <c r="E5" s="20" t="s">
        <v>56</v>
      </c>
      <c r="F5" s="20" t="s">
        <v>3015</v>
      </c>
      <c r="G5" s="21">
        <v>5</v>
      </c>
      <c r="H5" t="str">
        <f>VLOOKUP(B5,'Ürün İş Listesi'!B:B,1,0)</f>
        <v>MU-188</v>
      </c>
    </row>
    <row r="6" spans="1:8" x14ac:dyDescent="0.25">
      <c r="A6" s="20" t="s">
        <v>14</v>
      </c>
      <c r="B6" s="20" t="s">
        <v>3020</v>
      </c>
      <c r="C6" s="20" t="s">
        <v>3012</v>
      </c>
      <c r="D6" s="20" t="s">
        <v>3021</v>
      </c>
      <c r="E6" s="20" t="s">
        <v>50</v>
      </c>
      <c r="F6" s="20" t="s">
        <v>3009</v>
      </c>
      <c r="G6" s="21">
        <v>5</v>
      </c>
      <c r="H6" t="str">
        <f>VLOOKUP(B6,'Ürün İş Listesi'!B:B,1,0)</f>
        <v>KA-1596</v>
      </c>
    </row>
    <row r="7" spans="1:8" x14ac:dyDescent="0.25">
      <c r="A7" s="20" t="s">
        <v>14</v>
      </c>
      <c r="B7" s="20" t="s">
        <v>3022</v>
      </c>
      <c r="C7" s="20" t="s">
        <v>3017</v>
      </c>
      <c r="D7" s="20" t="s">
        <v>1298</v>
      </c>
      <c r="E7" s="20" t="s">
        <v>50</v>
      </c>
      <c r="F7" s="20" t="s">
        <v>3023</v>
      </c>
      <c r="G7" s="21">
        <v>3</v>
      </c>
      <c r="H7" t="str">
        <f>VLOOKUP(B7,'Ürün İş Listesi'!B:B,1,0)</f>
        <v>KA-1597</v>
      </c>
    </row>
    <row r="8" spans="1:8" x14ac:dyDescent="0.25">
      <c r="A8" s="20" t="s">
        <v>77</v>
      </c>
      <c r="B8" s="20" t="s">
        <v>3024</v>
      </c>
      <c r="C8" s="20" t="s">
        <v>3012</v>
      </c>
      <c r="D8" s="20" t="s">
        <v>3025</v>
      </c>
      <c r="E8" s="20" t="s">
        <v>50</v>
      </c>
      <c r="F8" s="20" t="s">
        <v>3009</v>
      </c>
      <c r="G8" s="21">
        <v>2</v>
      </c>
      <c r="H8" t="str">
        <f>VLOOKUP(B8,'Ürün İş Listesi'!B:B,1,0)</f>
        <v>KA-1602</v>
      </c>
    </row>
    <row r="9" spans="1:8" x14ac:dyDescent="0.25">
      <c r="A9" s="20" t="s">
        <v>77</v>
      </c>
      <c r="B9" s="20" t="s">
        <v>3026</v>
      </c>
      <c r="C9" s="20" t="s">
        <v>3012</v>
      </c>
      <c r="D9" s="20" t="s">
        <v>3027</v>
      </c>
      <c r="E9" s="20" t="s">
        <v>50</v>
      </c>
      <c r="F9" s="20" t="s">
        <v>3009</v>
      </c>
      <c r="G9" s="21">
        <v>2</v>
      </c>
      <c r="H9" t="str">
        <f>VLOOKUP(B9,'Ürün İş Listesi'!B:B,1,0)</f>
        <v>KA-1603</v>
      </c>
    </row>
    <row r="10" spans="1:8" x14ac:dyDescent="0.25">
      <c r="A10" s="20" t="s">
        <v>77</v>
      </c>
      <c r="B10" s="20" t="s">
        <v>3029</v>
      </c>
      <c r="C10" s="20" t="s">
        <v>3017</v>
      </c>
      <c r="D10" s="20" t="s">
        <v>3030</v>
      </c>
      <c r="E10" s="20" t="s">
        <v>3031</v>
      </c>
      <c r="F10" s="20" t="s">
        <v>3015</v>
      </c>
      <c r="G10" s="21"/>
      <c r="H10" t="str">
        <f>VLOOKUP(B10,'Ürün İş Listesi'!B:B,1,0)</f>
        <v>IMC-1</v>
      </c>
    </row>
    <row r="11" spans="1:8" x14ac:dyDescent="0.25">
      <c r="A11" s="20" t="s">
        <v>14</v>
      </c>
      <c r="B11" s="41" t="s">
        <v>3043</v>
      </c>
      <c r="C11" s="20" t="s">
        <v>3017</v>
      </c>
      <c r="D11" s="20" t="s">
        <v>3032</v>
      </c>
      <c r="E11" s="20" t="s">
        <v>56</v>
      </c>
      <c r="F11" s="20" t="s">
        <v>3033</v>
      </c>
      <c r="G11" s="21">
        <v>8</v>
      </c>
      <c r="H11" t="str">
        <f>VLOOKUP(B11,'Ürün İş Listesi'!B:B,1,0)</f>
        <v>MU-223</v>
      </c>
    </row>
    <row r="12" spans="1:8" x14ac:dyDescent="0.25">
      <c r="A12" s="20" t="s">
        <v>14</v>
      </c>
      <c r="B12" s="20" t="s">
        <v>1818</v>
      </c>
      <c r="C12" s="20" t="s">
        <v>3017</v>
      </c>
      <c r="D12" s="20" t="s">
        <v>3034</v>
      </c>
      <c r="E12" s="20" t="s">
        <v>50</v>
      </c>
      <c r="F12" s="20" t="s">
        <v>3019</v>
      </c>
      <c r="G12" s="21"/>
      <c r="H12" t="str">
        <f>VLOOKUP(B12,'Ürün İş Listesi'!B:B,1,0)</f>
        <v>x</v>
      </c>
    </row>
    <row r="13" spans="1:8" x14ac:dyDescent="0.25">
      <c r="A13" s="20" t="s">
        <v>14</v>
      </c>
      <c r="B13" s="20" t="s">
        <v>3063</v>
      </c>
      <c r="C13" s="20" t="s">
        <v>3017</v>
      </c>
      <c r="D13" s="20" t="s">
        <v>3034</v>
      </c>
      <c r="E13" s="20" t="s">
        <v>59</v>
      </c>
      <c r="F13" s="20" t="s">
        <v>3019</v>
      </c>
      <c r="H13" t="str">
        <f>VLOOKUP(B13,'Ürün İş Listesi'!B:B,1,0)</f>
        <v>y</v>
      </c>
    </row>
    <row r="14" spans="1:8" x14ac:dyDescent="0.25">
      <c r="A14" s="31" t="s">
        <v>14</v>
      </c>
      <c r="B14" s="32" t="s">
        <v>2518</v>
      </c>
      <c r="D14" s="32" t="s">
        <v>2461</v>
      </c>
      <c r="E14" s="31" t="s">
        <v>62</v>
      </c>
      <c r="G14" s="35"/>
      <c r="H14" t="str">
        <f>VLOOKUP(B14,'Ürün İş Listesi'!B:B,1,0)</f>
        <v>TIM-456</v>
      </c>
    </row>
    <row r="15" spans="1:8" x14ac:dyDescent="0.25">
      <c r="A15" s="36" t="s">
        <v>14</v>
      </c>
      <c r="B15" s="37" t="s">
        <v>1813</v>
      </c>
      <c r="D15" s="30" t="s">
        <v>1814</v>
      </c>
      <c r="E15" s="36" t="s">
        <v>47</v>
      </c>
      <c r="G15" s="30">
        <v>8</v>
      </c>
      <c r="H15" t="str">
        <f>VLOOKUP(B15,'Ürün İş Listesi'!B:B,1,0)</f>
        <v>KEP-302</v>
      </c>
    </row>
    <row r="16" spans="1:8" x14ac:dyDescent="0.25">
      <c r="A16" s="38" t="s">
        <v>14</v>
      </c>
      <c r="B16" s="38" t="s">
        <v>2534</v>
      </c>
      <c r="D16" s="38" t="s">
        <v>2461</v>
      </c>
      <c r="E16" s="38" t="s">
        <v>47</v>
      </c>
      <c r="G16" s="38"/>
      <c r="H16" t="str">
        <f>VLOOKUP(B16,'Ürün İş Listesi'!B:B,1,0)</f>
        <v>KEP-315</v>
      </c>
    </row>
    <row r="17" spans="1:8" x14ac:dyDescent="0.25">
      <c r="A17" s="36" t="s">
        <v>77</v>
      </c>
      <c r="B17" s="37" t="s">
        <v>2807</v>
      </c>
      <c r="D17" s="30" t="s">
        <v>2818</v>
      </c>
      <c r="E17" s="36" t="s">
        <v>47</v>
      </c>
      <c r="G17" s="30">
        <v>2</v>
      </c>
      <c r="H17" t="str">
        <f>VLOOKUP(B17,'Ürün İş Listesi'!B:B,1,0)</f>
        <v>KEP-317</v>
      </c>
    </row>
    <row r="18" spans="1:8" x14ac:dyDescent="0.25">
      <c r="A18" s="38" t="s">
        <v>14</v>
      </c>
      <c r="B18" s="38" t="s">
        <v>2808</v>
      </c>
      <c r="D18" s="38" t="s">
        <v>2819</v>
      </c>
      <c r="E18" s="38" t="s">
        <v>47</v>
      </c>
      <c r="G18" s="38">
        <v>3</v>
      </c>
      <c r="H18" t="str">
        <f>VLOOKUP(B18,'Ürün İş Listesi'!B:B,1,0)</f>
        <v>KEP-318</v>
      </c>
    </row>
    <row r="19" spans="1:8" x14ac:dyDescent="0.25">
      <c r="A19" s="36" t="s">
        <v>14</v>
      </c>
      <c r="B19" s="37" t="s">
        <v>2483</v>
      </c>
      <c r="D19" s="30" t="s">
        <v>2461</v>
      </c>
      <c r="E19" s="36" t="s">
        <v>53</v>
      </c>
      <c r="G19" s="30"/>
      <c r="H19" t="str">
        <f>VLOOKUP(B19,'Ürün İş Listesi'!B:B,1,0)</f>
        <v>WIK-783</v>
      </c>
    </row>
    <row r="20" spans="1:8" x14ac:dyDescent="0.25">
      <c r="A20" s="38" t="s">
        <v>14</v>
      </c>
      <c r="B20" s="38" t="s">
        <v>2754</v>
      </c>
      <c r="D20" s="38" t="s">
        <v>2755</v>
      </c>
      <c r="E20" s="38" t="s">
        <v>53</v>
      </c>
      <c r="G20" s="38">
        <v>3</v>
      </c>
      <c r="H20" t="str">
        <f>VLOOKUP(B20,'Ürün İş Listesi'!B:B,1,0)</f>
        <v>WIK-793</v>
      </c>
    </row>
    <row r="21" spans="1:8" x14ac:dyDescent="0.25">
      <c r="A21" s="36" t="s">
        <v>14</v>
      </c>
      <c r="B21" s="37" t="s">
        <v>2764</v>
      </c>
      <c r="D21" s="30" t="s">
        <v>2765</v>
      </c>
      <c r="E21" s="36" t="s">
        <v>53</v>
      </c>
      <c r="G21" s="30">
        <v>3</v>
      </c>
      <c r="H21" t="str">
        <f>VLOOKUP(B21,'Ürün İş Listesi'!B:B,1,0)</f>
        <v>WIK-791</v>
      </c>
    </row>
    <row r="22" spans="1:8" x14ac:dyDescent="0.25">
      <c r="A22" s="38" t="s">
        <v>14</v>
      </c>
      <c r="B22" s="38" t="s">
        <v>2799</v>
      </c>
      <c r="D22" s="38" t="s">
        <v>2809</v>
      </c>
      <c r="E22" s="38" t="s">
        <v>1620</v>
      </c>
      <c r="G22" s="38">
        <v>1</v>
      </c>
      <c r="H22" t="str">
        <f>VLOOKUP(B22,'Ürün İş Listesi'!B:B,1,0)</f>
        <v>UKDS-223</v>
      </c>
    </row>
    <row r="23" spans="1:8" x14ac:dyDescent="0.25">
      <c r="A23" s="36" t="s">
        <v>14</v>
      </c>
      <c r="B23" s="37" t="s">
        <v>2800</v>
      </c>
      <c r="D23" s="30" t="s">
        <v>2810</v>
      </c>
      <c r="E23" s="36" t="s">
        <v>1620</v>
      </c>
      <c r="G23" s="30">
        <v>3</v>
      </c>
      <c r="H23" t="str">
        <f>VLOOKUP(B23,'Ürün İş Listesi'!B:B,1,0)</f>
        <v>UKDS-219</v>
      </c>
    </row>
    <row r="24" spans="1:8" x14ac:dyDescent="0.25">
      <c r="A24" s="38" t="s">
        <v>14</v>
      </c>
      <c r="B24" s="38" t="s">
        <v>2801</v>
      </c>
      <c r="D24" s="38" t="s">
        <v>2811</v>
      </c>
      <c r="E24" s="38" t="s">
        <v>1620</v>
      </c>
      <c r="G24" s="38">
        <v>2</v>
      </c>
      <c r="H24" t="str">
        <f>VLOOKUP(B24,'Ürün İş Listesi'!B:B,1,0)</f>
        <v>UKDS-221</v>
      </c>
    </row>
    <row r="25" spans="1:8" x14ac:dyDescent="0.25">
      <c r="A25" s="36" t="s">
        <v>14</v>
      </c>
      <c r="B25" s="37" t="s">
        <v>2802</v>
      </c>
      <c r="D25" s="30" t="s">
        <v>2812</v>
      </c>
      <c r="E25" s="36" t="s">
        <v>1620</v>
      </c>
      <c r="G25" s="30">
        <v>1</v>
      </c>
      <c r="H25" t="str">
        <f>VLOOKUP(B25,'Ürün İş Listesi'!B:B,1,0)</f>
        <v>UKDS-220</v>
      </c>
    </row>
    <row r="26" spans="1:8" x14ac:dyDescent="0.25">
      <c r="A26" s="38" t="s">
        <v>14</v>
      </c>
      <c r="B26" s="38" t="s">
        <v>2803</v>
      </c>
      <c r="D26" s="38" t="s">
        <v>2813</v>
      </c>
      <c r="E26" s="38" t="s">
        <v>1620</v>
      </c>
      <c r="G26" s="38">
        <v>1</v>
      </c>
      <c r="H26" t="str">
        <f>VLOOKUP(B26,'Ürün İş Listesi'!B:B,1,0)</f>
        <v>UKDS-222</v>
      </c>
    </row>
    <row r="27" spans="1:8" x14ac:dyDescent="0.25">
      <c r="A27" s="36" t="s">
        <v>14</v>
      </c>
      <c r="B27" s="30" t="s">
        <v>1004</v>
      </c>
      <c r="D27" s="30" t="s">
        <v>1987</v>
      </c>
      <c r="E27" s="30" t="s">
        <v>12</v>
      </c>
      <c r="G27" s="30">
        <v>5</v>
      </c>
      <c r="H27" t="str">
        <f>VLOOKUP(B27,'Ürün İş Listesi'!B:B,1,0)</f>
        <v>CRM-639</v>
      </c>
    </row>
    <row r="28" spans="1:8" x14ac:dyDescent="0.25">
      <c r="A28" s="39" t="s">
        <v>14</v>
      </c>
      <c r="B28" s="29" t="s">
        <v>1095</v>
      </c>
      <c r="D28" s="29" t="s">
        <v>1096</v>
      </c>
      <c r="E28" s="29" t="s">
        <v>12</v>
      </c>
      <c r="G28" s="29">
        <v>3</v>
      </c>
      <c r="H28" t="str">
        <f>VLOOKUP(B28,'Ürün İş Listesi'!B:B,1,0)</f>
        <v>CRM-649</v>
      </c>
    </row>
    <row r="29" spans="1:8" x14ac:dyDescent="0.25">
      <c r="A29" s="36" t="s">
        <v>14</v>
      </c>
      <c r="B29" s="30" t="s">
        <v>1807</v>
      </c>
      <c r="D29" s="30" t="s">
        <v>1808</v>
      </c>
      <c r="E29" s="30" t="s">
        <v>12</v>
      </c>
      <c r="G29" s="30">
        <v>2</v>
      </c>
      <c r="H29" t="str">
        <f>VLOOKUP(B29,'Ürün İş Listesi'!B:B,1,0)</f>
        <v>CRM-682</v>
      </c>
    </row>
    <row r="30" spans="1:8" x14ac:dyDescent="0.25">
      <c r="A30" s="36" t="s">
        <v>14</v>
      </c>
      <c r="B30" s="30" t="s">
        <v>2296</v>
      </c>
      <c r="D30" s="30" t="s">
        <v>2297</v>
      </c>
      <c r="E30" s="30" t="s">
        <v>12</v>
      </c>
      <c r="G30" s="30">
        <v>1</v>
      </c>
      <c r="H30" t="str">
        <f>VLOOKUP(B30,'Ürün İş Listesi'!B:B,1,0)</f>
        <v>CRM-754</v>
      </c>
    </row>
    <row r="31" spans="1:8" x14ac:dyDescent="0.25">
      <c r="A31" s="36" t="s">
        <v>14</v>
      </c>
      <c r="B31" s="30" t="s">
        <v>2433</v>
      </c>
      <c r="D31" s="30" t="s">
        <v>2432</v>
      </c>
      <c r="E31" s="30" t="s">
        <v>12</v>
      </c>
      <c r="G31" s="30">
        <v>5</v>
      </c>
      <c r="H31" t="str">
        <f>VLOOKUP(B31,'Ürün İş Listesi'!B:B,1,0)</f>
        <v>CRM-763</v>
      </c>
    </row>
    <row r="32" spans="1:8" x14ac:dyDescent="0.25">
      <c r="A32" s="40" t="s">
        <v>14</v>
      </c>
      <c r="B32" t="s">
        <v>2428</v>
      </c>
      <c r="D32" t="s">
        <v>2427</v>
      </c>
      <c r="E32" t="s">
        <v>12</v>
      </c>
      <c r="G32">
        <v>3</v>
      </c>
      <c r="H32" t="str">
        <f>VLOOKUP(B32,'Ürün İş Listesi'!B:B,1,0)</f>
        <v>CRM-766</v>
      </c>
    </row>
    <row r="33" spans="1:8" x14ac:dyDescent="0.25">
      <c r="A33" s="36" t="s">
        <v>14</v>
      </c>
      <c r="B33" s="30" t="s">
        <v>2209</v>
      </c>
      <c r="D33" s="30" t="s">
        <v>2208</v>
      </c>
      <c r="E33" s="30" t="s">
        <v>12</v>
      </c>
      <c r="G33" s="30">
        <v>2</v>
      </c>
      <c r="H33" t="str">
        <f>VLOOKUP(B33,'Ürün İş Listesi'!B:B,1,0)</f>
        <v>CRM-737</v>
      </c>
    </row>
    <row r="34" spans="1:8" x14ac:dyDescent="0.25">
      <c r="A34" s="40" t="s">
        <v>14</v>
      </c>
      <c r="B34" t="s">
        <v>2207</v>
      </c>
      <c r="D34" t="s">
        <v>2206</v>
      </c>
      <c r="E34" t="s">
        <v>12</v>
      </c>
      <c r="G34">
        <v>3</v>
      </c>
      <c r="H34" t="str">
        <f>VLOOKUP(B34,'Ürün İş Listesi'!B:B,1,0)</f>
        <v>CRM-738</v>
      </c>
    </row>
    <row r="35" spans="1:8" x14ac:dyDescent="0.25">
      <c r="A35" s="40" t="s">
        <v>14</v>
      </c>
      <c r="B35" t="s">
        <v>2431</v>
      </c>
      <c r="D35" t="s">
        <v>2472</v>
      </c>
      <c r="E35" t="s">
        <v>12</v>
      </c>
      <c r="G35">
        <v>3</v>
      </c>
      <c r="H35" t="str">
        <f>VLOOKUP(B35,'Ürün İş Listesi'!B:B,1,0)</f>
        <v>CRM-764</v>
      </c>
    </row>
    <row r="36" spans="1:8" x14ac:dyDescent="0.25">
      <c r="A36" s="36" t="s">
        <v>14</v>
      </c>
      <c r="B36" s="30" t="s">
        <v>2569</v>
      </c>
      <c r="D36" s="30" t="s">
        <v>2570</v>
      </c>
      <c r="E36" s="30" t="s">
        <v>12</v>
      </c>
      <c r="G36" s="30">
        <v>5</v>
      </c>
      <c r="H36" t="str">
        <f>VLOOKUP(B36,'Ürün İş Listesi'!B:B,1,0)</f>
        <v>CRM-780</v>
      </c>
    </row>
    <row r="37" spans="1:8" x14ac:dyDescent="0.25">
      <c r="A37" s="36" t="s">
        <v>14</v>
      </c>
      <c r="B37" t="s">
        <v>2571</v>
      </c>
      <c r="D37" s="30" t="s">
        <v>2572</v>
      </c>
      <c r="E37" s="30" t="s">
        <v>12</v>
      </c>
      <c r="G37" s="30">
        <v>5</v>
      </c>
      <c r="H37" t="str">
        <f>VLOOKUP(B37,'Ürün İş Listesi'!B:B,1,0)</f>
        <v>CRM-789</v>
      </c>
    </row>
    <row r="38" spans="1:8" x14ac:dyDescent="0.25">
      <c r="A38" s="36" t="s">
        <v>14</v>
      </c>
      <c r="B38" s="30" t="s">
        <v>2697</v>
      </c>
      <c r="D38" s="30" t="s">
        <v>2702</v>
      </c>
      <c r="E38" s="30" t="s">
        <v>12</v>
      </c>
      <c r="G38" s="30">
        <v>2</v>
      </c>
      <c r="H38" t="str">
        <f>VLOOKUP(B38,'Ürün İş Listesi'!B:B,1,0)</f>
        <v>CRM-762</v>
      </c>
    </row>
    <row r="39" spans="1:8" x14ac:dyDescent="0.25">
      <c r="A39" s="36" t="s">
        <v>14</v>
      </c>
      <c r="B39" t="s">
        <v>2785</v>
      </c>
      <c r="D39" t="s">
        <v>2791</v>
      </c>
      <c r="E39" t="s">
        <v>12</v>
      </c>
      <c r="G39">
        <v>2</v>
      </c>
      <c r="H39" t="str">
        <f>VLOOKUP(B39,'Ürün İş Listesi'!B:B,1,0)</f>
        <v>CRM-806</v>
      </c>
    </row>
    <row r="40" spans="1:8" x14ac:dyDescent="0.25">
      <c r="A40" s="36" t="s">
        <v>14</v>
      </c>
      <c r="B40" t="s">
        <v>2786</v>
      </c>
      <c r="D40" t="s">
        <v>2792</v>
      </c>
      <c r="E40" t="s">
        <v>12</v>
      </c>
      <c r="G40">
        <v>5</v>
      </c>
      <c r="H40" t="str">
        <f>VLOOKUP(B40,'Ürün İş Listesi'!B:B,1,0)</f>
        <v>CRM-810</v>
      </c>
    </row>
    <row r="41" spans="1:8" x14ac:dyDescent="0.25">
      <c r="A41" s="36" t="s">
        <v>14</v>
      </c>
      <c r="B41" t="s">
        <v>2787</v>
      </c>
      <c r="D41" t="s">
        <v>2793</v>
      </c>
      <c r="E41" t="s">
        <v>12</v>
      </c>
      <c r="G41">
        <v>3</v>
      </c>
      <c r="H41" t="str">
        <f>VLOOKUP(B41,'Ürün İş Listesi'!B:B,1,0)</f>
        <v>CRM-813</v>
      </c>
    </row>
    <row r="42" spans="1:8" x14ac:dyDescent="0.25">
      <c r="A42" s="36" t="s">
        <v>14</v>
      </c>
      <c r="B42" t="s">
        <v>2788</v>
      </c>
      <c r="D42" t="s">
        <v>2794</v>
      </c>
      <c r="E42" t="s">
        <v>12</v>
      </c>
      <c r="G42">
        <v>5</v>
      </c>
      <c r="H42" t="str">
        <f>VLOOKUP(B42,'Ürün İş Listesi'!B:B,1,0)</f>
        <v>CRM-815</v>
      </c>
    </row>
    <row r="43" spans="1:8" x14ac:dyDescent="0.25">
      <c r="A43" s="36" t="s">
        <v>14</v>
      </c>
      <c r="B43" t="s">
        <v>2789</v>
      </c>
      <c r="D43" t="s">
        <v>2795</v>
      </c>
      <c r="E43" t="s">
        <v>12</v>
      </c>
      <c r="G43">
        <v>3</v>
      </c>
      <c r="H43" t="str">
        <f>VLOOKUP(B43,'Ürün İş Listesi'!B:B,1,0)</f>
        <v>CRM-774</v>
      </c>
    </row>
    <row r="44" spans="1:8" x14ac:dyDescent="0.25">
      <c r="A44" s="36" t="s">
        <v>14</v>
      </c>
      <c r="B44" t="s">
        <v>2790</v>
      </c>
      <c r="D44" t="s">
        <v>2796</v>
      </c>
      <c r="E44" t="s">
        <v>12</v>
      </c>
      <c r="G44">
        <v>3</v>
      </c>
      <c r="H44" t="str">
        <f>VLOOKUP(B44,'Ürün İş Listesi'!B:B,1,0)</f>
        <v>CRM-812</v>
      </c>
    </row>
    <row r="45" spans="1:8" x14ac:dyDescent="0.25">
      <c r="A45" s="40" t="s">
        <v>14</v>
      </c>
      <c r="B45" t="s">
        <v>2544</v>
      </c>
      <c r="D45" t="s">
        <v>2543</v>
      </c>
      <c r="E45" t="s">
        <v>12</v>
      </c>
      <c r="G45">
        <v>5</v>
      </c>
      <c r="H45" t="str">
        <f>VLOOKUP(B45,'Ürün İş Listesi'!B:B,1,0)</f>
        <v>CRM-777</v>
      </c>
    </row>
    <row r="46" spans="1:8" x14ac:dyDescent="0.25">
      <c r="A46" s="40" t="s">
        <v>14</v>
      </c>
      <c r="B46" t="s">
        <v>2550</v>
      </c>
      <c r="D46" t="s">
        <v>2549</v>
      </c>
      <c r="E46" t="s">
        <v>12</v>
      </c>
      <c r="G46">
        <v>3</v>
      </c>
      <c r="H46" t="str">
        <f>VLOOKUP(B46,'Ürün İş Listesi'!B:B,1,0)</f>
        <v>CRM-758</v>
      </c>
    </row>
    <row r="47" spans="1:8" x14ac:dyDescent="0.25">
      <c r="A47" s="40" t="s">
        <v>14</v>
      </c>
      <c r="B47" t="s">
        <v>2976</v>
      </c>
      <c r="D47" t="s">
        <v>2975</v>
      </c>
      <c r="E47" t="s">
        <v>12</v>
      </c>
      <c r="G47">
        <v>3</v>
      </c>
      <c r="H47" t="str">
        <f>VLOOKUP(B47,'Ürün İş Listesi'!B:B,1,0)</f>
        <v>CRM-817</v>
      </c>
    </row>
    <row r="48" spans="1:8" x14ac:dyDescent="0.25">
      <c r="A48" s="40" t="s">
        <v>14</v>
      </c>
      <c r="B48" t="s">
        <v>3039</v>
      </c>
      <c r="D48" t="s">
        <v>3040</v>
      </c>
      <c r="E48" t="s">
        <v>12</v>
      </c>
      <c r="G48">
        <v>5</v>
      </c>
      <c r="H48" t="str">
        <f>VLOOKUP(B48,'Ürün İş Listesi'!B:B,1,0)</f>
        <v>CRM-811</v>
      </c>
    </row>
    <row r="49" spans="1:8" x14ac:dyDescent="0.25">
      <c r="A49" s="40" t="s">
        <v>14</v>
      </c>
      <c r="B49" t="s">
        <v>2981</v>
      </c>
      <c r="D49" t="s">
        <v>2980</v>
      </c>
      <c r="E49" t="s">
        <v>12</v>
      </c>
      <c r="G49">
        <v>3</v>
      </c>
      <c r="H49" t="str">
        <f>VLOOKUP(B49,'Ürün İş Listesi'!B:B,1,0)</f>
        <v>CRM-805</v>
      </c>
    </row>
    <row r="50" spans="1:8" x14ac:dyDescent="0.25">
      <c r="A50" s="40" t="s">
        <v>14</v>
      </c>
      <c r="B50" t="s">
        <v>3041</v>
      </c>
      <c r="D50" t="s">
        <v>3042</v>
      </c>
      <c r="E50" t="s">
        <v>12</v>
      </c>
      <c r="G50">
        <v>5</v>
      </c>
      <c r="H50" t="str">
        <f>VLOOKUP(B50,'Ürün İş Listesi'!B:B,1,0)</f>
        <v>CRM-822</v>
      </c>
    </row>
    <row r="51" spans="1:8" x14ac:dyDescent="0.25">
      <c r="A51" s="40" t="s">
        <v>14</v>
      </c>
      <c r="B51" t="s">
        <v>2978</v>
      </c>
      <c r="D51" t="s">
        <v>2977</v>
      </c>
      <c r="E51" t="s">
        <v>12</v>
      </c>
      <c r="G51">
        <v>2</v>
      </c>
      <c r="H51" t="str">
        <f>VLOOKUP(B51,'Ürün İş Listesi'!B:B,1,0)</f>
        <v>CRM-814</v>
      </c>
    </row>
    <row r="52" spans="1:8" x14ac:dyDescent="0.25">
      <c r="A52" s="39" t="s">
        <v>14</v>
      </c>
      <c r="B52" s="29" t="s">
        <v>2739</v>
      </c>
      <c r="C52" s="29" t="s">
        <v>94</v>
      </c>
      <c r="D52" s="29" t="s">
        <v>2738</v>
      </c>
      <c r="E52" s="29" t="s">
        <v>38</v>
      </c>
      <c r="F52" s="42"/>
      <c r="G52" s="29">
        <v>3</v>
      </c>
      <c r="H52" t="str">
        <f>VLOOKUP(B52,'Ürün İş Listesi'!B:B,1,0)</f>
        <v>EDF-813</v>
      </c>
    </row>
    <row r="53" spans="1:8" x14ac:dyDescent="0.25">
      <c r="A53" s="36" t="s">
        <v>14</v>
      </c>
      <c r="B53" s="30" t="s">
        <v>2735</v>
      </c>
      <c r="C53" s="30" t="s">
        <v>3045</v>
      </c>
      <c r="D53" s="30" t="s">
        <v>2734</v>
      </c>
      <c r="E53" s="30" t="s">
        <v>38</v>
      </c>
      <c r="F53" s="43"/>
      <c r="G53" s="30">
        <v>5</v>
      </c>
      <c r="H53" t="str">
        <f>VLOOKUP(B53,'Ürün İş Listesi'!B:B,1,0)</f>
        <v>EDF-815</v>
      </c>
    </row>
    <row r="54" spans="1:8" x14ac:dyDescent="0.25">
      <c r="A54" s="39" t="s">
        <v>14</v>
      </c>
      <c r="B54" s="29" t="s">
        <v>3056</v>
      </c>
      <c r="C54" s="29" t="s">
        <v>3045</v>
      </c>
      <c r="D54" s="29" t="s">
        <v>3057</v>
      </c>
      <c r="E54" s="29" t="s">
        <v>41</v>
      </c>
      <c r="F54" s="29"/>
      <c r="G54" s="42">
        <v>8</v>
      </c>
      <c r="H54" t="str">
        <f>VLOOKUP(B54,'Ürün İş Listesi'!B:B,1,0)</f>
        <v>EFT-2389</v>
      </c>
    </row>
    <row r="55" spans="1:8" x14ac:dyDescent="0.25">
      <c r="A55" s="36" t="s">
        <v>3058</v>
      </c>
      <c r="B55" s="30" t="s">
        <v>3059</v>
      </c>
      <c r="C55" s="30" t="s">
        <v>3045</v>
      </c>
      <c r="D55" s="30" t="s">
        <v>3060</v>
      </c>
      <c r="E55" s="30" t="s">
        <v>41</v>
      </c>
      <c r="F55" s="43"/>
      <c r="G55" s="30">
        <v>3</v>
      </c>
      <c r="H55" t="str">
        <f>VLOOKUP(B55,'Ürün İş Listesi'!B:B,1,0)</f>
        <v>EFT-2388</v>
      </c>
    </row>
    <row r="56" spans="1:8" x14ac:dyDescent="0.25">
      <c r="A56" s="39" t="s">
        <v>14</v>
      </c>
      <c r="B56" s="29" t="s">
        <v>3061</v>
      </c>
      <c r="C56" s="29" t="s">
        <v>1820</v>
      </c>
      <c r="D56" s="29" t="s">
        <v>3062</v>
      </c>
      <c r="E56" s="29" t="s">
        <v>41</v>
      </c>
      <c r="F56" s="42"/>
      <c r="G56" s="29">
        <v>5</v>
      </c>
      <c r="H56" t="str">
        <f>VLOOKUP(B56,'Ürün İş Listesi'!B:B,1,0)</f>
        <v>EFT-2390</v>
      </c>
    </row>
    <row r="57" spans="1:8" x14ac:dyDescent="0.25">
      <c r="A57" s="36" t="s">
        <v>14</v>
      </c>
      <c r="B57" s="30" t="s">
        <v>2540</v>
      </c>
      <c r="C57" s="30" t="s">
        <v>1820</v>
      </c>
      <c r="D57" s="30" t="s">
        <v>2461</v>
      </c>
      <c r="E57" s="30" t="s">
        <v>41</v>
      </c>
      <c r="F57" s="43"/>
      <c r="G57" s="30">
        <v>13</v>
      </c>
      <c r="H57" t="str">
        <f>VLOOKUP(B57,'Ürün İş Listesi'!B:B,1,0)</f>
        <v>EFT-2351</v>
      </c>
    </row>
    <row r="58" spans="1:8" x14ac:dyDescent="0.25">
      <c r="A58" s="39" t="s">
        <v>14</v>
      </c>
      <c r="B58" s="39" t="s">
        <v>3044</v>
      </c>
      <c r="C58" s="39" t="s">
        <v>3045</v>
      </c>
      <c r="D58" s="39" t="s">
        <v>3046</v>
      </c>
      <c r="E58" s="39" t="s">
        <v>1386</v>
      </c>
      <c r="F58" s="39"/>
      <c r="G58" s="39">
        <v>13</v>
      </c>
      <c r="H58" t="str">
        <f>VLOOKUP(B58,'Ürün İş Listesi'!B:B,1,0)</f>
        <v>ES-306</v>
      </c>
    </row>
    <row r="59" spans="1:8" x14ac:dyDescent="0.25">
      <c r="A59" t="s">
        <v>14</v>
      </c>
      <c r="B59" t="s">
        <v>3049</v>
      </c>
      <c r="C59" t="s">
        <v>3045</v>
      </c>
      <c r="D59" t="s">
        <v>3050</v>
      </c>
      <c r="E59" t="s">
        <v>1386</v>
      </c>
      <c r="G59">
        <v>5</v>
      </c>
      <c r="H59" t="str">
        <f>VLOOKUP(B59,'Ürün İş Listesi'!B:B,1,0)</f>
        <v>ES-305</v>
      </c>
    </row>
    <row r="60" spans="1:8" x14ac:dyDescent="0.25">
      <c r="A60" s="39" t="s">
        <v>14</v>
      </c>
      <c r="B60" s="29" t="s">
        <v>3047</v>
      </c>
      <c r="C60" s="29" t="s">
        <v>3045</v>
      </c>
      <c r="D60" s="29" t="s">
        <v>3048</v>
      </c>
      <c r="E60" s="29" t="s">
        <v>38</v>
      </c>
      <c r="F60" s="42"/>
      <c r="G60" s="39">
        <v>13</v>
      </c>
      <c r="H60" t="str">
        <f>VLOOKUP(B60,'Ürün İş Listesi'!B:B,1,0)</f>
        <v>EDF-824</v>
      </c>
    </row>
    <row r="61" spans="1:8" x14ac:dyDescent="0.25">
      <c r="A61" s="36" t="s">
        <v>14</v>
      </c>
      <c r="B61" s="30" t="s">
        <v>3051</v>
      </c>
      <c r="C61" s="30" t="s">
        <v>3045</v>
      </c>
      <c r="D61" s="30" t="s">
        <v>3052</v>
      </c>
      <c r="E61" s="30" t="s">
        <v>38</v>
      </c>
      <c r="F61" s="43"/>
      <c r="G61" s="36">
        <v>5</v>
      </c>
      <c r="H61" t="str">
        <f>VLOOKUP(B61,'Ürün İş Listesi'!B:B,1,0)</f>
        <v>EDF-822</v>
      </c>
    </row>
    <row r="62" spans="1:8" x14ac:dyDescent="0.25">
      <c r="A62" s="23"/>
      <c r="B62" s="24"/>
      <c r="C62" s="24"/>
      <c r="D62" s="24"/>
      <c r="E62" s="24"/>
      <c r="G62" s="23"/>
      <c r="H62" t="e">
        <f>VLOOKUP(B62,'Ürün İş Listesi'!B:B,1,0)</f>
        <v>#N/A</v>
      </c>
    </row>
    <row r="63" spans="1:8" x14ac:dyDescent="0.25">
      <c r="A63" s="26"/>
      <c r="B63" s="25"/>
      <c r="C63" s="25"/>
      <c r="D63" s="25"/>
      <c r="E63" s="25"/>
      <c r="G63" s="26"/>
      <c r="H63" t="e">
        <f>VLOOKUP(B63,'Ürün İş Listesi'!B:B,1,0)</f>
        <v>#N/A</v>
      </c>
    </row>
    <row r="64" spans="1:8" x14ac:dyDescent="0.25">
      <c r="A64" s="23"/>
      <c r="B64" s="24"/>
      <c r="C64" s="24"/>
      <c r="D64" s="24"/>
      <c r="E64" s="24"/>
      <c r="G64" s="23"/>
      <c r="H64" t="e">
        <f>VLOOKUP(B64,'Ürün İş Listesi'!B:B,1,0)</f>
        <v>#N/A</v>
      </c>
    </row>
    <row r="65" spans="1:8" x14ac:dyDescent="0.25">
      <c r="A65" s="26"/>
      <c r="B65" s="25"/>
      <c r="C65" s="25"/>
      <c r="D65" s="25"/>
      <c r="E65" s="25"/>
      <c r="G65" s="26"/>
      <c r="H65" t="e">
        <f>VLOOKUP(B65,'Ürün İş Listesi'!B:B,1,0)</f>
        <v>#N/A</v>
      </c>
    </row>
    <row r="66" spans="1:8" x14ac:dyDescent="0.25">
      <c r="A66" s="23"/>
      <c r="B66" s="24"/>
      <c r="C66" s="24"/>
      <c r="D66" s="24"/>
      <c r="E66" s="24"/>
      <c r="G66" s="23"/>
      <c r="H66" t="e">
        <f>VLOOKUP(B66,'Ürün İş Listesi'!B:B,1,0)</f>
        <v>#N/A</v>
      </c>
    </row>
    <row r="67" spans="1:8" x14ac:dyDescent="0.25">
      <c r="A67" s="26"/>
      <c r="B67" s="25"/>
      <c r="C67" s="25"/>
      <c r="D67" s="25"/>
      <c r="E67" s="25"/>
      <c r="G67" s="26"/>
      <c r="H67" t="e">
        <f>VLOOKUP(B67,'Ürün İş Listesi'!B:B,1,0)</f>
        <v>#N/A</v>
      </c>
    </row>
    <row r="68" spans="1:8" x14ac:dyDescent="0.25">
      <c r="A68" s="23"/>
      <c r="B68" s="24"/>
      <c r="C68" s="24"/>
      <c r="D68" s="24"/>
      <c r="E68" s="24"/>
      <c r="G68" s="23"/>
      <c r="H68" t="e">
        <f>VLOOKUP(B68,'Ürün İş Listesi'!B:B,1,0)</f>
        <v>#N/A</v>
      </c>
    </row>
  </sheetData>
  <autoFilter ref="A1:H68" xr:uid="{F3FCFD6D-6ED0-47E8-9E8A-080B6BFDB26F}"/>
  <conditionalFormatting sqref="B14">
    <cfRule type="duplicateValues" dxfId="3" priority="3"/>
  </conditionalFormatting>
  <conditionalFormatting sqref="B15:B26">
    <cfRule type="duplicateValues" dxfId="2" priority="2"/>
  </conditionalFormatting>
  <conditionalFormatting sqref="B28">
    <cfRule type="duplicateValues" dxfId="1" priority="1"/>
  </conditionalFormatting>
  <conditionalFormatting sqref="B54:B55">
    <cfRule type="duplicateValues" dxfId="0" priority="5"/>
  </conditionalFormatting>
  <hyperlinks>
    <hyperlink ref="B14" r:id="rId1" tooltip="View this issue" display="http://192.168.124.186:8080/browse/TIM-456" xr:uid="{3195710D-0467-43B1-B1DE-7C170F2A732F}"/>
    <hyperlink ref="B15" r:id="rId2" tooltip="View this issue" display="http://192.168.124.186:8080/browse/KEP-302" xr:uid="{E39B9E06-679F-40B1-8F33-194487FC96F2}"/>
    <hyperlink ref="B17" r:id="rId3" tooltip="View this issue" display="http://192.168.124.186:8080/browse/KEP-317" xr:uid="{EAECABB9-3012-4F96-B242-97F401D66998}"/>
    <hyperlink ref="B18" r:id="rId4" tooltip="View this issue" display="http://192.168.124.186:8080/browse/KEP-318" xr:uid="{5597E87C-B468-4064-8FC7-63DDB86F8CC8}"/>
    <hyperlink ref="B20" r:id="rId5" tooltip="View this issue" display="http://192.168.124.186:8080/browse/WIK-793" xr:uid="{ACD9FBCB-70FF-4BA9-A6BC-F1CFDCAF3CDD}"/>
    <hyperlink ref="B21" r:id="rId6" tooltip="View this issue" display="http://192.168.124.186:8080/browse/WIK-791" xr:uid="{48581B46-6B62-481F-B962-6EB848D0D4F7}"/>
    <hyperlink ref="B22" r:id="rId7" tooltip="View this issue" display="http://192.168.124.186:8080/browse/UKDS-223" xr:uid="{7479E3A9-4A76-4084-BFC3-1BE183EDBC8B}"/>
    <hyperlink ref="B23" r:id="rId8" tooltip="View this issue" display="http://192.168.124.186:8080/browse/UKDS-219" xr:uid="{2AB1DA3A-214C-48EA-9023-67A84A4BFD02}"/>
    <hyperlink ref="B24" r:id="rId9" tooltip="View this issue" display="http://192.168.124.186:8080/browse/UKDS-221" xr:uid="{51A70057-3BC6-4E85-874B-83AC45EFED2D}"/>
    <hyperlink ref="B25" r:id="rId10" tooltip="View this issue" display="http://192.168.124.186:8080/browse/UKDS-220" xr:uid="{B39A1F95-C9B5-4DA8-8C8B-464075144EB7}"/>
    <hyperlink ref="B26" r:id="rId11" tooltip="View this issue" display="http://192.168.124.186:8080/browse/UKDS-222" xr:uid="{EFF0EEB7-3474-4FEA-A9E6-9F46520412D7}"/>
    <hyperlink ref="B11" r:id="rId12" display="http://192.168.124.186:8080/browse/MU-223" xr:uid="{53F51E7D-E14B-4EC5-B45B-9AA4D628DB24}"/>
  </hyperlinks>
  <pageMargins left="0.7" right="0.7" top="0.75" bottom="0.75" header="0.3" footer="0.3"/>
  <pageSetup paperSize="9" orientation="portrait" r:id="rId13"/>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C3DB1-56EB-49C7-BF95-DC71A947667F}">
  <dimension ref="A1:DQ163"/>
  <sheetViews>
    <sheetView tabSelected="1" workbookViewId="0">
      <selection sqref="A1:DQ163"/>
    </sheetView>
  </sheetViews>
  <sheetFormatPr defaultRowHeight="15" x14ac:dyDescent="0.25"/>
  <cols>
    <col min="1" max="1" width="80.85546875" bestFit="1" customWidth="1"/>
    <col min="2" max="2" width="10.7109375" bestFit="1" customWidth="1"/>
    <col min="3" max="3" width="9.5703125" bestFit="1" customWidth="1"/>
    <col min="4" max="4" width="10.7109375" bestFit="1" customWidth="1"/>
    <col min="5" max="5" width="11.7109375" bestFit="1" customWidth="1"/>
    <col min="6" max="6" width="11.5703125" bestFit="1" customWidth="1"/>
    <col min="7" max="7" width="12.42578125" bestFit="1" customWidth="1"/>
    <col min="8" max="8" width="30.140625" bestFit="1" customWidth="1"/>
    <col min="9" max="10" width="13.28515625" bestFit="1" customWidth="1"/>
    <col min="11" max="11" width="80.85546875" bestFit="1" customWidth="1"/>
    <col min="12" max="12" width="28" bestFit="1" customWidth="1"/>
    <col min="13" max="13" width="9.28515625" bestFit="1" customWidth="1"/>
    <col min="14" max="14" width="12" bestFit="1" customWidth="1"/>
    <col min="15" max="15" width="15.7109375" bestFit="1" customWidth="1"/>
    <col min="16" max="17" width="13.140625" bestFit="1" customWidth="1"/>
    <col min="18" max="21" width="15.140625" bestFit="1" customWidth="1"/>
    <col min="22" max="22" width="13.7109375" bestFit="1" customWidth="1"/>
    <col min="23" max="23" width="10.7109375" bestFit="1" customWidth="1"/>
    <col min="24" max="24" width="7.85546875" bestFit="1" customWidth="1"/>
    <col min="25" max="25" width="8.7109375" bestFit="1" customWidth="1"/>
    <col min="26" max="26" width="80.85546875" bestFit="1" customWidth="1"/>
    <col min="27" max="27" width="13.7109375" bestFit="1" customWidth="1"/>
    <col min="28" max="28" width="13.140625" bestFit="1" customWidth="1"/>
    <col min="29" max="29" width="14.140625" bestFit="1" customWidth="1"/>
    <col min="30" max="32" width="12.85546875" bestFit="1" customWidth="1"/>
    <col min="33" max="85" width="80.85546875" bestFit="1" customWidth="1"/>
    <col min="86" max="86" width="17.7109375" bestFit="1" customWidth="1"/>
    <col min="87" max="87" width="20" bestFit="1" customWidth="1"/>
    <col min="88" max="88" width="12.5703125" bestFit="1" customWidth="1"/>
    <col min="89" max="89" width="25.28515625" bestFit="1" customWidth="1"/>
    <col min="90" max="90" width="18.85546875" bestFit="1" customWidth="1"/>
    <col min="91" max="91" width="21.28515625" bestFit="1" customWidth="1"/>
    <col min="92" max="92" width="13.7109375" bestFit="1" customWidth="1"/>
    <col min="93" max="93" width="14.7109375" bestFit="1" customWidth="1"/>
    <col min="94" max="95" width="26.7109375" bestFit="1" customWidth="1"/>
    <col min="96" max="105" width="80.85546875" bestFit="1" customWidth="1"/>
    <col min="106" max="106" width="21.7109375" bestFit="1" customWidth="1"/>
    <col min="107" max="107" width="28.140625" bestFit="1" customWidth="1"/>
    <col min="108" max="108" width="24.28515625" bestFit="1" customWidth="1"/>
    <col min="109" max="109" width="23.140625" bestFit="1" customWidth="1"/>
    <col min="110" max="110" width="60.28515625" bestFit="1" customWidth="1"/>
    <col min="111" max="111" width="25.140625" bestFit="1" customWidth="1"/>
    <col min="112" max="112" width="33.28515625" bestFit="1" customWidth="1"/>
    <col min="113" max="113" width="31" bestFit="1" customWidth="1"/>
    <col min="114" max="114" width="28.85546875" bestFit="1" customWidth="1"/>
    <col min="115" max="115" width="28.140625" bestFit="1" customWidth="1"/>
    <col min="116" max="116" width="27.140625" bestFit="1" customWidth="1"/>
    <col min="117" max="118" width="20.28515625" bestFit="1" customWidth="1"/>
    <col min="119" max="125" width="19" bestFit="1" customWidth="1"/>
    <col min="126" max="126" width="16.85546875" bestFit="1" customWidth="1"/>
    <col min="127" max="128" width="16.5703125" bestFit="1" customWidth="1"/>
    <col min="129" max="129" width="25.7109375" bestFit="1" customWidth="1"/>
    <col min="130" max="130" width="31.28515625" bestFit="1" customWidth="1"/>
    <col min="131" max="131" width="20.7109375" bestFit="1" customWidth="1"/>
    <col min="132" max="153" width="80.85546875" bestFit="1" customWidth="1"/>
    <col min="154" max="154" width="76.5703125" bestFit="1" customWidth="1"/>
    <col min="155" max="158" width="80.85546875" bestFit="1" customWidth="1"/>
    <col min="159" max="159" width="76.5703125" bestFit="1" customWidth="1"/>
    <col min="160" max="162" width="80.85546875" bestFit="1" customWidth="1"/>
  </cols>
  <sheetData>
    <row r="1" spans="1:121" x14ac:dyDescent="0.25">
      <c r="A1" s="27" t="s">
        <v>3</v>
      </c>
      <c r="B1" s="28" t="s">
        <v>1</v>
      </c>
      <c r="C1" s="28" t="s">
        <v>2061</v>
      </c>
      <c r="D1" s="28" t="s">
        <v>2062</v>
      </c>
      <c r="E1" s="28" t="s">
        <v>0</v>
      </c>
      <c r="F1" s="28" t="s">
        <v>2</v>
      </c>
      <c r="G1" s="28" t="s">
        <v>2063</v>
      </c>
      <c r="H1" s="28" t="s">
        <v>4</v>
      </c>
      <c r="I1" s="28" t="s">
        <v>2064</v>
      </c>
      <c r="J1" s="28" t="s">
        <v>2065</v>
      </c>
      <c r="K1" s="28" t="s">
        <v>2066</v>
      </c>
      <c r="L1" s="28" t="s">
        <v>2067</v>
      </c>
      <c r="M1" s="28" t="s">
        <v>2068</v>
      </c>
      <c r="N1" s="28" t="s">
        <v>2069</v>
      </c>
      <c r="O1" s="28" t="s">
        <v>2070</v>
      </c>
      <c r="P1" s="28" t="s">
        <v>2071</v>
      </c>
      <c r="Q1" s="28" t="s">
        <v>2072</v>
      </c>
      <c r="R1" s="28" t="s">
        <v>2073</v>
      </c>
      <c r="S1" s="28" t="s">
        <v>2074</v>
      </c>
      <c r="T1" s="28" t="s">
        <v>2075</v>
      </c>
      <c r="U1" s="28" t="s">
        <v>2076</v>
      </c>
      <c r="V1" s="28" t="s">
        <v>2077</v>
      </c>
      <c r="W1" s="28" t="s">
        <v>3064</v>
      </c>
      <c r="X1" s="28" t="s">
        <v>2078</v>
      </c>
      <c r="Y1" s="28" t="s">
        <v>2079</v>
      </c>
      <c r="Z1" s="28" t="s">
        <v>2080</v>
      </c>
      <c r="AA1" s="28" t="s">
        <v>3065</v>
      </c>
      <c r="AB1" s="28" t="s">
        <v>2081</v>
      </c>
      <c r="AC1" s="28" t="s">
        <v>2082</v>
      </c>
      <c r="AD1" s="28" t="s">
        <v>2083</v>
      </c>
      <c r="AE1" s="28" t="s">
        <v>2084</v>
      </c>
      <c r="AF1" s="28" t="s">
        <v>2085</v>
      </c>
      <c r="AG1" s="28" t="s">
        <v>2370</v>
      </c>
      <c r="AH1" s="28" t="s">
        <v>3066</v>
      </c>
      <c r="AI1" s="28" t="s">
        <v>2086</v>
      </c>
      <c r="AJ1" s="28" t="s">
        <v>2476</v>
      </c>
      <c r="AK1" s="28" t="s">
        <v>2087</v>
      </c>
      <c r="AL1" s="28" t="s">
        <v>2088</v>
      </c>
      <c r="AM1" s="28" t="s">
        <v>2089</v>
      </c>
      <c r="AN1" s="28" t="s">
        <v>2090</v>
      </c>
      <c r="AO1" s="28" t="s">
        <v>2091</v>
      </c>
      <c r="AP1" s="28" t="s">
        <v>2092</v>
      </c>
      <c r="AQ1" s="28" t="s">
        <v>2093</v>
      </c>
      <c r="AR1" s="28" t="s">
        <v>2094</v>
      </c>
      <c r="AS1" s="28" t="s">
        <v>2095</v>
      </c>
      <c r="AT1" s="28" t="s">
        <v>2096</v>
      </c>
      <c r="AU1" s="28" t="s">
        <v>2097</v>
      </c>
      <c r="AV1" s="28" t="s">
        <v>2302</v>
      </c>
      <c r="AW1" s="28" t="s">
        <v>2098</v>
      </c>
      <c r="AX1" s="28" t="s">
        <v>2099</v>
      </c>
      <c r="AY1" s="28" t="s">
        <v>2100</v>
      </c>
      <c r="AZ1" s="28" t="s">
        <v>2101</v>
      </c>
      <c r="BA1" s="28" t="s">
        <v>2102</v>
      </c>
      <c r="BB1" s="28" t="s">
        <v>2103</v>
      </c>
      <c r="BC1" s="28" t="s">
        <v>2104</v>
      </c>
      <c r="BD1" s="28" t="s">
        <v>2105</v>
      </c>
      <c r="BE1" s="28" t="s">
        <v>3067</v>
      </c>
      <c r="BF1" s="28" t="s">
        <v>2303</v>
      </c>
      <c r="BG1" s="28" t="s">
        <v>2106</v>
      </c>
      <c r="BH1" s="28" t="s">
        <v>3068</v>
      </c>
      <c r="BI1" s="28" t="s">
        <v>3069</v>
      </c>
      <c r="BJ1" s="28" t="s">
        <v>3070</v>
      </c>
      <c r="BK1" s="28" t="s">
        <v>2107</v>
      </c>
      <c r="BL1" s="28" t="s">
        <v>3071</v>
      </c>
      <c r="BM1" s="28" t="s">
        <v>3072</v>
      </c>
      <c r="BN1" s="28" t="s">
        <v>3073</v>
      </c>
      <c r="BO1" s="28" t="s">
        <v>3074</v>
      </c>
      <c r="BP1" s="28" t="s">
        <v>3075</v>
      </c>
      <c r="BQ1" s="28" t="s">
        <v>3076</v>
      </c>
      <c r="BR1" s="28" t="s">
        <v>3077</v>
      </c>
      <c r="BS1" s="28" t="s">
        <v>3078</v>
      </c>
      <c r="BT1" s="28" t="s">
        <v>3079</v>
      </c>
      <c r="BU1" s="28" t="s">
        <v>2108</v>
      </c>
      <c r="BV1" s="28" t="s">
        <v>2109</v>
      </c>
      <c r="BW1" s="28" t="s">
        <v>2110</v>
      </c>
      <c r="BX1" s="28" t="s">
        <v>2111</v>
      </c>
      <c r="BY1" s="28" t="s">
        <v>2112</v>
      </c>
      <c r="BZ1" s="28" t="s">
        <v>2113</v>
      </c>
      <c r="CA1" s="28" t="s">
        <v>2114</v>
      </c>
      <c r="CB1" s="28" t="s">
        <v>2115</v>
      </c>
      <c r="CC1" s="28" t="s">
        <v>2116</v>
      </c>
      <c r="CD1" s="28" t="s">
        <v>2117</v>
      </c>
      <c r="CE1" s="28" t="s">
        <v>2118</v>
      </c>
      <c r="CF1" s="28" t="s">
        <v>2119</v>
      </c>
      <c r="CG1" s="28" t="s">
        <v>3080</v>
      </c>
      <c r="CH1" s="28" t="s">
        <v>3081</v>
      </c>
      <c r="CI1" s="28" t="s">
        <v>3082</v>
      </c>
      <c r="CJ1" s="28" t="s">
        <v>3083</v>
      </c>
      <c r="CK1" s="28" t="s">
        <v>3084</v>
      </c>
      <c r="CL1" s="28" t="s">
        <v>3085</v>
      </c>
      <c r="CM1" s="28" t="s">
        <v>3086</v>
      </c>
      <c r="CN1" s="28" t="s">
        <v>3087</v>
      </c>
      <c r="CO1" s="28" t="s">
        <v>3088</v>
      </c>
      <c r="CP1" s="28" t="s">
        <v>3089</v>
      </c>
      <c r="CQ1" s="28" t="s">
        <v>3090</v>
      </c>
      <c r="CR1" s="28" t="s">
        <v>3091</v>
      </c>
      <c r="CS1" s="28" t="s">
        <v>2120</v>
      </c>
      <c r="CT1" s="28" t="s">
        <v>2121</v>
      </c>
      <c r="CU1" s="28" t="s">
        <v>2122</v>
      </c>
      <c r="CV1" s="28" t="s">
        <v>2123</v>
      </c>
      <c r="CW1" s="28" t="s">
        <v>3092</v>
      </c>
      <c r="CX1" s="28" t="s">
        <v>3093</v>
      </c>
      <c r="CY1" s="28" t="s">
        <v>3094</v>
      </c>
      <c r="CZ1" s="28" t="s">
        <v>3095</v>
      </c>
      <c r="DA1" s="28" t="s">
        <v>3096</v>
      </c>
      <c r="DB1" s="28" t="s">
        <v>3097</v>
      </c>
      <c r="DC1" s="28" t="s">
        <v>3098</v>
      </c>
      <c r="DD1" s="28" t="s">
        <v>3099</v>
      </c>
      <c r="DE1" s="28" t="s">
        <v>3100</v>
      </c>
      <c r="DF1" s="28" t="s">
        <v>3101</v>
      </c>
      <c r="DG1" s="28" t="s">
        <v>3102</v>
      </c>
      <c r="DH1" s="28" t="s">
        <v>3103</v>
      </c>
      <c r="DI1" s="28" t="s">
        <v>3104</v>
      </c>
      <c r="DJ1" s="28" t="s">
        <v>3105</v>
      </c>
      <c r="DK1" s="28" t="s">
        <v>3106</v>
      </c>
      <c r="DL1" s="28" t="s">
        <v>3107</v>
      </c>
      <c r="DM1" s="28" t="s">
        <v>3108</v>
      </c>
      <c r="DN1" s="28" t="s">
        <v>3109</v>
      </c>
      <c r="DO1" s="28" t="s">
        <v>3110</v>
      </c>
      <c r="DP1" s="28" t="s">
        <v>3111</v>
      </c>
      <c r="DQ1" s="44" t="s">
        <v>3112</v>
      </c>
    </row>
    <row r="2" spans="1:121" x14ac:dyDescent="0.25">
      <c r="A2" s="39" t="s">
        <v>3113</v>
      </c>
      <c r="B2" s="29" t="s">
        <v>3114</v>
      </c>
      <c r="C2" s="29">
        <v>23076</v>
      </c>
      <c r="D2" s="29"/>
      <c r="E2" s="29" t="s">
        <v>14</v>
      </c>
      <c r="F2" s="29" t="s">
        <v>10</v>
      </c>
      <c r="G2" s="29" t="s">
        <v>2126</v>
      </c>
      <c r="H2" s="29" t="s">
        <v>1844</v>
      </c>
      <c r="I2" s="29" t="s">
        <v>2127</v>
      </c>
      <c r="J2" s="29" t="s">
        <v>2128</v>
      </c>
      <c r="K2" s="29" t="s">
        <v>2129</v>
      </c>
      <c r="L2" s="29" t="s">
        <v>2129</v>
      </c>
      <c r="M2" s="29" t="s">
        <v>2130</v>
      </c>
      <c r="N2" s="29" t="s">
        <v>2129</v>
      </c>
      <c r="O2" s="29" t="s">
        <v>2134</v>
      </c>
      <c r="P2" s="29" t="s">
        <v>2128</v>
      </c>
      <c r="Q2" s="29" t="s">
        <v>2128</v>
      </c>
      <c r="R2" s="45">
        <v>46083.574305555558</v>
      </c>
      <c r="S2" s="45">
        <v>46083.574999999997</v>
      </c>
      <c r="T2" s="45">
        <v>46087.717361111114</v>
      </c>
      <c r="U2" s="45"/>
      <c r="V2" s="29" t="s">
        <v>2129</v>
      </c>
      <c r="W2" s="29" t="s">
        <v>2129</v>
      </c>
      <c r="X2" s="29" t="s">
        <v>2129</v>
      </c>
      <c r="Y2" s="29">
        <v>0</v>
      </c>
      <c r="Z2" s="29" t="s">
        <v>2129</v>
      </c>
      <c r="AA2" s="29" t="s">
        <v>2129</v>
      </c>
      <c r="AB2" s="29" t="s">
        <v>3115</v>
      </c>
      <c r="AC2" s="29" t="s">
        <v>2129</v>
      </c>
      <c r="AD2" s="29" t="s">
        <v>2128</v>
      </c>
      <c r="AE2" s="29" t="s">
        <v>2129</v>
      </c>
      <c r="AF2" s="29" t="s">
        <v>2129</v>
      </c>
      <c r="AG2" s="29" t="s">
        <v>2129</v>
      </c>
      <c r="AH2" s="29" t="s">
        <v>2129</v>
      </c>
      <c r="AI2" s="29" t="s">
        <v>2129</v>
      </c>
      <c r="AJ2" s="29" t="s">
        <v>2129</v>
      </c>
      <c r="AK2" s="29" t="s">
        <v>2129</v>
      </c>
      <c r="AL2" s="29" t="s">
        <v>2129</v>
      </c>
      <c r="AM2" s="29" t="s">
        <v>2129</v>
      </c>
      <c r="AN2" s="29" t="s">
        <v>2129</v>
      </c>
      <c r="AO2" s="29" t="s">
        <v>2129</v>
      </c>
      <c r="AP2" s="29" t="s">
        <v>2129</v>
      </c>
      <c r="AQ2" s="29" t="s">
        <v>2129</v>
      </c>
      <c r="AR2" s="29" t="s">
        <v>2129</v>
      </c>
      <c r="AS2" s="29" t="s">
        <v>2129</v>
      </c>
      <c r="AT2" s="29" t="s">
        <v>2129</v>
      </c>
      <c r="AU2" s="29" t="s">
        <v>2129</v>
      </c>
      <c r="AV2" s="29" t="s">
        <v>2129</v>
      </c>
      <c r="AW2" s="29" t="s">
        <v>2129</v>
      </c>
      <c r="AX2" s="29"/>
      <c r="AY2" s="29"/>
      <c r="AZ2" s="29" t="s">
        <v>2129</v>
      </c>
      <c r="BA2" s="29" t="s">
        <v>2129</v>
      </c>
      <c r="BB2" s="29"/>
      <c r="BC2" s="29"/>
      <c r="BD2" s="29" t="s">
        <v>2129</v>
      </c>
      <c r="BE2" s="29" t="s">
        <v>2129</v>
      </c>
      <c r="BF2" s="29" t="s">
        <v>2129</v>
      </c>
      <c r="BG2" s="29" t="s">
        <v>2129</v>
      </c>
      <c r="BH2" s="29" t="s">
        <v>2129</v>
      </c>
      <c r="BI2" s="29" t="s">
        <v>2129</v>
      </c>
      <c r="BJ2" s="29" t="s">
        <v>2129</v>
      </c>
      <c r="BK2" s="29" t="s">
        <v>2129</v>
      </c>
      <c r="BL2" s="29" t="s">
        <v>2129</v>
      </c>
      <c r="BM2" s="29" t="s">
        <v>2129</v>
      </c>
      <c r="BN2" s="29" t="s">
        <v>2129</v>
      </c>
      <c r="BO2" s="29" t="s">
        <v>2129</v>
      </c>
      <c r="BP2" s="29" t="s">
        <v>2129</v>
      </c>
      <c r="BQ2" s="29" t="s">
        <v>2129</v>
      </c>
      <c r="BR2" s="29" t="s">
        <v>2129</v>
      </c>
      <c r="BS2" s="29" t="s">
        <v>2129</v>
      </c>
      <c r="BT2" s="29" t="s">
        <v>2129</v>
      </c>
      <c r="BU2" s="29" t="s">
        <v>2129</v>
      </c>
      <c r="BV2" s="29" t="s">
        <v>2129</v>
      </c>
      <c r="BW2" s="29" t="s">
        <v>2129</v>
      </c>
      <c r="BX2" s="29" t="s">
        <v>2129</v>
      </c>
      <c r="BY2" s="29" t="s">
        <v>2129</v>
      </c>
      <c r="BZ2" s="29" t="s">
        <v>2129</v>
      </c>
      <c r="CA2" s="29" t="s">
        <v>2129</v>
      </c>
      <c r="CB2" s="29" t="s">
        <v>2129</v>
      </c>
      <c r="CC2" s="29" t="s">
        <v>2129</v>
      </c>
      <c r="CD2" s="29" t="s">
        <v>2129</v>
      </c>
      <c r="CE2" s="29" t="s">
        <v>3116</v>
      </c>
      <c r="CF2" s="29" t="s">
        <v>3117</v>
      </c>
      <c r="CG2" s="29" t="s">
        <v>2129</v>
      </c>
      <c r="CH2" s="29" t="s">
        <v>2129</v>
      </c>
      <c r="CI2" s="29" t="s">
        <v>2129</v>
      </c>
      <c r="CJ2" s="29" t="s">
        <v>2129</v>
      </c>
      <c r="CK2" s="29" t="s">
        <v>2129</v>
      </c>
      <c r="CL2" s="29" t="s">
        <v>2129</v>
      </c>
      <c r="CM2" s="29" t="s">
        <v>2129</v>
      </c>
      <c r="CN2" s="29" t="s">
        <v>2129</v>
      </c>
      <c r="CO2" s="29" t="s">
        <v>2129</v>
      </c>
      <c r="CP2" s="29" t="s">
        <v>2129</v>
      </c>
      <c r="CQ2" s="29" t="s">
        <v>2129</v>
      </c>
      <c r="CR2" s="29" t="s">
        <v>2129</v>
      </c>
      <c r="CS2" s="29"/>
      <c r="CT2" s="29" t="s">
        <v>2129</v>
      </c>
      <c r="CU2" s="29" t="s">
        <v>2129</v>
      </c>
      <c r="CV2" s="29" t="s">
        <v>2129</v>
      </c>
      <c r="CW2" s="29" t="s">
        <v>2129</v>
      </c>
      <c r="CX2" s="29" t="s">
        <v>2129</v>
      </c>
      <c r="CY2" s="29" t="s">
        <v>2129</v>
      </c>
      <c r="CZ2" s="29" t="s">
        <v>2129</v>
      </c>
      <c r="DA2" s="29" t="s">
        <v>2129</v>
      </c>
      <c r="DB2" s="29" t="s">
        <v>2129</v>
      </c>
      <c r="DC2" s="29" t="s">
        <v>2129</v>
      </c>
      <c r="DD2" s="29" t="s">
        <v>2129</v>
      </c>
      <c r="DE2" s="29" t="s">
        <v>2129</v>
      </c>
      <c r="DF2" s="29" t="s">
        <v>2129</v>
      </c>
      <c r="DG2" s="29" t="s">
        <v>2129</v>
      </c>
      <c r="DH2" s="29" t="s">
        <v>2129</v>
      </c>
      <c r="DI2" s="29" t="s">
        <v>2129</v>
      </c>
      <c r="DJ2" s="29" t="s">
        <v>2129</v>
      </c>
      <c r="DK2" s="29" t="s">
        <v>2129</v>
      </c>
      <c r="DL2" s="29" t="s">
        <v>2129</v>
      </c>
      <c r="DM2" s="29" t="s">
        <v>2129</v>
      </c>
      <c r="DN2" s="29" t="s">
        <v>2129</v>
      </c>
      <c r="DO2" s="29" t="s">
        <v>2129</v>
      </c>
      <c r="DP2" s="29" t="s">
        <v>2129</v>
      </c>
      <c r="DQ2" s="42" t="s">
        <v>2129</v>
      </c>
    </row>
    <row r="3" spans="1:121" x14ac:dyDescent="0.25">
      <c r="A3" s="36" t="s">
        <v>3118</v>
      </c>
      <c r="B3" s="30" t="s">
        <v>3119</v>
      </c>
      <c r="C3" s="30">
        <v>23049</v>
      </c>
      <c r="D3" s="30"/>
      <c r="E3" s="30" t="s">
        <v>14</v>
      </c>
      <c r="F3" s="30" t="s">
        <v>26</v>
      </c>
      <c r="G3" s="30" t="s">
        <v>2126</v>
      </c>
      <c r="H3" s="30" t="s">
        <v>1844</v>
      </c>
      <c r="I3" s="30" t="s">
        <v>2127</v>
      </c>
      <c r="J3" s="30" t="s">
        <v>2128</v>
      </c>
      <c r="K3" s="30" t="s">
        <v>2129</v>
      </c>
      <c r="L3" s="30" t="s">
        <v>2129</v>
      </c>
      <c r="M3" s="30" t="s">
        <v>2130</v>
      </c>
      <c r="N3" s="30" t="s">
        <v>2129</v>
      </c>
      <c r="O3" s="30" t="s">
        <v>2139</v>
      </c>
      <c r="P3" s="30" t="s">
        <v>2128</v>
      </c>
      <c r="Q3" s="30" t="s">
        <v>2128</v>
      </c>
      <c r="R3" s="46">
        <v>46079.581944444442</v>
      </c>
      <c r="S3" s="46">
        <v>46086.603472222225</v>
      </c>
      <c r="T3" s="46">
        <v>46087.717361111114</v>
      </c>
      <c r="U3" s="46"/>
      <c r="V3" s="30" t="s">
        <v>2129</v>
      </c>
      <c r="W3" s="30" t="s">
        <v>2129</v>
      </c>
      <c r="X3" s="30" t="s">
        <v>2129</v>
      </c>
      <c r="Y3" s="30">
        <v>0</v>
      </c>
      <c r="Z3" s="30" t="s">
        <v>2129</v>
      </c>
      <c r="AA3" s="30" t="s">
        <v>2129</v>
      </c>
      <c r="AB3" s="30" t="s">
        <v>3120</v>
      </c>
      <c r="AC3" s="30" t="s">
        <v>2129</v>
      </c>
      <c r="AD3" s="30" t="s">
        <v>2128</v>
      </c>
      <c r="AE3" s="30" t="s">
        <v>2129</v>
      </c>
      <c r="AF3" s="30" t="s">
        <v>2129</v>
      </c>
      <c r="AG3" s="30" t="s">
        <v>2129</v>
      </c>
      <c r="AH3" s="30" t="s">
        <v>2129</v>
      </c>
      <c r="AI3" s="30" t="s">
        <v>3121</v>
      </c>
      <c r="AJ3" s="30" t="s">
        <v>3122</v>
      </c>
      <c r="AK3" s="30" t="s">
        <v>3123</v>
      </c>
      <c r="AL3" s="30" t="s">
        <v>3124</v>
      </c>
      <c r="AM3" s="30" t="s">
        <v>3125</v>
      </c>
      <c r="AN3" s="30" t="s">
        <v>3126</v>
      </c>
      <c r="AO3" s="30" t="s">
        <v>2129</v>
      </c>
      <c r="AP3" s="30" t="s">
        <v>2129</v>
      </c>
      <c r="AQ3" s="30" t="s">
        <v>2129</v>
      </c>
      <c r="AR3" s="30" t="s">
        <v>2129</v>
      </c>
      <c r="AS3" s="30" t="s">
        <v>2129</v>
      </c>
      <c r="AT3" s="30" t="s">
        <v>2129</v>
      </c>
      <c r="AU3" s="30" t="s">
        <v>2129</v>
      </c>
      <c r="AV3" s="30" t="s">
        <v>2129</v>
      </c>
      <c r="AW3" s="30" t="s">
        <v>2129</v>
      </c>
      <c r="AX3" s="30">
        <v>0</v>
      </c>
      <c r="AY3" s="30">
        <v>100800</v>
      </c>
      <c r="AZ3" s="30" t="s">
        <v>2129</v>
      </c>
      <c r="BA3" s="30" t="s">
        <v>2129</v>
      </c>
      <c r="BB3" s="30">
        <v>0</v>
      </c>
      <c r="BC3" s="30">
        <v>100800</v>
      </c>
      <c r="BD3" s="30" t="s">
        <v>2129</v>
      </c>
      <c r="BE3" s="30" t="s">
        <v>2129</v>
      </c>
      <c r="BF3" s="30" t="s">
        <v>2129</v>
      </c>
      <c r="BG3" s="30" t="s">
        <v>2129</v>
      </c>
      <c r="BH3" s="30" t="s">
        <v>2129</v>
      </c>
      <c r="BI3" s="30" t="s">
        <v>2129</v>
      </c>
      <c r="BJ3" s="30" t="s">
        <v>2129</v>
      </c>
      <c r="BK3" s="30" t="s">
        <v>2129</v>
      </c>
      <c r="BL3" s="30" t="s">
        <v>2129</v>
      </c>
      <c r="BM3" s="30" t="s">
        <v>2129</v>
      </c>
      <c r="BN3" s="30" t="s">
        <v>2129</v>
      </c>
      <c r="BO3" s="30" t="s">
        <v>2129</v>
      </c>
      <c r="BP3" s="30" t="s">
        <v>2129</v>
      </c>
      <c r="BQ3" s="30" t="s">
        <v>2129</v>
      </c>
      <c r="BR3" s="30" t="s">
        <v>2129</v>
      </c>
      <c r="BS3" s="30" t="s">
        <v>2129</v>
      </c>
      <c r="BT3" s="30" t="s">
        <v>2129</v>
      </c>
      <c r="BU3" s="30" t="s">
        <v>2129</v>
      </c>
      <c r="BV3" s="30" t="s">
        <v>2129</v>
      </c>
      <c r="BW3" s="30" t="s">
        <v>2129</v>
      </c>
      <c r="BX3" s="30" t="s">
        <v>2129</v>
      </c>
      <c r="BY3" s="30" t="s">
        <v>2129</v>
      </c>
      <c r="BZ3" s="30" t="s">
        <v>2129</v>
      </c>
      <c r="CA3" s="30" t="s">
        <v>2129</v>
      </c>
      <c r="CB3" s="30" t="s">
        <v>2129</v>
      </c>
      <c r="CC3" s="30" t="s">
        <v>2129</v>
      </c>
      <c r="CD3" s="30" t="s">
        <v>2129</v>
      </c>
      <c r="CE3" s="30" t="s">
        <v>3127</v>
      </c>
      <c r="CF3" s="30" t="s">
        <v>3117</v>
      </c>
      <c r="CG3" s="30" t="s">
        <v>2129</v>
      </c>
      <c r="CH3" s="30" t="s">
        <v>2129</v>
      </c>
      <c r="CI3" s="30" t="s">
        <v>2129</v>
      </c>
      <c r="CJ3" s="30" t="s">
        <v>2129</v>
      </c>
      <c r="CK3" s="30" t="s">
        <v>2129</v>
      </c>
      <c r="CL3" s="30" t="s">
        <v>2129</v>
      </c>
      <c r="CM3" s="30" t="s">
        <v>2129</v>
      </c>
      <c r="CN3" s="30" t="s">
        <v>2129</v>
      </c>
      <c r="CO3" s="30" t="s">
        <v>2129</v>
      </c>
      <c r="CP3" s="30" t="s">
        <v>2129</v>
      </c>
      <c r="CQ3" s="30" t="s">
        <v>2129</v>
      </c>
      <c r="CR3" s="30" t="s">
        <v>2129</v>
      </c>
      <c r="CS3" s="30"/>
      <c r="CT3" s="30" t="s">
        <v>2129</v>
      </c>
      <c r="CU3" s="30" t="s">
        <v>2129</v>
      </c>
      <c r="CV3" s="30" t="s">
        <v>2129</v>
      </c>
      <c r="CW3" s="30" t="s">
        <v>2129</v>
      </c>
      <c r="CX3" s="30" t="s">
        <v>2129</v>
      </c>
      <c r="CY3" s="30" t="s">
        <v>2129</v>
      </c>
      <c r="CZ3" s="30" t="s">
        <v>2129</v>
      </c>
      <c r="DA3" s="30" t="s">
        <v>2129</v>
      </c>
      <c r="DB3" s="30" t="s">
        <v>2129</v>
      </c>
      <c r="DC3" s="30" t="s">
        <v>2129</v>
      </c>
      <c r="DD3" s="30" t="s">
        <v>2129</v>
      </c>
      <c r="DE3" s="30" t="s">
        <v>2129</v>
      </c>
      <c r="DF3" s="30" t="s">
        <v>2129</v>
      </c>
      <c r="DG3" s="30" t="s">
        <v>2129</v>
      </c>
      <c r="DH3" s="30" t="s">
        <v>2129</v>
      </c>
      <c r="DI3" s="30" t="s">
        <v>2129</v>
      </c>
      <c r="DJ3" s="30" t="s">
        <v>2129</v>
      </c>
      <c r="DK3" s="30" t="s">
        <v>2129</v>
      </c>
      <c r="DL3" s="30" t="s">
        <v>2129</v>
      </c>
      <c r="DM3" s="30" t="s">
        <v>2129</v>
      </c>
      <c r="DN3" s="30" t="s">
        <v>2129</v>
      </c>
      <c r="DO3" s="30" t="s">
        <v>2129</v>
      </c>
      <c r="DP3" s="30" t="s">
        <v>2129</v>
      </c>
      <c r="DQ3" s="43" t="s">
        <v>2129</v>
      </c>
    </row>
    <row r="4" spans="1:121" x14ac:dyDescent="0.25">
      <c r="A4" s="39" t="s">
        <v>3128</v>
      </c>
      <c r="B4" s="29" t="s">
        <v>3129</v>
      </c>
      <c r="C4" s="29">
        <v>23027</v>
      </c>
      <c r="D4" s="29"/>
      <c r="E4" s="29" t="s">
        <v>14</v>
      </c>
      <c r="F4" s="29" t="s">
        <v>16</v>
      </c>
      <c r="G4" s="29" t="s">
        <v>2126</v>
      </c>
      <c r="H4" s="29" t="s">
        <v>1844</v>
      </c>
      <c r="I4" s="29" t="s">
        <v>2127</v>
      </c>
      <c r="J4" s="29" t="s">
        <v>2128</v>
      </c>
      <c r="K4" s="29" t="s">
        <v>2129</v>
      </c>
      <c r="L4" s="29" t="s">
        <v>2129</v>
      </c>
      <c r="M4" s="29" t="s">
        <v>2130</v>
      </c>
      <c r="N4" s="29" t="s">
        <v>16</v>
      </c>
      <c r="O4" s="29" t="s">
        <v>2134</v>
      </c>
      <c r="P4" s="29" t="s">
        <v>2128</v>
      </c>
      <c r="Q4" s="29" t="s">
        <v>2128</v>
      </c>
      <c r="R4" s="45">
        <v>46073.716666666667</v>
      </c>
      <c r="S4" s="45">
        <v>46084.549305555556</v>
      </c>
      <c r="T4" s="45">
        <v>46087.717361111114</v>
      </c>
      <c r="U4" s="45">
        <v>46084.549305555556</v>
      </c>
      <c r="V4" s="29" t="s">
        <v>2129</v>
      </c>
      <c r="W4" s="29" t="s">
        <v>2129</v>
      </c>
      <c r="X4" s="29" t="s">
        <v>2129</v>
      </c>
      <c r="Y4" s="29">
        <v>0</v>
      </c>
      <c r="Z4" s="29" t="s">
        <v>2129</v>
      </c>
      <c r="AA4" s="29" t="s">
        <v>2129</v>
      </c>
      <c r="AB4" s="29" t="s">
        <v>3130</v>
      </c>
      <c r="AC4" s="29" t="s">
        <v>2129</v>
      </c>
      <c r="AD4" s="29" t="s">
        <v>2128</v>
      </c>
      <c r="AE4" s="29" t="s">
        <v>2129</v>
      </c>
      <c r="AF4" s="29" t="s">
        <v>2129</v>
      </c>
      <c r="AG4" s="29" t="s">
        <v>2129</v>
      </c>
      <c r="AH4" s="29" t="s">
        <v>2129</v>
      </c>
      <c r="AI4" s="29" t="s">
        <v>3131</v>
      </c>
      <c r="AJ4" s="29" t="s">
        <v>3132</v>
      </c>
      <c r="AK4" s="29" t="s">
        <v>3133</v>
      </c>
      <c r="AL4" s="29" t="s">
        <v>2129</v>
      </c>
      <c r="AM4" s="29" t="s">
        <v>2129</v>
      </c>
      <c r="AN4" s="29" t="s">
        <v>2129</v>
      </c>
      <c r="AO4" s="29" t="s">
        <v>2129</v>
      </c>
      <c r="AP4" s="29" t="s">
        <v>2129</v>
      </c>
      <c r="AQ4" s="29" t="s">
        <v>2129</v>
      </c>
      <c r="AR4" s="29" t="s">
        <v>2129</v>
      </c>
      <c r="AS4" s="29" t="s">
        <v>2129</v>
      </c>
      <c r="AT4" s="29" t="s">
        <v>2129</v>
      </c>
      <c r="AU4" s="29" t="s">
        <v>2129</v>
      </c>
      <c r="AV4" s="29" t="s">
        <v>2129</v>
      </c>
      <c r="AW4" s="29" t="s">
        <v>2129</v>
      </c>
      <c r="AX4" s="29">
        <v>0</v>
      </c>
      <c r="AY4" s="29">
        <v>50400</v>
      </c>
      <c r="AZ4" s="29" t="s">
        <v>2129</v>
      </c>
      <c r="BA4" s="29" t="s">
        <v>2129</v>
      </c>
      <c r="BB4" s="29">
        <v>0</v>
      </c>
      <c r="BC4" s="29">
        <v>50400</v>
      </c>
      <c r="BD4" s="29" t="s">
        <v>2129</v>
      </c>
      <c r="BE4" s="29" t="s">
        <v>2129</v>
      </c>
      <c r="BF4" s="29" t="s">
        <v>2129</v>
      </c>
      <c r="BG4" s="29" t="s">
        <v>2129</v>
      </c>
      <c r="BH4" s="29" t="s">
        <v>2129</v>
      </c>
      <c r="BI4" s="29" t="s">
        <v>2129</v>
      </c>
      <c r="BJ4" s="29" t="s">
        <v>2129</v>
      </c>
      <c r="BK4" s="29" t="s">
        <v>3134</v>
      </c>
      <c r="BL4" s="29" t="s">
        <v>3135</v>
      </c>
      <c r="BM4" s="29" t="s">
        <v>2129</v>
      </c>
      <c r="BN4" s="29" t="s">
        <v>2129</v>
      </c>
      <c r="BO4" s="29" t="s">
        <v>2129</v>
      </c>
      <c r="BP4" s="29" t="s">
        <v>2129</v>
      </c>
      <c r="BQ4" s="29" t="s">
        <v>2129</v>
      </c>
      <c r="BR4" s="29" t="s">
        <v>2129</v>
      </c>
      <c r="BS4" s="29" t="s">
        <v>2129</v>
      </c>
      <c r="BT4" s="29" t="s">
        <v>2129</v>
      </c>
      <c r="BU4" s="29" t="s">
        <v>2129</v>
      </c>
      <c r="BV4" s="29" t="s">
        <v>2129</v>
      </c>
      <c r="BW4" s="29" t="s">
        <v>2129</v>
      </c>
      <c r="BX4" s="29" t="s">
        <v>2129</v>
      </c>
      <c r="BY4" s="29" t="s">
        <v>2129</v>
      </c>
      <c r="BZ4" s="29" t="s">
        <v>2129</v>
      </c>
      <c r="CA4" s="29" t="s">
        <v>2129</v>
      </c>
      <c r="CB4" s="29" t="s">
        <v>2129</v>
      </c>
      <c r="CC4" s="29" t="s">
        <v>2129</v>
      </c>
      <c r="CD4" s="29" t="s">
        <v>2129</v>
      </c>
      <c r="CE4" s="29" t="s">
        <v>3136</v>
      </c>
      <c r="CF4" s="29" t="s">
        <v>3117</v>
      </c>
      <c r="CG4" s="29" t="s">
        <v>2129</v>
      </c>
      <c r="CH4" s="29" t="s">
        <v>2129</v>
      </c>
      <c r="CI4" s="29" t="s">
        <v>2129</v>
      </c>
      <c r="CJ4" s="29" t="s">
        <v>2129</v>
      </c>
      <c r="CK4" s="29" t="s">
        <v>2129</v>
      </c>
      <c r="CL4" s="29" t="s">
        <v>2129</v>
      </c>
      <c r="CM4" s="29" t="s">
        <v>2129</v>
      </c>
      <c r="CN4" s="29" t="s">
        <v>2129</v>
      </c>
      <c r="CO4" s="29" t="s">
        <v>2129</v>
      </c>
      <c r="CP4" s="29" t="s">
        <v>2129</v>
      </c>
      <c r="CQ4" s="29" t="s">
        <v>2129</v>
      </c>
      <c r="CR4" s="29" t="s">
        <v>2129</v>
      </c>
      <c r="CS4" s="29"/>
      <c r="CT4" s="29" t="s">
        <v>2129</v>
      </c>
      <c r="CU4" s="29" t="s">
        <v>2129</v>
      </c>
      <c r="CV4" s="29" t="s">
        <v>2129</v>
      </c>
      <c r="CW4" s="29" t="s">
        <v>2129</v>
      </c>
      <c r="CX4" s="29" t="s">
        <v>2129</v>
      </c>
      <c r="CY4" s="29" t="s">
        <v>2129</v>
      </c>
      <c r="CZ4" s="29" t="s">
        <v>2129</v>
      </c>
      <c r="DA4" s="29" t="s">
        <v>2129</v>
      </c>
      <c r="DB4" s="29" t="s">
        <v>2129</v>
      </c>
      <c r="DC4" s="29" t="s">
        <v>2129</v>
      </c>
      <c r="DD4" s="29" t="s">
        <v>2129</v>
      </c>
      <c r="DE4" s="29" t="s">
        <v>2129</v>
      </c>
      <c r="DF4" s="29" t="s">
        <v>2129</v>
      </c>
      <c r="DG4" s="29" t="s">
        <v>2129</v>
      </c>
      <c r="DH4" s="29" t="s">
        <v>2129</v>
      </c>
      <c r="DI4" s="29" t="s">
        <v>2129</v>
      </c>
      <c r="DJ4" s="29" t="s">
        <v>2129</v>
      </c>
      <c r="DK4" s="29" t="s">
        <v>2129</v>
      </c>
      <c r="DL4" s="29" t="s">
        <v>2129</v>
      </c>
      <c r="DM4" s="29" t="s">
        <v>2129</v>
      </c>
      <c r="DN4" s="29" t="s">
        <v>2129</v>
      </c>
      <c r="DO4" s="29" t="s">
        <v>2129</v>
      </c>
      <c r="DP4" s="29" t="s">
        <v>2129</v>
      </c>
      <c r="DQ4" s="42" t="s">
        <v>2129</v>
      </c>
    </row>
    <row r="5" spans="1:121" x14ac:dyDescent="0.25">
      <c r="A5" s="36" t="s">
        <v>2135</v>
      </c>
      <c r="B5" s="30" t="s">
        <v>3137</v>
      </c>
      <c r="C5" s="30">
        <v>23024</v>
      </c>
      <c r="D5" s="30"/>
      <c r="E5" s="30" t="s">
        <v>2136</v>
      </c>
      <c r="F5" s="30" t="s">
        <v>10</v>
      </c>
      <c r="G5" s="30" t="s">
        <v>2126</v>
      </c>
      <c r="H5" s="30" t="s">
        <v>1844</v>
      </c>
      <c r="I5" s="30" t="s">
        <v>2127</v>
      </c>
      <c r="J5" s="30" t="s">
        <v>2128</v>
      </c>
      <c r="K5" s="30" t="s">
        <v>2129</v>
      </c>
      <c r="L5" s="30" t="s">
        <v>2129</v>
      </c>
      <c r="M5" s="30" t="s">
        <v>2130</v>
      </c>
      <c r="N5" s="30" t="s">
        <v>2129</v>
      </c>
      <c r="O5" s="30" t="s">
        <v>2134</v>
      </c>
      <c r="P5" s="30" t="s">
        <v>2128</v>
      </c>
      <c r="Q5" s="30" t="s">
        <v>2128</v>
      </c>
      <c r="R5" s="46">
        <v>46073.7</v>
      </c>
      <c r="S5" s="46">
        <v>46086.729861111111</v>
      </c>
      <c r="T5" s="46">
        <v>46087.717361111114</v>
      </c>
      <c r="U5" s="46"/>
      <c r="V5" s="30" t="s">
        <v>2129</v>
      </c>
      <c r="W5" s="30" t="s">
        <v>2129</v>
      </c>
      <c r="X5" s="30" t="s">
        <v>2129</v>
      </c>
      <c r="Y5" s="30">
        <v>0</v>
      </c>
      <c r="Z5" s="30" t="s">
        <v>2129</v>
      </c>
      <c r="AA5" s="30" t="s">
        <v>2129</v>
      </c>
      <c r="AB5" s="30" t="s">
        <v>2138</v>
      </c>
      <c r="AC5" s="30" t="s">
        <v>2129</v>
      </c>
      <c r="AD5" s="30" t="s">
        <v>2128</v>
      </c>
      <c r="AE5" s="30" t="s">
        <v>2129</v>
      </c>
      <c r="AF5" s="30" t="s">
        <v>2129</v>
      </c>
      <c r="AG5" s="30" t="s">
        <v>2129</v>
      </c>
      <c r="AH5" s="30" t="s">
        <v>2129</v>
      </c>
      <c r="AI5" s="30" t="s">
        <v>3138</v>
      </c>
      <c r="AJ5" s="30" t="s">
        <v>3139</v>
      </c>
      <c r="AK5" s="30" t="s">
        <v>3140</v>
      </c>
      <c r="AL5" s="30" t="s">
        <v>3141</v>
      </c>
      <c r="AM5" s="30" t="s">
        <v>3142</v>
      </c>
      <c r="AN5" s="30" t="s">
        <v>3143</v>
      </c>
      <c r="AO5" s="30" t="s">
        <v>3144</v>
      </c>
      <c r="AP5" s="30" t="s">
        <v>3145</v>
      </c>
      <c r="AQ5" s="30" t="s">
        <v>2129</v>
      </c>
      <c r="AR5" s="30" t="s">
        <v>2129</v>
      </c>
      <c r="AS5" s="30" t="s">
        <v>2129</v>
      </c>
      <c r="AT5" s="30" t="s">
        <v>2129</v>
      </c>
      <c r="AU5" s="30" t="s">
        <v>2129</v>
      </c>
      <c r="AV5" s="30" t="s">
        <v>2129</v>
      </c>
      <c r="AW5" s="30" t="s">
        <v>2129</v>
      </c>
      <c r="AX5" s="30">
        <v>0</v>
      </c>
      <c r="AY5" s="30">
        <v>133200</v>
      </c>
      <c r="AZ5" s="30" t="s">
        <v>2129</v>
      </c>
      <c r="BA5" s="30" t="s">
        <v>2129</v>
      </c>
      <c r="BB5" s="30">
        <v>0</v>
      </c>
      <c r="BC5" s="30">
        <v>133200</v>
      </c>
      <c r="BD5" s="30" t="s">
        <v>2129</v>
      </c>
      <c r="BE5" s="30" t="s">
        <v>2129</v>
      </c>
      <c r="BF5" s="30" t="s">
        <v>2129</v>
      </c>
      <c r="BG5" s="30" t="s">
        <v>2129</v>
      </c>
      <c r="BH5" s="30" t="s">
        <v>2129</v>
      </c>
      <c r="BI5" s="30" t="s">
        <v>2129</v>
      </c>
      <c r="BJ5" s="30" t="s">
        <v>2129</v>
      </c>
      <c r="BK5" s="30" t="s">
        <v>2129</v>
      </c>
      <c r="BL5" s="30" t="s">
        <v>2129</v>
      </c>
      <c r="BM5" s="30" t="s">
        <v>2129</v>
      </c>
      <c r="BN5" s="30" t="s">
        <v>2129</v>
      </c>
      <c r="BO5" s="30" t="s">
        <v>2129</v>
      </c>
      <c r="BP5" s="30" t="s">
        <v>2129</v>
      </c>
      <c r="BQ5" s="30" t="s">
        <v>2129</v>
      </c>
      <c r="BR5" s="30" t="s">
        <v>2129</v>
      </c>
      <c r="BS5" s="30" t="s">
        <v>2129</v>
      </c>
      <c r="BT5" s="30" t="s">
        <v>2129</v>
      </c>
      <c r="BU5" s="30" t="s">
        <v>2129</v>
      </c>
      <c r="BV5" s="30" t="s">
        <v>2129</v>
      </c>
      <c r="BW5" s="30" t="s">
        <v>2129</v>
      </c>
      <c r="BX5" s="30" t="s">
        <v>2129</v>
      </c>
      <c r="BY5" s="30" t="s">
        <v>2129</v>
      </c>
      <c r="BZ5" s="30" t="s">
        <v>2129</v>
      </c>
      <c r="CA5" s="30" t="s">
        <v>2129</v>
      </c>
      <c r="CB5" s="30" t="s">
        <v>2129</v>
      </c>
      <c r="CC5" s="30" t="s">
        <v>2129</v>
      </c>
      <c r="CD5" s="30" t="s">
        <v>2129</v>
      </c>
      <c r="CE5" s="30" t="s">
        <v>3146</v>
      </c>
      <c r="CF5" s="30" t="s">
        <v>3117</v>
      </c>
      <c r="CG5" s="30" t="s">
        <v>2129</v>
      </c>
      <c r="CH5" s="30" t="s">
        <v>2129</v>
      </c>
      <c r="CI5" s="30" t="s">
        <v>2129</v>
      </c>
      <c r="CJ5" s="30" t="s">
        <v>2129</v>
      </c>
      <c r="CK5" s="30" t="s">
        <v>2129</v>
      </c>
      <c r="CL5" s="30" t="s">
        <v>2129</v>
      </c>
      <c r="CM5" s="30" t="s">
        <v>2129</v>
      </c>
      <c r="CN5" s="30" t="s">
        <v>2129</v>
      </c>
      <c r="CO5" s="30" t="s">
        <v>2129</v>
      </c>
      <c r="CP5" s="30" t="s">
        <v>2129</v>
      </c>
      <c r="CQ5" s="30" t="s">
        <v>2129</v>
      </c>
      <c r="CR5" s="30" t="s">
        <v>2129</v>
      </c>
      <c r="CS5" s="30"/>
      <c r="CT5" s="30" t="s">
        <v>2129</v>
      </c>
      <c r="CU5" s="30" t="s">
        <v>2129</v>
      </c>
      <c r="CV5" s="30" t="s">
        <v>2129</v>
      </c>
      <c r="CW5" s="30" t="s">
        <v>2129</v>
      </c>
      <c r="CX5" s="30" t="s">
        <v>2129</v>
      </c>
      <c r="CY5" s="30" t="s">
        <v>2129</v>
      </c>
      <c r="CZ5" s="30" t="s">
        <v>2129</v>
      </c>
      <c r="DA5" s="30" t="s">
        <v>2129</v>
      </c>
      <c r="DB5" s="30" t="s">
        <v>2129</v>
      </c>
      <c r="DC5" s="30" t="s">
        <v>2129</v>
      </c>
      <c r="DD5" s="30" t="s">
        <v>2129</v>
      </c>
      <c r="DE5" s="30" t="s">
        <v>2129</v>
      </c>
      <c r="DF5" s="30" t="s">
        <v>2129</v>
      </c>
      <c r="DG5" s="30" t="s">
        <v>2129</v>
      </c>
      <c r="DH5" s="30" t="s">
        <v>2129</v>
      </c>
      <c r="DI5" s="30" t="s">
        <v>2129</v>
      </c>
      <c r="DJ5" s="30" t="s">
        <v>2129</v>
      </c>
      <c r="DK5" s="30" t="s">
        <v>2129</v>
      </c>
      <c r="DL5" s="30" t="s">
        <v>2129</v>
      </c>
      <c r="DM5" s="30" t="s">
        <v>2129</v>
      </c>
      <c r="DN5" s="30" t="s">
        <v>2129</v>
      </c>
      <c r="DO5" s="30" t="s">
        <v>2129</v>
      </c>
      <c r="DP5" s="30" t="s">
        <v>2129</v>
      </c>
      <c r="DQ5" s="43" t="s">
        <v>2129</v>
      </c>
    </row>
    <row r="6" spans="1:121" x14ac:dyDescent="0.25">
      <c r="A6" s="39" t="s">
        <v>3050</v>
      </c>
      <c r="B6" s="29" t="s">
        <v>3147</v>
      </c>
      <c r="C6" s="29">
        <v>23070</v>
      </c>
      <c r="D6" s="29"/>
      <c r="E6" s="29" t="s">
        <v>14</v>
      </c>
      <c r="F6" s="29" t="s">
        <v>10</v>
      </c>
      <c r="G6" s="29" t="s">
        <v>2140</v>
      </c>
      <c r="H6" s="29" t="s">
        <v>599</v>
      </c>
      <c r="I6" s="29" t="s">
        <v>2127</v>
      </c>
      <c r="J6" s="29" t="s">
        <v>2141</v>
      </c>
      <c r="K6" s="29" t="s">
        <v>2129</v>
      </c>
      <c r="L6" s="29" t="s">
        <v>2142</v>
      </c>
      <c r="M6" s="29" t="s">
        <v>2130</v>
      </c>
      <c r="N6" s="29" t="s">
        <v>2129</v>
      </c>
      <c r="O6" s="29" t="s">
        <v>2141</v>
      </c>
      <c r="P6" s="29" t="s">
        <v>2145</v>
      </c>
      <c r="Q6" s="29" t="s">
        <v>2145</v>
      </c>
      <c r="R6" s="45">
        <v>46083.418749999997</v>
      </c>
      <c r="S6" s="45">
        <v>46084.561111111114</v>
      </c>
      <c r="T6" s="45">
        <v>46087.717361111114</v>
      </c>
      <c r="U6" s="45"/>
      <c r="V6" s="29" t="s">
        <v>2129</v>
      </c>
      <c r="W6" s="29" t="s">
        <v>2129</v>
      </c>
      <c r="X6" s="29" t="s">
        <v>2129</v>
      </c>
      <c r="Y6" s="29">
        <v>0</v>
      </c>
      <c r="Z6" s="29" t="s">
        <v>2129</v>
      </c>
      <c r="AA6" s="29" t="s">
        <v>2129</v>
      </c>
      <c r="AB6" s="29" t="s">
        <v>3148</v>
      </c>
      <c r="AC6" s="29" t="s">
        <v>2129</v>
      </c>
      <c r="AD6" s="29" t="s">
        <v>2145</v>
      </c>
      <c r="AE6" s="29" t="s">
        <v>2129</v>
      </c>
      <c r="AF6" s="29" t="s">
        <v>2129</v>
      </c>
      <c r="AG6" s="29" t="s">
        <v>2129</v>
      </c>
      <c r="AH6" s="29" t="s">
        <v>2129</v>
      </c>
      <c r="AI6" s="29" t="s">
        <v>2129</v>
      </c>
      <c r="AJ6" s="29" t="s">
        <v>2129</v>
      </c>
      <c r="AK6" s="29" t="s">
        <v>2129</v>
      </c>
      <c r="AL6" s="29" t="s">
        <v>2129</v>
      </c>
      <c r="AM6" s="29" t="s">
        <v>2129</v>
      </c>
      <c r="AN6" s="29" t="s">
        <v>2129</v>
      </c>
      <c r="AO6" s="29" t="s">
        <v>2129</v>
      </c>
      <c r="AP6" s="29" t="s">
        <v>2129</v>
      </c>
      <c r="AQ6" s="29" t="s">
        <v>2129</v>
      </c>
      <c r="AR6" s="29" t="s">
        <v>2129</v>
      </c>
      <c r="AS6" s="29" t="s">
        <v>2129</v>
      </c>
      <c r="AT6" s="29" t="s">
        <v>2129</v>
      </c>
      <c r="AU6" s="29" t="s">
        <v>2129</v>
      </c>
      <c r="AV6" s="29" t="s">
        <v>2129</v>
      </c>
      <c r="AW6" s="29" t="s">
        <v>2129</v>
      </c>
      <c r="AX6" s="29"/>
      <c r="AY6" s="29"/>
      <c r="AZ6" s="29" t="s">
        <v>2129</v>
      </c>
      <c r="BA6" s="29" t="s">
        <v>2129</v>
      </c>
      <c r="BB6" s="29"/>
      <c r="BC6" s="29"/>
      <c r="BD6" s="29" t="s">
        <v>2129</v>
      </c>
      <c r="BE6" s="29" t="s">
        <v>2129</v>
      </c>
      <c r="BF6" s="29" t="s">
        <v>2129</v>
      </c>
      <c r="BG6" s="29" t="s">
        <v>2129</v>
      </c>
      <c r="BH6" s="29" t="s">
        <v>2129</v>
      </c>
      <c r="BI6" s="29" t="s">
        <v>2129</v>
      </c>
      <c r="BJ6" s="29" t="s">
        <v>2129</v>
      </c>
      <c r="BK6" s="29" t="s">
        <v>2129</v>
      </c>
      <c r="BL6" s="29" t="s">
        <v>2129</v>
      </c>
      <c r="BM6" s="29" t="s">
        <v>2129</v>
      </c>
      <c r="BN6" s="29" t="s">
        <v>2129</v>
      </c>
      <c r="BO6" s="29" t="s">
        <v>2129</v>
      </c>
      <c r="BP6" s="29" t="s">
        <v>2129</v>
      </c>
      <c r="BQ6" s="29" t="s">
        <v>2129</v>
      </c>
      <c r="BR6" s="29" t="s">
        <v>2129</v>
      </c>
      <c r="BS6" s="29" t="s">
        <v>2129</v>
      </c>
      <c r="BT6" s="29" t="s">
        <v>2129</v>
      </c>
      <c r="BU6" s="29" t="s">
        <v>2129</v>
      </c>
      <c r="BV6" s="29" t="s">
        <v>2129</v>
      </c>
      <c r="BW6" s="29" t="s">
        <v>2129</v>
      </c>
      <c r="BX6" s="29" t="s">
        <v>3149</v>
      </c>
      <c r="BY6" s="29" t="s">
        <v>2129</v>
      </c>
      <c r="BZ6" s="29" t="s">
        <v>2129</v>
      </c>
      <c r="CA6" s="29" t="s">
        <v>2129</v>
      </c>
      <c r="CB6" s="29" t="s">
        <v>2129</v>
      </c>
      <c r="CC6" s="29" t="s">
        <v>2129</v>
      </c>
      <c r="CD6" s="29" t="s">
        <v>2129</v>
      </c>
      <c r="CE6" s="29" t="s">
        <v>3150</v>
      </c>
      <c r="CF6" s="29" t="s">
        <v>2129</v>
      </c>
      <c r="CG6" s="29" t="s">
        <v>2129</v>
      </c>
      <c r="CH6" s="29" t="s">
        <v>2129</v>
      </c>
      <c r="CI6" s="29" t="s">
        <v>2129</v>
      </c>
      <c r="CJ6" s="29" t="s">
        <v>2129</v>
      </c>
      <c r="CK6" s="29" t="s">
        <v>2129</v>
      </c>
      <c r="CL6" s="29" t="s">
        <v>2129</v>
      </c>
      <c r="CM6" s="29" t="s">
        <v>2129</v>
      </c>
      <c r="CN6" s="29" t="s">
        <v>2129</v>
      </c>
      <c r="CO6" s="29" t="s">
        <v>2129</v>
      </c>
      <c r="CP6" s="29" t="s">
        <v>2129</v>
      </c>
      <c r="CQ6" s="29" t="s">
        <v>2129</v>
      </c>
      <c r="CR6" s="29" t="s">
        <v>2129</v>
      </c>
      <c r="CS6" s="29"/>
      <c r="CT6" s="29" t="s">
        <v>2129</v>
      </c>
      <c r="CU6" s="29" t="s">
        <v>2129</v>
      </c>
      <c r="CV6" s="29" t="s">
        <v>2129</v>
      </c>
      <c r="CW6" s="29" t="s">
        <v>2129</v>
      </c>
      <c r="CX6" s="29" t="s">
        <v>2129</v>
      </c>
      <c r="CY6" s="29" t="s">
        <v>2129</v>
      </c>
      <c r="CZ6" s="29" t="s">
        <v>2129</v>
      </c>
      <c r="DA6" s="29" t="s">
        <v>2129</v>
      </c>
      <c r="DB6" s="29" t="s">
        <v>2129</v>
      </c>
      <c r="DC6" s="29" t="s">
        <v>2129</v>
      </c>
      <c r="DD6" s="29" t="s">
        <v>2129</v>
      </c>
      <c r="DE6" s="29" t="s">
        <v>2129</v>
      </c>
      <c r="DF6" s="29" t="s">
        <v>2129</v>
      </c>
      <c r="DG6" s="29" t="s">
        <v>2129</v>
      </c>
      <c r="DH6" s="29" t="s">
        <v>2129</v>
      </c>
      <c r="DI6" s="29" t="s">
        <v>2129</v>
      </c>
      <c r="DJ6" s="29" t="s">
        <v>2129</v>
      </c>
      <c r="DK6" s="29" t="s">
        <v>2129</v>
      </c>
      <c r="DL6" s="29" t="s">
        <v>2129</v>
      </c>
      <c r="DM6" s="29" t="s">
        <v>2129</v>
      </c>
      <c r="DN6" s="29" t="s">
        <v>2129</v>
      </c>
      <c r="DO6" s="29" t="s">
        <v>2129</v>
      </c>
      <c r="DP6" s="29" t="s">
        <v>2129</v>
      </c>
      <c r="DQ6" s="42" t="s">
        <v>2129</v>
      </c>
    </row>
    <row r="7" spans="1:121" x14ac:dyDescent="0.25">
      <c r="A7" s="36" t="s">
        <v>3151</v>
      </c>
      <c r="B7" s="30" t="s">
        <v>3152</v>
      </c>
      <c r="C7" s="30">
        <v>23036</v>
      </c>
      <c r="D7" s="30">
        <v>22780</v>
      </c>
      <c r="E7" s="30" t="s">
        <v>1379</v>
      </c>
      <c r="F7" s="30" t="s">
        <v>10</v>
      </c>
      <c r="G7" s="30" t="s">
        <v>2140</v>
      </c>
      <c r="H7" s="30" t="s">
        <v>599</v>
      </c>
      <c r="I7" s="30" t="s">
        <v>2127</v>
      </c>
      <c r="J7" s="30" t="s">
        <v>2141</v>
      </c>
      <c r="K7" s="30" t="s">
        <v>2129</v>
      </c>
      <c r="L7" s="30" t="s">
        <v>2142</v>
      </c>
      <c r="M7" s="30" t="s">
        <v>2130</v>
      </c>
      <c r="N7" s="30" t="s">
        <v>2129</v>
      </c>
      <c r="O7" s="30" t="s">
        <v>2143</v>
      </c>
      <c r="P7" s="30" t="s">
        <v>2141</v>
      </c>
      <c r="Q7" s="30" t="s">
        <v>2141</v>
      </c>
      <c r="R7" s="46">
        <v>46076.411111111112</v>
      </c>
      <c r="S7" s="46">
        <v>46076.411111111112</v>
      </c>
      <c r="T7" s="46">
        <v>46087.717361111114</v>
      </c>
      <c r="U7" s="46"/>
      <c r="V7" s="30" t="s">
        <v>2129</v>
      </c>
      <c r="W7" s="30" t="s">
        <v>2129</v>
      </c>
      <c r="X7" s="30" t="s">
        <v>2129</v>
      </c>
      <c r="Y7" s="30">
        <v>0</v>
      </c>
      <c r="Z7" s="30" t="s">
        <v>2129</v>
      </c>
      <c r="AA7" s="30" t="s">
        <v>2129</v>
      </c>
      <c r="AB7" s="30" t="s">
        <v>2129</v>
      </c>
      <c r="AC7" s="30" t="s">
        <v>2129</v>
      </c>
      <c r="AD7" s="30" t="s">
        <v>2141</v>
      </c>
      <c r="AE7" s="30" t="s">
        <v>2129</v>
      </c>
      <c r="AF7" s="30" t="s">
        <v>2129</v>
      </c>
      <c r="AG7" s="30" t="s">
        <v>2129</v>
      </c>
      <c r="AH7" s="30" t="s">
        <v>2129</v>
      </c>
      <c r="AI7" s="30" t="s">
        <v>2129</v>
      </c>
      <c r="AJ7" s="30" t="s">
        <v>2129</v>
      </c>
      <c r="AK7" s="30" t="s">
        <v>2129</v>
      </c>
      <c r="AL7" s="30" t="s">
        <v>2129</v>
      </c>
      <c r="AM7" s="30" t="s">
        <v>2129</v>
      </c>
      <c r="AN7" s="30" t="s">
        <v>2129</v>
      </c>
      <c r="AO7" s="30" t="s">
        <v>2129</v>
      </c>
      <c r="AP7" s="30" t="s">
        <v>2129</v>
      </c>
      <c r="AQ7" s="30" t="s">
        <v>2129</v>
      </c>
      <c r="AR7" s="30" t="s">
        <v>2129</v>
      </c>
      <c r="AS7" s="30" t="s">
        <v>2129</v>
      </c>
      <c r="AT7" s="30" t="s">
        <v>2129</v>
      </c>
      <c r="AU7" s="30" t="s">
        <v>2129</v>
      </c>
      <c r="AV7" s="30" t="s">
        <v>2129</v>
      </c>
      <c r="AW7" s="30" t="s">
        <v>2129</v>
      </c>
      <c r="AX7" s="30"/>
      <c r="AY7" s="30"/>
      <c r="AZ7" s="30" t="s">
        <v>2129</v>
      </c>
      <c r="BA7" s="30" t="s">
        <v>2129</v>
      </c>
      <c r="BB7" s="30"/>
      <c r="BC7" s="30"/>
      <c r="BD7" s="30" t="s">
        <v>2129</v>
      </c>
      <c r="BE7" s="30" t="s">
        <v>2129</v>
      </c>
      <c r="BF7" s="30" t="s">
        <v>2129</v>
      </c>
      <c r="BG7" s="30" t="s">
        <v>2129</v>
      </c>
      <c r="BH7" s="30" t="s">
        <v>2129</v>
      </c>
      <c r="BI7" s="30" t="s">
        <v>2129</v>
      </c>
      <c r="BJ7" s="30" t="s">
        <v>2129</v>
      </c>
      <c r="BK7" s="30" t="s">
        <v>2129</v>
      </c>
      <c r="BL7" s="30" t="s">
        <v>2129</v>
      </c>
      <c r="BM7" s="30" t="s">
        <v>2129</v>
      </c>
      <c r="BN7" s="30" t="s">
        <v>2129</v>
      </c>
      <c r="BO7" s="30" t="s">
        <v>2129</v>
      </c>
      <c r="BP7" s="30" t="s">
        <v>2129</v>
      </c>
      <c r="BQ7" s="30" t="s">
        <v>2129</v>
      </c>
      <c r="BR7" s="30" t="s">
        <v>2129</v>
      </c>
      <c r="BS7" s="30" t="s">
        <v>2129</v>
      </c>
      <c r="BT7" s="30" t="s">
        <v>2129</v>
      </c>
      <c r="BU7" s="30" t="s">
        <v>2129</v>
      </c>
      <c r="BV7" s="30" t="s">
        <v>2129</v>
      </c>
      <c r="BW7" s="30" t="s">
        <v>2129</v>
      </c>
      <c r="BX7" s="30" t="s">
        <v>2129</v>
      </c>
      <c r="BY7" s="30" t="s">
        <v>2129</v>
      </c>
      <c r="BZ7" s="30" t="s">
        <v>2129</v>
      </c>
      <c r="CA7" s="30" t="s">
        <v>2129</v>
      </c>
      <c r="CB7" s="30" t="s">
        <v>2129</v>
      </c>
      <c r="CC7" s="30" t="s">
        <v>2129</v>
      </c>
      <c r="CD7" s="30" t="s">
        <v>2129</v>
      </c>
      <c r="CE7" s="30" t="s">
        <v>3153</v>
      </c>
      <c r="CF7" s="30" t="s">
        <v>2604</v>
      </c>
      <c r="CG7" s="30" t="s">
        <v>2703</v>
      </c>
      <c r="CH7" s="30" t="s">
        <v>2821</v>
      </c>
      <c r="CI7" s="30" t="s">
        <v>3154</v>
      </c>
      <c r="CJ7" s="30" t="s">
        <v>2129</v>
      </c>
      <c r="CK7" s="30" t="s">
        <v>2129</v>
      </c>
      <c r="CL7" s="30" t="s">
        <v>2129</v>
      </c>
      <c r="CM7" s="30" t="s">
        <v>2129</v>
      </c>
      <c r="CN7" s="30" t="s">
        <v>2129</v>
      </c>
      <c r="CO7" s="30" t="s">
        <v>2129</v>
      </c>
      <c r="CP7" s="30" t="s">
        <v>2129</v>
      </c>
      <c r="CQ7" s="30" t="s">
        <v>2129</v>
      </c>
      <c r="CR7" s="30" t="s">
        <v>2129</v>
      </c>
      <c r="CS7" s="30"/>
      <c r="CT7" s="30" t="s">
        <v>2129</v>
      </c>
      <c r="CU7" s="30" t="s">
        <v>2129</v>
      </c>
      <c r="CV7" s="30" t="s">
        <v>2129</v>
      </c>
      <c r="CW7" s="30" t="s">
        <v>2129</v>
      </c>
      <c r="CX7" s="30" t="s">
        <v>2129</v>
      </c>
      <c r="CY7" s="30" t="s">
        <v>2129</v>
      </c>
      <c r="CZ7" s="30" t="s">
        <v>2129</v>
      </c>
      <c r="DA7" s="30" t="s">
        <v>2129</v>
      </c>
      <c r="DB7" s="30" t="s">
        <v>2129</v>
      </c>
      <c r="DC7" s="30" t="s">
        <v>2129</v>
      </c>
      <c r="DD7" s="30" t="s">
        <v>2129</v>
      </c>
      <c r="DE7" s="30" t="s">
        <v>2129</v>
      </c>
      <c r="DF7" s="30" t="s">
        <v>2129</v>
      </c>
      <c r="DG7" s="30" t="s">
        <v>2129</v>
      </c>
      <c r="DH7" s="30" t="s">
        <v>2129</v>
      </c>
      <c r="DI7" s="30" t="s">
        <v>2129</v>
      </c>
      <c r="DJ7" s="30" t="s">
        <v>2129</v>
      </c>
      <c r="DK7" s="30" t="s">
        <v>2129</v>
      </c>
      <c r="DL7" s="30" t="s">
        <v>2129</v>
      </c>
      <c r="DM7" s="30" t="s">
        <v>2129</v>
      </c>
      <c r="DN7" s="30" t="s">
        <v>2129</v>
      </c>
      <c r="DO7" s="30" t="s">
        <v>2129</v>
      </c>
      <c r="DP7" s="30" t="s">
        <v>2129</v>
      </c>
      <c r="DQ7" s="43" t="s">
        <v>2129</v>
      </c>
    </row>
    <row r="8" spans="1:121" x14ac:dyDescent="0.25">
      <c r="A8" s="39" t="s">
        <v>2820</v>
      </c>
      <c r="B8" s="29" t="s">
        <v>3155</v>
      </c>
      <c r="C8" s="29">
        <v>23035</v>
      </c>
      <c r="D8" s="29">
        <v>22881</v>
      </c>
      <c r="E8" s="29" t="s">
        <v>1379</v>
      </c>
      <c r="F8" s="29" t="s">
        <v>16</v>
      </c>
      <c r="G8" s="29" t="s">
        <v>2140</v>
      </c>
      <c r="H8" s="29" t="s">
        <v>599</v>
      </c>
      <c r="I8" s="29" t="s">
        <v>2127</v>
      </c>
      <c r="J8" s="29" t="s">
        <v>2141</v>
      </c>
      <c r="K8" s="29" t="s">
        <v>2129</v>
      </c>
      <c r="L8" s="29" t="s">
        <v>2142</v>
      </c>
      <c r="M8" s="29" t="s">
        <v>2130</v>
      </c>
      <c r="N8" s="29" t="s">
        <v>16</v>
      </c>
      <c r="O8" s="29" t="s">
        <v>2150</v>
      </c>
      <c r="P8" s="29" t="s">
        <v>2141</v>
      </c>
      <c r="Q8" s="29" t="s">
        <v>2141</v>
      </c>
      <c r="R8" s="45">
        <v>46076.409722222219</v>
      </c>
      <c r="S8" s="45">
        <v>46077.40347222222</v>
      </c>
      <c r="T8" s="45">
        <v>46087.717361111114</v>
      </c>
      <c r="U8" s="45">
        <v>46077.40347222222</v>
      </c>
      <c r="V8" s="29" t="s">
        <v>2129</v>
      </c>
      <c r="W8" s="29" t="s">
        <v>2129</v>
      </c>
      <c r="X8" s="29" t="s">
        <v>2129</v>
      </c>
      <c r="Y8" s="29">
        <v>0</v>
      </c>
      <c r="Z8" s="29" t="s">
        <v>2129</v>
      </c>
      <c r="AA8" s="29" t="s">
        <v>2129</v>
      </c>
      <c r="AB8" s="29" t="s">
        <v>2129</v>
      </c>
      <c r="AC8" s="29" t="s">
        <v>2129</v>
      </c>
      <c r="AD8" s="29" t="s">
        <v>2141</v>
      </c>
      <c r="AE8" s="29" t="s">
        <v>2305</v>
      </c>
      <c r="AF8" s="29" t="s">
        <v>2151</v>
      </c>
      <c r="AG8" s="29" t="s">
        <v>2150</v>
      </c>
      <c r="AH8" s="29" t="s">
        <v>2129</v>
      </c>
      <c r="AI8" s="29" t="s">
        <v>3156</v>
      </c>
      <c r="AJ8" s="29" t="s">
        <v>3157</v>
      </c>
      <c r="AK8" s="29" t="s">
        <v>2129</v>
      </c>
      <c r="AL8" s="29" t="s">
        <v>2129</v>
      </c>
      <c r="AM8" s="29" t="s">
        <v>2129</v>
      </c>
      <c r="AN8" s="29" t="s">
        <v>2129</v>
      </c>
      <c r="AO8" s="29" t="s">
        <v>2129</v>
      </c>
      <c r="AP8" s="29" t="s">
        <v>2129</v>
      </c>
      <c r="AQ8" s="29" t="s">
        <v>2129</v>
      </c>
      <c r="AR8" s="29" t="s">
        <v>2129</v>
      </c>
      <c r="AS8" s="29" t="s">
        <v>2129</v>
      </c>
      <c r="AT8" s="29" t="s">
        <v>2129</v>
      </c>
      <c r="AU8" s="29" t="s">
        <v>2129</v>
      </c>
      <c r="AV8" s="29" t="s">
        <v>2129</v>
      </c>
      <c r="AW8" s="29" t="s">
        <v>2129</v>
      </c>
      <c r="AX8" s="29">
        <v>0</v>
      </c>
      <c r="AY8" s="29">
        <v>4200</v>
      </c>
      <c r="AZ8" s="29" t="s">
        <v>2129</v>
      </c>
      <c r="BA8" s="29" t="s">
        <v>2129</v>
      </c>
      <c r="BB8" s="29">
        <v>0</v>
      </c>
      <c r="BC8" s="29">
        <v>4200</v>
      </c>
      <c r="BD8" s="29" t="s">
        <v>2129</v>
      </c>
      <c r="BE8" s="29" t="s">
        <v>2129</v>
      </c>
      <c r="BF8" s="29" t="s">
        <v>2129</v>
      </c>
      <c r="BG8" s="29" t="s">
        <v>2129</v>
      </c>
      <c r="BH8" s="29" t="s">
        <v>2129</v>
      </c>
      <c r="BI8" s="29" t="s">
        <v>2129</v>
      </c>
      <c r="BJ8" s="29" t="s">
        <v>2129</v>
      </c>
      <c r="BK8" s="29" t="s">
        <v>2129</v>
      </c>
      <c r="BL8" s="29" t="s">
        <v>2129</v>
      </c>
      <c r="BM8" s="29" t="s">
        <v>2129</v>
      </c>
      <c r="BN8" s="29" t="s">
        <v>2129</v>
      </c>
      <c r="BO8" s="29" t="s">
        <v>2129</v>
      </c>
      <c r="BP8" s="29" t="s">
        <v>2129</v>
      </c>
      <c r="BQ8" s="29" t="s">
        <v>2129</v>
      </c>
      <c r="BR8" s="29" t="s">
        <v>2129</v>
      </c>
      <c r="BS8" s="29" t="s">
        <v>2129</v>
      </c>
      <c r="BT8" s="29" t="s">
        <v>2129</v>
      </c>
      <c r="BU8" s="29" t="s">
        <v>2129</v>
      </c>
      <c r="BV8" s="29" t="s">
        <v>2129</v>
      </c>
      <c r="BW8" s="29" t="s">
        <v>2129</v>
      </c>
      <c r="BX8" s="29" t="s">
        <v>2129</v>
      </c>
      <c r="BY8" s="29" t="s">
        <v>2129</v>
      </c>
      <c r="BZ8" s="29" t="s">
        <v>2129</v>
      </c>
      <c r="CA8" s="29" t="s">
        <v>2129</v>
      </c>
      <c r="CB8" s="29" t="s">
        <v>2129</v>
      </c>
      <c r="CC8" s="29" t="s">
        <v>2129</v>
      </c>
      <c r="CD8" s="29" t="s">
        <v>2129</v>
      </c>
      <c r="CE8" s="29" t="s">
        <v>3158</v>
      </c>
      <c r="CF8" s="29" t="s">
        <v>2703</v>
      </c>
      <c r="CG8" s="29" t="s">
        <v>2821</v>
      </c>
      <c r="CH8" s="29" t="s">
        <v>3154</v>
      </c>
      <c r="CI8" s="29" t="s">
        <v>2129</v>
      </c>
      <c r="CJ8" s="29" t="s">
        <v>2129</v>
      </c>
      <c r="CK8" s="29" t="s">
        <v>2129</v>
      </c>
      <c r="CL8" s="29" t="s">
        <v>2129</v>
      </c>
      <c r="CM8" s="29" t="s">
        <v>2129</v>
      </c>
      <c r="CN8" s="29" t="s">
        <v>2129</v>
      </c>
      <c r="CO8" s="29" t="s">
        <v>2129</v>
      </c>
      <c r="CP8" s="29" t="s">
        <v>2129</v>
      </c>
      <c r="CQ8" s="29" t="s">
        <v>2129</v>
      </c>
      <c r="CR8" s="29" t="s">
        <v>2129</v>
      </c>
      <c r="CS8" s="29"/>
      <c r="CT8" s="29" t="s">
        <v>2129</v>
      </c>
      <c r="CU8" s="29" t="s">
        <v>2129</v>
      </c>
      <c r="CV8" s="29" t="s">
        <v>3159</v>
      </c>
      <c r="CW8" s="29" t="s">
        <v>3160</v>
      </c>
      <c r="CX8" s="29" t="s">
        <v>3161</v>
      </c>
      <c r="CY8" s="29" t="s">
        <v>2129</v>
      </c>
      <c r="CZ8" s="29" t="s">
        <v>2129</v>
      </c>
      <c r="DA8" s="29" t="s">
        <v>2129</v>
      </c>
      <c r="DB8" s="29" t="s">
        <v>2129</v>
      </c>
      <c r="DC8" s="29" t="s">
        <v>2129</v>
      </c>
      <c r="DD8" s="29" t="s">
        <v>2129</v>
      </c>
      <c r="DE8" s="29" t="s">
        <v>2129</v>
      </c>
      <c r="DF8" s="29" t="s">
        <v>2129</v>
      </c>
      <c r="DG8" s="29" t="s">
        <v>2129</v>
      </c>
      <c r="DH8" s="29" t="s">
        <v>2129</v>
      </c>
      <c r="DI8" s="29" t="s">
        <v>2129</v>
      </c>
      <c r="DJ8" s="29" t="s">
        <v>2129</v>
      </c>
      <c r="DK8" s="29" t="s">
        <v>2129</v>
      </c>
      <c r="DL8" s="29" t="s">
        <v>2129</v>
      </c>
      <c r="DM8" s="29" t="s">
        <v>2129</v>
      </c>
      <c r="DN8" s="29" t="s">
        <v>2129</v>
      </c>
      <c r="DO8" s="29" t="s">
        <v>2129</v>
      </c>
      <c r="DP8" s="29" t="s">
        <v>2129</v>
      </c>
      <c r="DQ8" s="42" t="s">
        <v>2129</v>
      </c>
    </row>
    <row r="9" spans="1:121" x14ac:dyDescent="0.25">
      <c r="A9" s="36" t="s">
        <v>1723</v>
      </c>
      <c r="B9" s="30" t="s">
        <v>3162</v>
      </c>
      <c r="C9" s="30">
        <v>23033</v>
      </c>
      <c r="D9" s="30"/>
      <c r="E9" s="30" t="s">
        <v>2136</v>
      </c>
      <c r="F9" s="30" t="s">
        <v>10</v>
      </c>
      <c r="G9" s="30" t="s">
        <v>2140</v>
      </c>
      <c r="H9" s="30" t="s">
        <v>599</v>
      </c>
      <c r="I9" s="30" t="s">
        <v>2127</v>
      </c>
      <c r="J9" s="30" t="s">
        <v>2141</v>
      </c>
      <c r="K9" s="30" t="s">
        <v>2129</v>
      </c>
      <c r="L9" s="30" t="s">
        <v>2142</v>
      </c>
      <c r="M9" s="30" t="s">
        <v>2130</v>
      </c>
      <c r="N9" s="30" t="s">
        <v>2129</v>
      </c>
      <c r="O9" s="30" t="s">
        <v>2305</v>
      </c>
      <c r="P9" s="30" t="s">
        <v>2141</v>
      </c>
      <c r="Q9" s="30" t="s">
        <v>2141</v>
      </c>
      <c r="R9" s="46">
        <v>46076.379166666666</v>
      </c>
      <c r="S9" s="46">
        <v>46084.77847222222</v>
      </c>
      <c r="T9" s="46">
        <v>46087.717361111114</v>
      </c>
      <c r="U9" s="46"/>
      <c r="V9" s="30" t="s">
        <v>2129</v>
      </c>
      <c r="W9" s="30" t="s">
        <v>2129</v>
      </c>
      <c r="X9" s="30" t="s">
        <v>2129</v>
      </c>
      <c r="Y9" s="30">
        <v>0</v>
      </c>
      <c r="Z9" s="30" t="s">
        <v>2129</v>
      </c>
      <c r="AA9" s="30" t="s">
        <v>2129</v>
      </c>
      <c r="AB9" s="30" t="s">
        <v>2129</v>
      </c>
      <c r="AC9" s="30" t="s">
        <v>2129</v>
      </c>
      <c r="AD9" s="30" t="s">
        <v>2141</v>
      </c>
      <c r="AE9" s="30" t="s">
        <v>2129</v>
      </c>
      <c r="AF9" s="30" t="s">
        <v>2129</v>
      </c>
      <c r="AG9" s="30" t="s">
        <v>2129</v>
      </c>
      <c r="AH9" s="30" t="s">
        <v>2129</v>
      </c>
      <c r="AI9" s="30" t="s">
        <v>3163</v>
      </c>
      <c r="AJ9" s="30" t="s">
        <v>3164</v>
      </c>
      <c r="AK9" s="30" t="s">
        <v>2129</v>
      </c>
      <c r="AL9" s="30" t="s">
        <v>2129</v>
      </c>
      <c r="AM9" s="30" t="s">
        <v>2129</v>
      </c>
      <c r="AN9" s="30" t="s">
        <v>2129</v>
      </c>
      <c r="AO9" s="30" t="s">
        <v>2129</v>
      </c>
      <c r="AP9" s="30" t="s">
        <v>2129</v>
      </c>
      <c r="AQ9" s="30" t="s">
        <v>2129</v>
      </c>
      <c r="AR9" s="30" t="s">
        <v>2129</v>
      </c>
      <c r="AS9" s="30" t="s">
        <v>2129</v>
      </c>
      <c r="AT9" s="30" t="s">
        <v>2129</v>
      </c>
      <c r="AU9" s="30" t="s">
        <v>2129</v>
      </c>
      <c r="AV9" s="30" t="s">
        <v>2129</v>
      </c>
      <c r="AW9" s="30" t="s">
        <v>2129</v>
      </c>
      <c r="AX9" s="30">
        <v>0</v>
      </c>
      <c r="AY9" s="30">
        <v>8220</v>
      </c>
      <c r="AZ9" s="30" t="s">
        <v>2129</v>
      </c>
      <c r="BA9" s="30" t="s">
        <v>2129</v>
      </c>
      <c r="BB9" s="30">
        <v>0</v>
      </c>
      <c r="BC9" s="30">
        <v>8220</v>
      </c>
      <c r="BD9" s="30" t="s">
        <v>2129</v>
      </c>
      <c r="BE9" s="30" t="s">
        <v>2129</v>
      </c>
      <c r="BF9" s="30" t="s">
        <v>2129</v>
      </c>
      <c r="BG9" s="30" t="s">
        <v>2129</v>
      </c>
      <c r="BH9" s="30" t="s">
        <v>2129</v>
      </c>
      <c r="BI9" s="30" t="s">
        <v>2129</v>
      </c>
      <c r="BJ9" s="30" t="s">
        <v>2129</v>
      </c>
      <c r="BK9" s="30" t="s">
        <v>2129</v>
      </c>
      <c r="BL9" s="30" t="s">
        <v>2129</v>
      </c>
      <c r="BM9" s="30" t="s">
        <v>2129</v>
      </c>
      <c r="BN9" s="30" t="s">
        <v>2129</v>
      </c>
      <c r="BO9" s="30" t="s">
        <v>2129</v>
      </c>
      <c r="BP9" s="30" t="s">
        <v>2129</v>
      </c>
      <c r="BQ9" s="30" t="s">
        <v>2129</v>
      </c>
      <c r="BR9" s="30" t="s">
        <v>2129</v>
      </c>
      <c r="BS9" s="30" t="s">
        <v>2129</v>
      </c>
      <c r="BT9" s="30" t="s">
        <v>2129</v>
      </c>
      <c r="BU9" s="30" t="s">
        <v>2129</v>
      </c>
      <c r="BV9" s="30" t="s">
        <v>2129</v>
      </c>
      <c r="BW9" s="30" t="s">
        <v>2129</v>
      </c>
      <c r="BX9" s="30" t="s">
        <v>2129</v>
      </c>
      <c r="BY9" s="30" t="s">
        <v>2129</v>
      </c>
      <c r="BZ9" s="30" t="s">
        <v>2129</v>
      </c>
      <c r="CA9" s="30" t="s">
        <v>2129</v>
      </c>
      <c r="CB9" s="30" t="s">
        <v>2129</v>
      </c>
      <c r="CC9" s="30" t="s">
        <v>2129</v>
      </c>
      <c r="CD9" s="30" t="s">
        <v>2129</v>
      </c>
      <c r="CE9" s="30" t="s">
        <v>3165</v>
      </c>
      <c r="CF9" s="30" t="s">
        <v>3154</v>
      </c>
      <c r="CG9" s="30" t="s">
        <v>2129</v>
      </c>
      <c r="CH9" s="30" t="s">
        <v>2129</v>
      </c>
      <c r="CI9" s="30" t="s">
        <v>2129</v>
      </c>
      <c r="CJ9" s="30" t="s">
        <v>2129</v>
      </c>
      <c r="CK9" s="30" t="s">
        <v>2129</v>
      </c>
      <c r="CL9" s="30" t="s">
        <v>2129</v>
      </c>
      <c r="CM9" s="30" t="s">
        <v>2129</v>
      </c>
      <c r="CN9" s="30" t="s">
        <v>2129</v>
      </c>
      <c r="CO9" s="30" t="s">
        <v>2129</v>
      </c>
      <c r="CP9" s="30" t="s">
        <v>2129</v>
      </c>
      <c r="CQ9" s="30" t="s">
        <v>2129</v>
      </c>
      <c r="CR9" s="30" t="s">
        <v>2129</v>
      </c>
      <c r="CS9" s="30"/>
      <c r="CT9" s="30" t="s">
        <v>2129</v>
      </c>
      <c r="CU9" s="30" t="s">
        <v>2129</v>
      </c>
      <c r="CV9" s="30" t="s">
        <v>2129</v>
      </c>
      <c r="CW9" s="30" t="s">
        <v>2129</v>
      </c>
      <c r="CX9" s="30" t="s">
        <v>2129</v>
      </c>
      <c r="CY9" s="30" t="s">
        <v>2129</v>
      </c>
      <c r="CZ9" s="30" t="s">
        <v>2129</v>
      </c>
      <c r="DA9" s="30" t="s">
        <v>2129</v>
      </c>
      <c r="DB9" s="30" t="s">
        <v>2129</v>
      </c>
      <c r="DC9" s="30" t="s">
        <v>2129</v>
      </c>
      <c r="DD9" s="30" t="s">
        <v>2129</v>
      </c>
      <c r="DE9" s="30" t="s">
        <v>2129</v>
      </c>
      <c r="DF9" s="30" t="s">
        <v>2129</v>
      </c>
      <c r="DG9" s="30" t="s">
        <v>2129</v>
      </c>
      <c r="DH9" s="30" t="s">
        <v>2129</v>
      </c>
      <c r="DI9" s="30" t="s">
        <v>2129</v>
      </c>
      <c r="DJ9" s="30" t="s">
        <v>2129</v>
      </c>
      <c r="DK9" s="30" t="s">
        <v>2129</v>
      </c>
      <c r="DL9" s="30" t="s">
        <v>2129</v>
      </c>
      <c r="DM9" s="30" t="s">
        <v>2129</v>
      </c>
      <c r="DN9" s="30" t="s">
        <v>2129</v>
      </c>
      <c r="DO9" s="30" t="s">
        <v>2129</v>
      </c>
      <c r="DP9" s="30" t="s">
        <v>2129</v>
      </c>
      <c r="DQ9" s="43" t="s">
        <v>2129</v>
      </c>
    </row>
    <row r="10" spans="1:121" x14ac:dyDescent="0.25">
      <c r="A10" s="39" t="s">
        <v>1723</v>
      </c>
      <c r="B10" s="29" t="s">
        <v>3166</v>
      </c>
      <c r="C10" s="29">
        <v>23032</v>
      </c>
      <c r="D10" s="29"/>
      <c r="E10" s="29" t="s">
        <v>2136</v>
      </c>
      <c r="F10" s="29" t="s">
        <v>10</v>
      </c>
      <c r="G10" s="29" t="s">
        <v>2140</v>
      </c>
      <c r="H10" s="29" t="s">
        <v>599</v>
      </c>
      <c r="I10" s="29" t="s">
        <v>2127</v>
      </c>
      <c r="J10" s="29" t="s">
        <v>2141</v>
      </c>
      <c r="K10" s="29" t="s">
        <v>2129</v>
      </c>
      <c r="L10" s="29" t="s">
        <v>2142</v>
      </c>
      <c r="M10" s="29" t="s">
        <v>2130</v>
      </c>
      <c r="N10" s="29" t="s">
        <v>2129</v>
      </c>
      <c r="O10" s="29" t="s">
        <v>2306</v>
      </c>
      <c r="P10" s="29" t="s">
        <v>2141</v>
      </c>
      <c r="Q10" s="29" t="s">
        <v>2141</v>
      </c>
      <c r="R10" s="45">
        <v>46076.379166666666</v>
      </c>
      <c r="S10" s="45">
        <v>46076.379166666666</v>
      </c>
      <c r="T10" s="45">
        <v>46087.717361111114</v>
      </c>
      <c r="U10" s="45"/>
      <c r="V10" s="29" t="s">
        <v>2129</v>
      </c>
      <c r="W10" s="29" t="s">
        <v>2129</v>
      </c>
      <c r="X10" s="29" t="s">
        <v>2129</v>
      </c>
      <c r="Y10" s="29">
        <v>0</v>
      </c>
      <c r="Z10" s="29" t="s">
        <v>2129</v>
      </c>
      <c r="AA10" s="29" t="s">
        <v>2129</v>
      </c>
      <c r="AB10" s="29" t="s">
        <v>2129</v>
      </c>
      <c r="AC10" s="29" t="s">
        <v>2129</v>
      </c>
      <c r="AD10" s="29" t="s">
        <v>2141</v>
      </c>
      <c r="AE10" s="29" t="s">
        <v>2129</v>
      </c>
      <c r="AF10" s="29" t="s">
        <v>2129</v>
      </c>
      <c r="AG10" s="29" t="s">
        <v>2129</v>
      </c>
      <c r="AH10" s="29" t="s">
        <v>2129</v>
      </c>
      <c r="AI10" s="29" t="s">
        <v>2129</v>
      </c>
      <c r="AJ10" s="29" t="s">
        <v>2129</v>
      </c>
      <c r="AK10" s="29" t="s">
        <v>2129</v>
      </c>
      <c r="AL10" s="29" t="s">
        <v>2129</v>
      </c>
      <c r="AM10" s="29" t="s">
        <v>2129</v>
      </c>
      <c r="AN10" s="29" t="s">
        <v>2129</v>
      </c>
      <c r="AO10" s="29" t="s">
        <v>2129</v>
      </c>
      <c r="AP10" s="29" t="s">
        <v>2129</v>
      </c>
      <c r="AQ10" s="29" t="s">
        <v>2129</v>
      </c>
      <c r="AR10" s="29" t="s">
        <v>2129</v>
      </c>
      <c r="AS10" s="29" t="s">
        <v>2129</v>
      </c>
      <c r="AT10" s="29" t="s">
        <v>2129</v>
      </c>
      <c r="AU10" s="29" t="s">
        <v>2129</v>
      </c>
      <c r="AV10" s="29" t="s">
        <v>2129</v>
      </c>
      <c r="AW10" s="29" t="s">
        <v>2129</v>
      </c>
      <c r="AX10" s="29"/>
      <c r="AY10" s="29"/>
      <c r="AZ10" s="29" t="s">
        <v>2129</v>
      </c>
      <c r="BA10" s="29" t="s">
        <v>2129</v>
      </c>
      <c r="BB10" s="29"/>
      <c r="BC10" s="29"/>
      <c r="BD10" s="29" t="s">
        <v>2129</v>
      </c>
      <c r="BE10" s="29" t="s">
        <v>2129</v>
      </c>
      <c r="BF10" s="29" t="s">
        <v>2129</v>
      </c>
      <c r="BG10" s="29" t="s">
        <v>2129</v>
      </c>
      <c r="BH10" s="29" t="s">
        <v>2129</v>
      </c>
      <c r="BI10" s="29" t="s">
        <v>2129</v>
      </c>
      <c r="BJ10" s="29" t="s">
        <v>2129</v>
      </c>
      <c r="BK10" s="29" t="s">
        <v>2129</v>
      </c>
      <c r="BL10" s="29" t="s">
        <v>2129</v>
      </c>
      <c r="BM10" s="29" t="s">
        <v>2129</v>
      </c>
      <c r="BN10" s="29" t="s">
        <v>2129</v>
      </c>
      <c r="BO10" s="29" t="s">
        <v>2129</v>
      </c>
      <c r="BP10" s="29" t="s">
        <v>2129</v>
      </c>
      <c r="BQ10" s="29" t="s">
        <v>2129</v>
      </c>
      <c r="BR10" s="29" t="s">
        <v>2129</v>
      </c>
      <c r="BS10" s="29" t="s">
        <v>2129</v>
      </c>
      <c r="BT10" s="29" t="s">
        <v>2129</v>
      </c>
      <c r="BU10" s="29" t="s">
        <v>2129</v>
      </c>
      <c r="BV10" s="29" t="s">
        <v>2129</v>
      </c>
      <c r="BW10" s="29" t="s">
        <v>2129</v>
      </c>
      <c r="BX10" s="29" t="s">
        <v>2129</v>
      </c>
      <c r="BY10" s="29" t="s">
        <v>2129</v>
      </c>
      <c r="BZ10" s="29" t="s">
        <v>2129</v>
      </c>
      <c r="CA10" s="29" t="s">
        <v>2129</v>
      </c>
      <c r="CB10" s="29" t="s">
        <v>2129</v>
      </c>
      <c r="CC10" s="29" t="s">
        <v>2129</v>
      </c>
      <c r="CD10" s="29" t="s">
        <v>2129</v>
      </c>
      <c r="CE10" s="29" t="s">
        <v>3167</v>
      </c>
      <c r="CF10" s="29" t="s">
        <v>3154</v>
      </c>
      <c r="CG10" s="29" t="s">
        <v>2129</v>
      </c>
      <c r="CH10" s="29" t="s">
        <v>2129</v>
      </c>
      <c r="CI10" s="29" t="s">
        <v>2129</v>
      </c>
      <c r="CJ10" s="29" t="s">
        <v>2129</v>
      </c>
      <c r="CK10" s="29" t="s">
        <v>2129</v>
      </c>
      <c r="CL10" s="29" t="s">
        <v>2129</v>
      </c>
      <c r="CM10" s="29" t="s">
        <v>2129</v>
      </c>
      <c r="CN10" s="29" t="s">
        <v>2129</v>
      </c>
      <c r="CO10" s="29" t="s">
        <v>2129</v>
      </c>
      <c r="CP10" s="29" t="s">
        <v>2129</v>
      </c>
      <c r="CQ10" s="29" t="s">
        <v>2129</v>
      </c>
      <c r="CR10" s="29" t="s">
        <v>2129</v>
      </c>
      <c r="CS10" s="29"/>
      <c r="CT10" s="29" t="s">
        <v>2129</v>
      </c>
      <c r="CU10" s="29" t="s">
        <v>2129</v>
      </c>
      <c r="CV10" s="29" t="s">
        <v>2129</v>
      </c>
      <c r="CW10" s="29" t="s">
        <v>2129</v>
      </c>
      <c r="CX10" s="29" t="s">
        <v>2129</v>
      </c>
      <c r="CY10" s="29" t="s">
        <v>2129</v>
      </c>
      <c r="CZ10" s="29" t="s">
        <v>2129</v>
      </c>
      <c r="DA10" s="29" t="s">
        <v>2129</v>
      </c>
      <c r="DB10" s="29" t="s">
        <v>2129</v>
      </c>
      <c r="DC10" s="29" t="s">
        <v>2129</v>
      </c>
      <c r="DD10" s="29" t="s">
        <v>2129</v>
      </c>
      <c r="DE10" s="29" t="s">
        <v>2129</v>
      </c>
      <c r="DF10" s="29" t="s">
        <v>2129</v>
      </c>
      <c r="DG10" s="29" t="s">
        <v>2129</v>
      </c>
      <c r="DH10" s="29" t="s">
        <v>2129</v>
      </c>
      <c r="DI10" s="29" t="s">
        <v>2129</v>
      </c>
      <c r="DJ10" s="29" t="s">
        <v>2129</v>
      </c>
      <c r="DK10" s="29" t="s">
        <v>2129</v>
      </c>
      <c r="DL10" s="29" t="s">
        <v>2129</v>
      </c>
      <c r="DM10" s="29" t="s">
        <v>2129</v>
      </c>
      <c r="DN10" s="29" t="s">
        <v>2129</v>
      </c>
      <c r="DO10" s="29" t="s">
        <v>2129</v>
      </c>
      <c r="DP10" s="29" t="s">
        <v>2129</v>
      </c>
      <c r="DQ10" s="42" t="s">
        <v>2129</v>
      </c>
    </row>
    <row r="11" spans="1:121" x14ac:dyDescent="0.25">
      <c r="A11" s="36" t="s">
        <v>1723</v>
      </c>
      <c r="B11" s="30" t="s">
        <v>3168</v>
      </c>
      <c r="C11" s="30">
        <v>23031</v>
      </c>
      <c r="D11" s="30"/>
      <c r="E11" s="30" t="s">
        <v>2136</v>
      </c>
      <c r="F11" s="30" t="s">
        <v>10</v>
      </c>
      <c r="G11" s="30" t="s">
        <v>2140</v>
      </c>
      <c r="H11" s="30" t="s">
        <v>599</v>
      </c>
      <c r="I11" s="30" t="s">
        <v>2127</v>
      </c>
      <c r="J11" s="30" t="s">
        <v>2141</v>
      </c>
      <c r="K11" s="30" t="s">
        <v>2129</v>
      </c>
      <c r="L11" s="30" t="s">
        <v>2142</v>
      </c>
      <c r="M11" s="30" t="s">
        <v>2130</v>
      </c>
      <c r="N11" s="30" t="s">
        <v>2129</v>
      </c>
      <c r="O11" s="30" t="s">
        <v>2143</v>
      </c>
      <c r="P11" s="30" t="s">
        <v>2141</v>
      </c>
      <c r="Q11" s="30" t="s">
        <v>2141</v>
      </c>
      <c r="R11" s="46">
        <v>46076.378472222219</v>
      </c>
      <c r="S11" s="46">
        <v>46076.378472222219</v>
      </c>
      <c r="T11" s="46">
        <v>46087.717361111114</v>
      </c>
      <c r="U11" s="46"/>
      <c r="V11" s="30" t="s">
        <v>2129</v>
      </c>
      <c r="W11" s="30" t="s">
        <v>2129</v>
      </c>
      <c r="X11" s="30" t="s">
        <v>2129</v>
      </c>
      <c r="Y11" s="30">
        <v>0</v>
      </c>
      <c r="Z11" s="30" t="s">
        <v>2129</v>
      </c>
      <c r="AA11" s="30" t="s">
        <v>2129</v>
      </c>
      <c r="AB11" s="30" t="s">
        <v>2129</v>
      </c>
      <c r="AC11" s="30" t="s">
        <v>2129</v>
      </c>
      <c r="AD11" s="30" t="s">
        <v>2141</v>
      </c>
      <c r="AE11" s="30" t="s">
        <v>2129</v>
      </c>
      <c r="AF11" s="30" t="s">
        <v>2129</v>
      </c>
      <c r="AG11" s="30" t="s">
        <v>2129</v>
      </c>
      <c r="AH11" s="30" t="s">
        <v>2129</v>
      </c>
      <c r="AI11" s="30" t="s">
        <v>2129</v>
      </c>
      <c r="AJ11" s="30" t="s">
        <v>2129</v>
      </c>
      <c r="AK11" s="30" t="s">
        <v>2129</v>
      </c>
      <c r="AL11" s="30" t="s">
        <v>2129</v>
      </c>
      <c r="AM11" s="30" t="s">
        <v>2129</v>
      </c>
      <c r="AN11" s="30" t="s">
        <v>2129</v>
      </c>
      <c r="AO11" s="30" t="s">
        <v>2129</v>
      </c>
      <c r="AP11" s="30" t="s">
        <v>2129</v>
      </c>
      <c r="AQ11" s="30" t="s">
        <v>2129</v>
      </c>
      <c r="AR11" s="30" t="s">
        <v>2129</v>
      </c>
      <c r="AS11" s="30" t="s">
        <v>2129</v>
      </c>
      <c r="AT11" s="30" t="s">
        <v>2129</v>
      </c>
      <c r="AU11" s="30" t="s">
        <v>2129</v>
      </c>
      <c r="AV11" s="30" t="s">
        <v>2129</v>
      </c>
      <c r="AW11" s="30" t="s">
        <v>2129</v>
      </c>
      <c r="AX11" s="30"/>
      <c r="AY11" s="30"/>
      <c r="AZ11" s="30" t="s">
        <v>2129</v>
      </c>
      <c r="BA11" s="30" t="s">
        <v>2129</v>
      </c>
      <c r="BB11" s="30"/>
      <c r="BC11" s="30"/>
      <c r="BD11" s="30" t="s">
        <v>2129</v>
      </c>
      <c r="BE11" s="30" t="s">
        <v>2129</v>
      </c>
      <c r="BF11" s="30" t="s">
        <v>2129</v>
      </c>
      <c r="BG11" s="30" t="s">
        <v>2129</v>
      </c>
      <c r="BH11" s="30" t="s">
        <v>2129</v>
      </c>
      <c r="BI11" s="30" t="s">
        <v>2129</v>
      </c>
      <c r="BJ11" s="30" t="s">
        <v>2129</v>
      </c>
      <c r="BK11" s="30" t="s">
        <v>2129</v>
      </c>
      <c r="BL11" s="30" t="s">
        <v>2129</v>
      </c>
      <c r="BM11" s="30" t="s">
        <v>2129</v>
      </c>
      <c r="BN11" s="30" t="s">
        <v>2129</v>
      </c>
      <c r="BO11" s="30" t="s">
        <v>2129</v>
      </c>
      <c r="BP11" s="30" t="s">
        <v>2129</v>
      </c>
      <c r="BQ11" s="30" t="s">
        <v>2129</v>
      </c>
      <c r="BR11" s="30" t="s">
        <v>2129</v>
      </c>
      <c r="BS11" s="30" t="s">
        <v>2129</v>
      </c>
      <c r="BT11" s="30" t="s">
        <v>2129</v>
      </c>
      <c r="BU11" s="30" t="s">
        <v>2129</v>
      </c>
      <c r="BV11" s="30" t="s">
        <v>2129</v>
      </c>
      <c r="BW11" s="30" t="s">
        <v>2129</v>
      </c>
      <c r="BX11" s="30" t="s">
        <v>2129</v>
      </c>
      <c r="BY11" s="30" t="s">
        <v>2129</v>
      </c>
      <c r="BZ11" s="30" t="s">
        <v>2129</v>
      </c>
      <c r="CA11" s="30" t="s">
        <v>2129</v>
      </c>
      <c r="CB11" s="30" t="s">
        <v>2129</v>
      </c>
      <c r="CC11" s="30" t="s">
        <v>2129</v>
      </c>
      <c r="CD11" s="30" t="s">
        <v>2129</v>
      </c>
      <c r="CE11" s="30" t="s">
        <v>3169</v>
      </c>
      <c r="CF11" s="30" t="s">
        <v>3154</v>
      </c>
      <c r="CG11" s="30" t="s">
        <v>2129</v>
      </c>
      <c r="CH11" s="30" t="s">
        <v>2129</v>
      </c>
      <c r="CI11" s="30" t="s">
        <v>2129</v>
      </c>
      <c r="CJ11" s="30" t="s">
        <v>2129</v>
      </c>
      <c r="CK11" s="30" t="s">
        <v>2129</v>
      </c>
      <c r="CL11" s="30" t="s">
        <v>2129</v>
      </c>
      <c r="CM11" s="30" t="s">
        <v>2129</v>
      </c>
      <c r="CN11" s="30" t="s">
        <v>2129</v>
      </c>
      <c r="CO11" s="30" t="s">
        <v>2129</v>
      </c>
      <c r="CP11" s="30" t="s">
        <v>2129</v>
      </c>
      <c r="CQ11" s="30" t="s">
        <v>2129</v>
      </c>
      <c r="CR11" s="30" t="s">
        <v>2129</v>
      </c>
      <c r="CS11" s="30"/>
      <c r="CT11" s="30" t="s">
        <v>2129</v>
      </c>
      <c r="CU11" s="30" t="s">
        <v>2129</v>
      </c>
      <c r="CV11" s="30" t="s">
        <v>2129</v>
      </c>
      <c r="CW11" s="30" t="s">
        <v>2129</v>
      </c>
      <c r="CX11" s="30" t="s">
        <v>2129</v>
      </c>
      <c r="CY11" s="30" t="s">
        <v>2129</v>
      </c>
      <c r="CZ11" s="30" t="s">
        <v>2129</v>
      </c>
      <c r="DA11" s="30" t="s">
        <v>2129</v>
      </c>
      <c r="DB11" s="30" t="s">
        <v>2129</v>
      </c>
      <c r="DC11" s="30" t="s">
        <v>2129</v>
      </c>
      <c r="DD11" s="30" t="s">
        <v>2129</v>
      </c>
      <c r="DE11" s="30" t="s">
        <v>2129</v>
      </c>
      <c r="DF11" s="30" t="s">
        <v>2129</v>
      </c>
      <c r="DG11" s="30" t="s">
        <v>2129</v>
      </c>
      <c r="DH11" s="30" t="s">
        <v>2129</v>
      </c>
      <c r="DI11" s="30" t="s">
        <v>2129</v>
      </c>
      <c r="DJ11" s="30" t="s">
        <v>2129</v>
      </c>
      <c r="DK11" s="30" t="s">
        <v>2129</v>
      </c>
      <c r="DL11" s="30" t="s">
        <v>2129</v>
      </c>
      <c r="DM11" s="30" t="s">
        <v>2129</v>
      </c>
      <c r="DN11" s="30" t="s">
        <v>2129</v>
      </c>
      <c r="DO11" s="30" t="s">
        <v>2129</v>
      </c>
      <c r="DP11" s="30" t="s">
        <v>2129</v>
      </c>
      <c r="DQ11" s="43" t="s">
        <v>2129</v>
      </c>
    </row>
    <row r="12" spans="1:121" x14ac:dyDescent="0.25">
      <c r="A12" s="39" t="s">
        <v>1723</v>
      </c>
      <c r="B12" s="29" t="s">
        <v>3170</v>
      </c>
      <c r="C12" s="29">
        <v>23030</v>
      </c>
      <c r="D12" s="29"/>
      <c r="E12" s="29" t="s">
        <v>2136</v>
      </c>
      <c r="F12" s="29" t="s">
        <v>10</v>
      </c>
      <c r="G12" s="29" t="s">
        <v>2140</v>
      </c>
      <c r="H12" s="29" t="s">
        <v>599</v>
      </c>
      <c r="I12" s="29" t="s">
        <v>2127</v>
      </c>
      <c r="J12" s="29" t="s">
        <v>2141</v>
      </c>
      <c r="K12" s="29" t="s">
        <v>2129</v>
      </c>
      <c r="L12" s="29" t="s">
        <v>2142</v>
      </c>
      <c r="M12" s="29" t="s">
        <v>2130</v>
      </c>
      <c r="N12" s="29" t="s">
        <v>2129</v>
      </c>
      <c r="O12" s="29" t="s">
        <v>2144</v>
      </c>
      <c r="P12" s="29" t="s">
        <v>2141</v>
      </c>
      <c r="Q12" s="29" t="s">
        <v>2141</v>
      </c>
      <c r="R12" s="45">
        <v>46076.378472222219</v>
      </c>
      <c r="S12" s="45">
        <v>46076.378472222219</v>
      </c>
      <c r="T12" s="45">
        <v>46087.717361111114</v>
      </c>
      <c r="U12" s="45"/>
      <c r="V12" s="29" t="s">
        <v>2129</v>
      </c>
      <c r="W12" s="29" t="s">
        <v>2129</v>
      </c>
      <c r="X12" s="29" t="s">
        <v>2129</v>
      </c>
      <c r="Y12" s="29">
        <v>0</v>
      </c>
      <c r="Z12" s="29" t="s">
        <v>2129</v>
      </c>
      <c r="AA12" s="29" t="s">
        <v>2129</v>
      </c>
      <c r="AB12" s="29" t="s">
        <v>2129</v>
      </c>
      <c r="AC12" s="29" t="s">
        <v>2129</v>
      </c>
      <c r="AD12" s="29" t="s">
        <v>2141</v>
      </c>
      <c r="AE12" s="29" t="s">
        <v>2129</v>
      </c>
      <c r="AF12" s="29" t="s">
        <v>2129</v>
      </c>
      <c r="AG12" s="29" t="s">
        <v>2129</v>
      </c>
      <c r="AH12" s="29" t="s">
        <v>2129</v>
      </c>
      <c r="AI12" s="29" t="s">
        <v>2129</v>
      </c>
      <c r="AJ12" s="29" t="s">
        <v>2129</v>
      </c>
      <c r="AK12" s="29" t="s">
        <v>2129</v>
      </c>
      <c r="AL12" s="29" t="s">
        <v>2129</v>
      </c>
      <c r="AM12" s="29" t="s">
        <v>2129</v>
      </c>
      <c r="AN12" s="29" t="s">
        <v>2129</v>
      </c>
      <c r="AO12" s="29" t="s">
        <v>2129</v>
      </c>
      <c r="AP12" s="29" t="s">
        <v>2129</v>
      </c>
      <c r="AQ12" s="29" t="s">
        <v>2129</v>
      </c>
      <c r="AR12" s="29" t="s">
        <v>2129</v>
      </c>
      <c r="AS12" s="29" t="s">
        <v>2129</v>
      </c>
      <c r="AT12" s="29" t="s">
        <v>2129</v>
      </c>
      <c r="AU12" s="29" t="s">
        <v>2129</v>
      </c>
      <c r="AV12" s="29" t="s">
        <v>2129</v>
      </c>
      <c r="AW12" s="29" t="s">
        <v>2129</v>
      </c>
      <c r="AX12" s="29"/>
      <c r="AY12" s="29"/>
      <c r="AZ12" s="29" t="s">
        <v>2129</v>
      </c>
      <c r="BA12" s="29" t="s">
        <v>2129</v>
      </c>
      <c r="BB12" s="29"/>
      <c r="BC12" s="29"/>
      <c r="BD12" s="29" t="s">
        <v>2129</v>
      </c>
      <c r="BE12" s="29" t="s">
        <v>2129</v>
      </c>
      <c r="BF12" s="29" t="s">
        <v>2129</v>
      </c>
      <c r="BG12" s="29" t="s">
        <v>2129</v>
      </c>
      <c r="BH12" s="29" t="s">
        <v>2129</v>
      </c>
      <c r="BI12" s="29" t="s">
        <v>2129</v>
      </c>
      <c r="BJ12" s="29" t="s">
        <v>2129</v>
      </c>
      <c r="BK12" s="29" t="s">
        <v>2129</v>
      </c>
      <c r="BL12" s="29" t="s">
        <v>2129</v>
      </c>
      <c r="BM12" s="29" t="s">
        <v>2129</v>
      </c>
      <c r="BN12" s="29" t="s">
        <v>2129</v>
      </c>
      <c r="BO12" s="29" t="s">
        <v>2129</v>
      </c>
      <c r="BP12" s="29" t="s">
        <v>2129</v>
      </c>
      <c r="BQ12" s="29" t="s">
        <v>2129</v>
      </c>
      <c r="BR12" s="29" t="s">
        <v>2129</v>
      </c>
      <c r="BS12" s="29" t="s">
        <v>2129</v>
      </c>
      <c r="BT12" s="29" t="s">
        <v>2129</v>
      </c>
      <c r="BU12" s="29" t="s">
        <v>2129</v>
      </c>
      <c r="BV12" s="29" t="s">
        <v>2129</v>
      </c>
      <c r="BW12" s="29" t="s">
        <v>2129</v>
      </c>
      <c r="BX12" s="29" t="s">
        <v>2129</v>
      </c>
      <c r="BY12" s="29" t="s">
        <v>2129</v>
      </c>
      <c r="BZ12" s="29" t="s">
        <v>2129</v>
      </c>
      <c r="CA12" s="29" t="s">
        <v>2129</v>
      </c>
      <c r="CB12" s="29" t="s">
        <v>2129</v>
      </c>
      <c r="CC12" s="29" t="s">
        <v>2129</v>
      </c>
      <c r="CD12" s="29" t="s">
        <v>2129</v>
      </c>
      <c r="CE12" s="29" t="s">
        <v>3171</v>
      </c>
      <c r="CF12" s="29" t="s">
        <v>3154</v>
      </c>
      <c r="CG12" s="29" t="s">
        <v>2129</v>
      </c>
      <c r="CH12" s="29" t="s">
        <v>2129</v>
      </c>
      <c r="CI12" s="29" t="s">
        <v>2129</v>
      </c>
      <c r="CJ12" s="29" t="s">
        <v>2129</v>
      </c>
      <c r="CK12" s="29" t="s">
        <v>2129</v>
      </c>
      <c r="CL12" s="29" t="s">
        <v>2129</v>
      </c>
      <c r="CM12" s="29" t="s">
        <v>2129</v>
      </c>
      <c r="CN12" s="29" t="s">
        <v>2129</v>
      </c>
      <c r="CO12" s="29" t="s">
        <v>2129</v>
      </c>
      <c r="CP12" s="29" t="s">
        <v>2129</v>
      </c>
      <c r="CQ12" s="29" t="s">
        <v>2129</v>
      </c>
      <c r="CR12" s="29" t="s">
        <v>2129</v>
      </c>
      <c r="CS12" s="29"/>
      <c r="CT12" s="29" t="s">
        <v>2129</v>
      </c>
      <c r="CU12" s="29" t="s">
        <v>2129</v>
      </c>
      <c r="CV12" s="29" t="s">
        <v>2129</v>
      </c>
      <c r="CW12" s="29" t="s">
        <v>2129</v>
      </c>
      <c r="CX12" s="29" t="s">
        <v>2129</v>
      </c>
      <c r="CY12" s="29" t="s">
        <v>2129</v>
      </c>
      <c r="CZ12" s="29" t="s">
        <v>2129</v>
      </c>
      <c r="DA12" s="29" t="s">
        <v>2129</v>
      </c>
      <c r="DB12" s="29" t="s">
        <v>2129</v>
      </c>
      <c r="DC12" s="29" t="s">
        <v>2129</v>
      </c>
      <c r="DD12" s="29" t="s">
        <v>2129</v>
      </c>
      <c r="DE12" s="29" t="s">
        <v>2129</v>
      </c>
      <c r="DF12" s="29" t="s">
        <v>2129</v>
      </c>
      <c r="DG12" s="29" t="s">
        <v>2129</v>
      </c>
      <c r="DH12" s="29" t="s">
        <v>2129</v>
      </c>
      <c r="DI12" s="29" t="s">
        <v>2129</v>
      </c>
      <c r="DJ12" s="29" t="s">
        <v>2129</v>
      </c>
      <c r="DK12" s="29" t="s">
        <v>2129</v>
      </c>
      <c r="DL12" s="29" t="s">
        <v>2129</v>
      </c>
      <c r="DM12" s="29" t="s">
        <v>2129</v>
      </c>
      <c r="DN12" s="29" t="s">
        <v>2129</v>
      </c>
      <c r="DO12" s="29" t="s">
        <v>2129</v>
      </c>
      <c r="DP12" s="29" t="s">
        <v>2129</v>
      </c>
      <c r="DQ12" s="42" t="s">
        <v>2129</v>
      </c>
    </row>
    <row r="13" spans="1:121" x14ac:dyDescent="0.25">
      <c r="A13" s="36" t="s">
        <v>2815</v>
      </c>
      <c r="B13" s="30" t="s">
        <v>2804</v>
      </c>
      <c r="C13" s="30">
        <v>23010</v>
      </c>
      <c r="D13" s="30"/>
      <c r="E13" s="30" t="s">
        <v>77</v>
      </c>
      <c r="F13" s="30" t="s">
        <v>16</v>
      </c>
      <c r="G13" s="30" t="s">
        <v>2140</v>
      </c>
      <c r="H13" s="30" t="s">
        <v>599</v>
      </c>
      <c r="I13" s="30" t="s">
        <v>2127</v>
      </c>
      <c r="J13" s="30" t="s">
        <v>2141</v>
      </c>
      <c r="K13" s="30" t="s">
        <v>2129</v>
      </c>
      <c r="L13" s="30" t="s">
        <v>2142</v>
      </c>
      <c r="M13" s="30" t="s">
        <v>2130</v>
      </c>
      <c r="N13" s="30" t="s">
        <v>2153</v>
      </c>
      <c r="O13" s="30" t="s">
        <v>2150</v>
      </c>
      <c r="P13" s="30" t="s">
        <v>2141</v>
      </c>
      <c r="Q13" s="30" t="s">
        <v>2141</v>
      </c>
      <c r="R13" s="46">
        <v>46073.565972222219</v>
      </c>
      <c r="S13" s="46">
        <v>46079.460416666669</v>
      </c>
      <c r="T13" s="46">
        <v>46087.717361111114</v>
      </c>
      <c r="U13" s="46">
        <v>46079.460416666669</v>
      </c>
      <c r="V13" s="30" t="s">
        <v>2129</v>
      </c>
      <c r="W13" s="30" t="s">
        <v>2129</v>
      </c>
      <c r="X13" s="30" t="s">
        <v>2129</v>
      </c>
      <c r="Y13" s="30">
        <v>0</v>
      </c>
      <c r="Z13" s="30" t="s">
        <v>2129</v>
      </c>
      <c r="AA13" s="30" t="s">
        <v>2129</v>
      </c>
      <c r="AB13" s="30" t="s">
        <v>2129</v>
      </c>
      <c r="AC13" s="30" t="s">
        <v>2129</v>
      </c>
      <c r="AD13" s="30" t="s">
        <v>2141</v>
      </c>
      <c r="AE13" s="30" t="s">
        <v>2150</v>
      </c>
      <c r="AF13" s="30" t="s">
        <v>2129</v>
      </c>
      <c r="AG13" s="30" t="s">
        <v>2129</v>
      </c>
      <c r="AH13" s="30" t="s">
        <v>2129</v>
      </c>
      <c r="AI13" s="30" t="s">
        <v>3172</v>
      </c>
      <c r="AJ13" s="30" t="s">
        <v>3173</v>
      </c>
      <c r="AK13" s="30" t="s">
        <v>2129</v>
      </c>
      <c r="AL13" s="30" t="s">
        <v>2129</v>
      </c>
      <c r="AM13" s="30" t="s">
        <v>2129</v>
      </c>
      <c r="AN13" s="30" t="s">
        <v>2129</v>
      </c>
      <c r="AO13" s="30" t="s">
        <v>2129</v>
      </c>
      <c r="AP13" s="30" t="s">
        <v>2129</v>
      </c>
      <c r="AQ13" s="30" t="s">
        <v>2129</v>
      </c>
      <c r="AR13" s="30" t="s">
        <v>2129</v>
      </c>
      <c r="AS13" s="30" t="s">
        <v>2129</v>
      </c>
      <c r="AT13" s="30" t="s">
        <v>2129</v>
      </c>
      <c r="AU13" s="30" t="s">
        <v>2129</v>
      </c>
      <c r="AV13" s="30" t="s">
        <v>2129</v>
      </c>
      <c r="AW13" s="30" t="s">
        <v>2129</v>
      </c>
      <c r="AX13" s="30">
        <v>0</v>
      </c>
      <c r="AY13" s="30">
        <v>4500</v>
      </c>
      <c r="AZ13" s="30" t="s">
        <v>2129</v>
      </c>
      <c r="BA13" s="30" t="s">
        <v>2129</v>
      </c>
      <c r="BB13" s="30">
        <v>0</v>
      </c>
      <c r="BC13" s="30">
        <v>4500</v>
      </c>
      <c r="BD13" s="30" t="s">
        <v>2129</v>
      </c>
      <c r="BE13" s="30" t="s">
        <v>2129</v>
      </c>
      <c r="BF13" s="30" t="s">
        <v>2129</v>
      </c>
      <c r="BG13" s="30" t="s">
        <v>2129</v>
      </c>
      <c r="BH13" s="30" t="s">
        <v>2129</v>
      </c>
      <c r="BI13" s="30" t="s">
        <v>2129</v>
      </c>
      <c r="BJ13" s="30" t="s">
        <v>2129</v>
      </c>
      <c r="BK13" s="30" t="s">
        <v>2129</v>
      </c>
      <c r="BL13" s="30" t="s">
        <v>2129</v>
      </c>
      <c r="BM13" s="30" t="s">
        <v>2129</v>
      </c>
      <c r="BN13" s="30" t="s">
        <v>2129</v>
      </c>
      <c r="BO13" s="30" t="s">
        <v>2129</v>
      </c>
      <c r="BP13" s="30" t="s">
        <v>2129</v>
      </c>
      <c r="BQ13" s="30" t="s">
        <v>2129</v>
      </c>
      <c r="BR13" s="30" t="s">
        <v>2129</v>
      </c>
      <c r="BS13" s="30" t="s">
        <v>2129</v>
      </c>
      <c r="BT13" s="30" t="s">
        <v>2129</v>
      </c>
      <c r="BU13" s="30" t="s">
        <v>2129</v>
      </c>
      <c r="BV13" s="30" t="s">
        <v>2129</v>
      </c>
      <c r="BW13" s="30" t="s">
        <v>2129</v>
      </c>
      <c r="BX13" s="30" t="s">
        <v>2129</v>
      </c>
      <c r="BY13" s="30" t="s">
        <v>2129</v>
      </c>
      <c r="BZ13" s="30" t="s">
        <v>2129</v>
      </c>
      <c r="CA13" s="30" t="s">
        <v>2129</v>
      </c>
      <c r="CB13" s="30" t="s">
        <v>2129</v>
      </c>
      <c r="CC13" s="30" t="s">
        <v>2129</v>
      </c>
      <c r="CD13" s="30" t="s">
        <v>2129</v>
      </c>
      <c r="CE13" s="30" t="s">
        <v>3174</v>
      </c>
      <c r="CF13" s="30" t="s">
        <v>3154</v>
      </c>
      <c r="CG13" s="30" t="s">
        <v>2129</v>
      </c>
      <c r="CH13" s="30" t="s">
        <v>2129</v>
      </c>
      <c r="CI13" s="30" t="s">
        <v>2129</v>
      </c>
      <c r="CJ13" s="30" t="s">
        <v>2129</v>
      </c>
      <c r="CK13" s="30" t="s">
        <v>2129</v>
      </c>
      <c r="CL13" s="30" t="s">
        <v>2129</v>
      </c>
      <c r="CM13" s="30" t="s">
        <v>2129</v>
      </c>
      <c r="CN13" s="30" t="s">
        <v>2129</v>
      </c>
      <c r="CO13" s="30" t="s">
        <v>2129</v>
      </c>
      <c r="CP13" s="30" t="s">
        <v>2129</v>
      </c>
      <c r="CQ13" s="30" t="s">
        <v>2129</v>
      </c>
      <c r="CR13" s="30" t="s">
        <v>2129</v>
      </c>
      <c r="CS13" s="30">
        <v>20</v>
      </c>
      <c r="CT13" s="30" t="s">
        <v>2129</v>
      </c>
      <c r="CU13" s="30" t="s">
        <v>2129</v>
      </c>
      <c r="CV13" s="30" t="s">
        <v>3175</v>
      </c>
      <c r="CW13" s="30" t="s">
        <v>2129</v>
      </c>
      <c r="CX13" s="30" t="s">
        <v>2129</v>
      </c>
      <c r="CY13" s="30" t="s">
        <v>2129</v>
      </c>
      <c r="CZ13" s="30" t="s">
        <v>2129</v>
      </c>
      <c r="DA13" s="30" t="s">
        <v>2129</v>
      </c>
      <c r="DB13" s="30" t="s">
        <v>2129</v>
      </c>
      <c r="DC13" s="30" t="s">
        <v>2129</v>
      </c>
      <c r="DD13" s="30" t="s">
        <v>2129</v>
      </c>
      <c r="DE13" s="30" t="s">
        <v>2129</v>
      </c>
      <c r="DF13" s="30" t="s">
        <v>2129</v>
      </c>
      <c r="DG13" s="30" t="s">
        <v>2129</v>
      </c>
      <c r="DH13" s="30" t="s">
        <v>2129</v>
      </c>
      <c r="DI13" s="30" t="s">
        <v>2129</v>
      </c>
      <c r="DJ13" s="30" t="s">
        <v>2129</v>
      </c>
      <c r="DK13" s="30" t="s">
        <v>2129</v>
      </c>
      <c r="DL13" s="30" t="s">
        <v>2129</v>
      </c>
      <c r="DM13" s="30" t="s">
        <v>2129</v>
      </c>
      <c r="DN13" s="30" t="s">
        <v>2129</v>
      </c>
      <c r="DO13" s="30" t="s">
        <v>2129</v>
      </c>
      <c r="DP13" s="30" t="s">
        <v>2129</v>
      </c>
      <c r="DQ13" s="43" t="s">
        <v>2129</v>
      </c>
    </row>
    <row r="14" spans="1:121" x14ac:dyDescent="0.25">
      <c r="A14" s="39" t="s">
        <v>2817</v>
      </c>
      <c r="B14" s="29" t="s">
        <v>2806</v>
      </c>
      <c r="C14" s="29">
        <v>22976</v>
      </c>
      <c r="D14" s="29"/>
      <c r="E14" s="29" t="s">
        <v>14</v>
      </c>
      <c r="F14" s="29" t="s">
        <v>16</v>
      </c>
      <c r="G14" s="29" t="s">
        <v>2140</v>
      </c>
      <c r="H14" s="29" t="s">
        <v>599</v>
      </c>
      <c r="I14" s="29" t="s">
        <v>2127</v>
      </c>
      <c r="J14" s="29" t="s">
        <v>2141</v>
      </c>
      <c r="K14" s="29" t="s">
        <v>2129</v>
      </c>
      <c r="L14" s="29" t="s">
        <v>2142</v>
      </c>
      <c r="M14" s="29" t="s">
        <v>2130</v>
      </c>
      <c r="N14" s="29" t="s">
        <v>2153</v>
      </c>
      <c r="O14" s="29" t="s">
        <v>2150</v>
      </c>
      <c r="P14" s="29" t="s">
        <v>2145</v>
      </c>
      <c r="Q14" s="29" t="s">
        <v>2145</v>
      </c>
      <c r="R14" s="45">
        <v>46070.519444444442</v>
      </c>
      <c r="S14" s="45">
        <v>46083.668749999997</v>
      </c>
      <c r="T14" s="45">
        <v>46087.717361111114</v>
      </c>
      <c r="U14" s="45">
        <v>46077.40902777778</v>
      </c>
      <c r="V14" s="29" t="s">
        <v>2129</v>
      </c>
      <c r="W14" s="29" t="s">
        <v>2129</v>
      </c>
      <c r="X14" s="29" t="s">
        <v>2129</v>
      </c>
      <c r="Y14" s="29">
        <v>0</v>
      </c>
      <c r="Z14" s="29" t="s">
        <v>2129</v>
      </c>
      <c r="AA14" s="29" t="s">
        <v>2129</v>
      </c>
      <c r="AB14" s="29" t="s">
        <v>3176</v>
      </c>
      <c r="AC14" s="29" t="s">
        <v>2129</v>
      </c>
      <c r="AD14" s="29" t="s">
        <v>2145</v>
      </c>
      <c r="AE14" s="29" t="s">
        <v>2150</v>
      </c>
      <c r="AF14" s="29" t="s">
        <v>2129</v>
      </c>
      <c r="AG14" s="29" t="s">
        <v>2129</v>
      </c>
      <c r="AH14" s="29" t="s">
        <v>2129</v>
      </c>
      <c r="AI14" s="29" t="s">
        <v>3156</v>
      </c>
      <c r="AJ14" s="29" t="s">
        <v>3177</v>
      </c>
      <c r="AK14" s="29" t="s">
        <v>2129</v>
      </c>
      <c r="AL14" s="29" t="s">
        <v>2129</v>
      </c>
      <c r="AM14" s="29" t="s">
        <v>2129</v>
      </c>
      <c r="AN14" s="29" t="s">
        <v>2129</v>
      </c>
      <c r="AO14" s="29" t="s">
        <v>2129</v>
      </c>
      <c r="AP14" s="29" t="s">
        <v>2129</v>
      </c>
      <c r="AQ14" s="29" t="s">
        <v>2129</v>
      </c>
      <c r="AR14" s="29" t="s">
        <v>2129</v>
      </c>
      <c r="AS14" s="29" t="s">
        <v>2129</v>
      </c>
      <c r="AT14" s="29" t="s">
        <v>2129</v>
      </c>
      <c r="AU14" s="29" t="s">
        <v>2129</v>
      </c>
      <c r="AV14" s="29" t="s">
        <v>2129</v>
      </c>
      <c r="AW14" s="29" t="s">
        <v>2129</v>
      </c>
      <c r="AX14" s="29">
        <v>0</v>
      </c>
      <c r="AY14" s="29">
        <v>4500</v>
      </c>
      <c r="AZ14" s="29" t="s">
        <v>2129</v>
      </c>
      <c r="BA14" s="29" t="s">
        <v>2129</v>
      </c>
      <c r="BB14" s="29">
        <v>0</v>
      </c>
      <c r="BC14" s="29">
        <v>4500</v>
      </c>
      <c r="BD14" s="29" t="s">
        <v>2129</v>
      </c>
      <c r="BE14" s="29" t="s">
        <v>2129</v>
      </c>
      <c r="BF14" s="29" t="s">
        <v>2129</v>
      </c>
      <c r="BG14" s="29" t="s">
        <v>2129</v>
      </c>
      <c r="BH14" s="29" t="s">
        <v>2129</v>
      </c>
      <c r="BI14" s="29" t="s">
        <v>2129</v>
      </c>
      <c r="BJ14" s="29" t="s">
        <v>2129</v>
      </c>
      <c r="BK14" s="29" t="s">
        <v>2129</v>
      </c>
      <c r="BL14" s="29" t="s">
        <v>2129</v>
      </c>
      <c r="BM14" s="29" t="s">
        <v>2129</v>
      </c>
      <c r="BN14" s="29" t="s">
        <v>2129</v>
      </c>
      <c r="BO14" s="29" t="s">
        <v>2129</v>
      </c>
      <c r="BP14" s="29" t="s">
        <v>2129</v>
      </c>
      <c r="BQ14" s="29" t="s">
        <v>2129</v>
      </c>
      <c r="BR14" s="29" t="s">
        <v>2129</v>
      </c>
      <c r="BS14" s="29" t="s">
        <v>2129</v>
      </c>
      <c r="BT14" s="29" t="s">
        <v>2129</v>
      </c>
      <c r="BU14" s="29" t="s">
        <v>2129</v>
      </c>
      <c r="BV14" s="29" t="s">
        <v>2129</v>
      </c>
      <c r="BW14" s="29" t="s">
        <v>2129</v>
      </c>
      <c r="BX14" s="29" t="s">
        <v>2129</v>
      </c>
      <c r="BY14" s="29" t="s">
        <v>2129</v>
      </c>
      <c r="BZ14" s="29" t="s">
        <v>2129</v>
      </c>
      <c r="CA14" s="29" t="s">
        <v>2129</v>
      </c>
      <c r="CB14" s="29" t="s">
        <v>2129</v>
      </c>
      <c r="CC14" s="29" t="s">
        <v>2129</v>
      </c>
      <c r="CD14" s="29" t="s">
        <v>2129</v>
      </c>
      <c r="CE14" s="29" t="s">
        <v>3178</v>
      </c>
      <c r="CF14" s="29" t="s">
        <v>3154</v>
      </c>
      <c r="CG14" s="29" t="s">
        <v>2129</v>
      </c>
      <c r="CH14" s="29" t="s">
        <v>2129</v>
      </c>
      <c r="CI14" s="29" t="s">
        <v>2129</v>
      </c>
      <c r="CJ14" s="29" t="s">
        <v>2129</v>
      </c>
      <c r="CK14" s="29" t="s">
        <v>2129</v>
      </c>
      <c r="CL14" s="29" t="s">
        <v>2129</v>
      </c>
      <c r="CM14" s="29" t="s">
        <v>2129</v>
      </c>
      <c r="CN14" s="29" t="s">
        <v>2129</v>
      </c>
      <c r="CO14" s="29" t="s">
        <v>2129</v>
      </c>
      <c r="CP14" s="29" t="s">
        <v>2129</v>
      </c>
      <c r="CQ14" s="29" t="s">
        <v>2129</v>
      </c>
      <c r="CR14" s="29" t="s">
        <v>2129</v>
      </c>
      <c r="CS14" s="29">
        <v>20</v>
      </c>
      <c r="CT14" s="29" t="s">
        <v>2129</v>
      </c>
      <c r="CU14" s="29" t="s">
        <v>2129</v>
      </c>
      <c r="CV14" s="29" t="s">
        <v>3179</v>
      </c>
      <c r="CW14" s="29" t="s">
        <v>2129</v>
      </c>
      <c r="CX14" s="29" t="s">
        <v>2129</v>
      </c>
      <c r="CY14" s="29" t="s">
        <v>2129</v>
      </c>
      <c r="CZ14" s="29" t="s">
        <v>2129</v>
      </c>
      <c r="DA14" s="29" t="s">
        <v>2129</v>
      </c>
      <c r="DB14" s="29" t="s">
        <v>2129</v>
      </c>
      <c r="DC14" s="29" t="s">
        <v>2129</v>
      </c>
      <c r="DD14" s="29" t="s">
        <v>2129</v>
      </c>
      <c r="DE14" s="29" t="s">
        <v>2129</v>
      </c>
      <c r="DF14" s="29" t="s">
        <v>2129</v>
      </c>
      <c r="DG14" s="29" t="s">
        <v>2129</v>
      </c>
      <c r="DH14" s="29" t="s">
        <v>2129</v>
      </c>
      <c r="DI14" s="29" t="s">
        <v>2129</v>
      </c>
      <c r="DJ14" s="29" t="s">
        <v>2129</v>
      </c>
      <c r="DK14" s="29" t="s">
        <v>2129</v>
      </c>
      <c r="DL14" s="29" t="s">
        <v>2129</v>
      </c>
      <c r="DM14" s="29" t="s">
        <v>2129</v>
      </c>
      <c r="DN14" s="29" t="s">
        <v>2129</v>
      </c>
      <c r="DO14" s="29" t="s">
        <v>2129</v>
      </c>
      <c r="DP14" s="29" t="s">
        <v>2129</v>
      </c>
      <c r="DQ14" s="42" t="s">
        <v>2129</v>
      </c>
    </row>
    <row r="15" spans="1:121" x14ac:dyDescent="0.25">
      <c r="A15" s="36" t="s">
        <v>2816</v>
      </c>
      <c r="B15" s="30" t="s">
        <v>2805</v>
      </c>
      <c r="C15" s="30">
        <v>22974</v>
      </c>
      <c r="D15" s="30"/>
      <c r="E15" s="30" t="s">
        <v>14</v>
      </c>
      <c r="F15" s="30" t="s">
        <v>16</v>
      </c>
      <c r="G15" s="30" t="s">
        <v>2140</v>
      </c>
      <c r="H15" s="30" t="s">
        <v>599</v>
      </c>
      <c r="I15" s="30" t="s">
        <v>2127</v>
      </c>
      <c r="J15" s="30" t="s">
        <v>2141</v>
      </c>
      <c r="K15" s="30" t="s">
        <v>2129</v>
      </c>
      <c r="L15" s="30" t="s">
        <v>2142</v>
      </c>
      <c r="M15" s="30" t="s">
        <v>2130</v>
      </c>
      <c r="N15" s="30" t="s">
        <v>2153</v>
      </c>
      <c r="O15" s="30" t="s">
        <v>2150</v>
      </c>
      <c r="P15" s="30" t="s">
        <v>2145</v>
      </c>
      <c r="Q15" s="30" t="s">
        <v>2145</v>
      </c>
      <c r="R15" s="46">
        <v>46070.505555555559</v>
      </c>
      <c r="S15" s="46">
        <v>46084.760416666664</v>
      </c>
      <c r="T15" s="46">
        <v>46087.717361111114</v>
      </c>
      <c r="U15" s="46">
        <v>46084.760416666664</v>
      </c>
      <c r="V15" s="30" t="s">
        <v>2129</v>
      </c>
      <c r="W15" s="30" t="s">
        <v>2129</v>
      </c>
      <c r="X15" s="30" t="s">
        <v>2129</v>
      </c>
      <c r="Y15" s="30">
        <v>0</v>
      </c>
      <c r="Z15" s="30" t="s">
        <v>2129</v>
      </c>
      <c r="AA15" s="30" t="s">
        <v>2129</v>
      </c>
      <c r="AB15" s="30" t="s">
        <v>3180</v>
      </c>
      <c r="AC15" s="30" t="s">
        <v>2129</v>
      </c>
      <c r="AD15" s="30" t="s">
        <v>2145</v>
      </c>
      <c r="AE15" s="30" t="s">
        <v>2150</v>
      </c>
      <c r="AF15" s="30" t="s">
        <v>2129</v>
      </c>
      <c r="AG15" s="30" t="s">
        <v>2129</v>
      </c>
      <c r="AH15" s="30" t="s">
        <v>2129</v>
      </c>
      <c r="AI15" s="30" t="s">
        <v>3181</v>
      </c>
      <c r="AJ15" s="30" t="s">
        <v>2129</v>
      </c>
      <c r="AK15" s="30" t="s">
        <v>2129</v>
      </c>
      <c r="AL15" s="30" t="s">
        <v>2129</v>
      </c>
      <c r="AM15" s="30" t="s">
        <v>2129</v>
      </c>
      <c r="AN15" s="30" t="s">
        <v>2129</v>
      </c>
      <c r="AO15" s="30" t="s">
        <v>2129</v>
      </c>
      <c r="AP15" s="30" t="s">
        <v>2129</v>
      </c>
      <c r="AQ15" s="30" t="s">
        <v>2129</v>
      </c>
      <c r="AR15" s="30" t="s">
        <v>2129</v>
      </c>
      <c r="AS15" s="30" t="s">
        <v>2129</v>
      </c>
      <c r="AT15" s="30" t="s">
        <v>2129</v>
      </c>
      <c r="AU15" s="30" t="s">
        <v>2129</v>
      </c>
      <c r="AV15" s="30" t="s">
        <v>2129</v>
      </c>
      <c r="AW15" s="30" t="s">
        <v>2129</v>
      </c>
      <c r="AX15" s="30">
        <v>0</v>
      </c>
      <c r="AY15" s="30">
        <v>300</v>
      </c>
      <c r="AZ15" s="30" t="s">
        <v>2129</v>
      </c>
      <c r="BA15" s="30" t="s">
        <v>2129</v>
      </c>
      <c r="BB15" s="30">
        <v>0</v>
      </c>
      <c r="BC15" s="30">
        <v>300</v>
      </c>
      <c r="BD15" s="30" t="s">
        <v>2129</v>
      </c>
      <c r="BE15" s="30" t="s">
        <v>2129</v>
      </c>
      <c r="BF15" s="30" t="s">
        <v>2129</v>
      </c>
      <c r="BG15" s="30" t="s">
        <v>2129</v>
      </c>
      <c r="BH15" s="30" t="s">
        <v>2129</v>
      </c>
      <c r="BI15" s="30" t="s">
        <v>2129</v>
      </c>
      <c r="BJ15" s="30" t="s">
        <v>2129</v>
      </c>
      <c r="BK15" s="30" t="s">
        <v>2129</v>
      </c>
      <c r="BL15" s="30" t="s">
        <v>2129</v>
      </c>
      <c r="BM15" s="30" t="s">
        <v>2129</v>
      </c>
      <c r="BN15" s="30" t="s">
        <v>2129</v>
      </c>
      <c r="BO15" s="30" t="s">
        <v>2129</v>
      </c>
      <c r="BP15" s="30" t="s">
        <v>2129</v>
      </c>
      <c r="BQ15" s="30" t="s">
        <v>2129</v>
      </c>
      <c r="BR15" s="30" t="s">
        <v>2129</v>
      </c>
      <c r="BS15" s="30" t="s">
        <v>2129</v>
      </c>
      <c r="BT15" s="30" t="s">
        <v>2129</v>
      </c>
      <c r="BU15" s="30" t="s">
        <v>2129</v>
      </c>
      <c r="BV15" s="30" t="s">
        <v>2129</v>
      </c>
      <c r="BW15" s="30" t="s">
        <v>2129</v>
      </c>
      <c r="BX15" s="30" t="s">
        <v>2129</v>
      </c>
      <c r="BY15" s="30" t="s">
        <v>2129</v>
      </c>
      <c r="BZ15" s="30" t="s">
        <v>2129</v>
      </c>
      <c r="CA15" s="30" t="s">
        <v>2129</v>
      </c>
      <c r="CB15" s="30" t="s">
        <v>2129</v>
      </c>
      <c r="CC15" s="30" t="s">
        <v>2129</v>
      </c>
      <c r="CD15" s="30" t="s">
        <v>2129</v>
      </c>
      <c r="CE15" s="30" t="s">
        <v>3182</v>
      </c>
      <c r="CF15" s="30" t="s">
        <v>3154</v>
      </c>
      <c r="CG15" s="30" t="s">
        <v>2129</v>
      </c>
      <c r="CH15" s="30" t="s">
        <v>2129</v>
      </c>
      <c r="CI15" s="30" t="s">
        <v>2129</v>
      </c>
      <c r="CJ15" s="30" t="s">
        <v>2129</v>
      </c>
      <c r="CK15" s="30" t="s">
        <v>2129</v>
      </c>
      <c r="CL15" s="30" t="s">
        <v>2129</v>
      </c>
      <c r="CM15" s="30" t="s">
        <v>2129</v>
      </c>
      <c r="CN15" s="30" t="s">
        <v>2129</v>
      </c>
      <c r="CO15" s="30" t="s">
        <v>2129</v>
      </c>
      <c r="CP15" s="30" t="s">
        <v>2129</v>
      </c>
      <c r="CQ15" s="30" t="s">
        <v>2129</v>
      </c>
      <c r="CR15" s="30" t="s">
        <v>2129</v>
      </c>
      <c r="CS15" s="30">
        <v>10</v>
      </c>
      <c r="CT15" s="30" t="s">
        <v>2129</v>
      </c>
      <c r="CU15" s="30" t="s">
        <v>2129</v>
      </c>
      <c r="CV15" s="30" t="s">
        <v>3183</v>
      </c>
      <c r="CW15" s="30" t="s">
        <v>2129</v>
      </c>
      <c r="CX15" s="30" t="s">
        <v>2129</v>
      </c>
      <c r="CY15" s="30" t="s">
        <v>2129</v>
      </c>
      <c r="CZ15" s="30" t="s">
        <v>2129</v>
      </c>
      <c r="DA15" s="30" t="s">
        <v>2129</v>
      </c>
      <c r="DB15" s="30" t="s">
        <v>2129</v>
      </c>
      <c r="DC15" s="30" t="s">
        <v>2129</v>
      </c>
      <c r="DD15" s="30" t="s">
        <v>2129</v>
      </c>
      <c r="DE15" s="30" t="s">
        <v>2129</v>
      </c>
      <c r="DF15" s="30" t="s">
        <v>2129</v>
      </c>
      <c r="DG15" s="30" t="s">
        <v>2129</v>
      </c>
      <c r="DH15" s="30" t="s">
        <v>2129</v>
      </c>
      <c r="DI15" s="30" t="s">
        <v>2129</v>
      </c>
      <c r="DJ15" s="30" t="s">
        <v>2129</v>
      </c>
      <c r="DK15" s="30" t="s">
        <v>2129</v>
      </c>
      <c r="DL15" s="30" t="s">
        <v>2129</v>
      </c>
      <c r="DM15" s="30" t="s">
        <v>2129</v>
      </c>
      <c r="DN15" s="30" t="s">
        <v>2129</v>
      </c>
      <c r="DO15" s="30" t="s">
        <v>2129</v>
      </c>
      <c r="DP15" s="30" t="s">
        <v>2129</v>
      </c>
      <c r="DQ15" s="43" t="s">
        <v>2129</v>
      </c>
    </row>
    <row r="16" spans="1:121" x14ac:dyDescent="0.25">
      <c r="A16" s="39" t="s">
        <v>2822</v>
      </c>
      <c r="B16" s="29" t="s">
        <v>2823</v>
      </c>
      <c r="C16" s="29">
        <v>22973</v>
      </c>
      <c r="D16" s="29">
        <v>22972</v>
      </c>
      <c r="E16" s="29" t="s">
        <v>1379</v>
      </c>
      <c r="F16" s="29" t="s">
        <v>16</v>
      </c>
      <c r="G16" s="29" t="s">
        <v>2140</v>
      </c>
      <c r="H16" s="29" t="s">
        <v>599</v>
      </c>
      <c r="I16" s="29" t="s">
        <v>2127</v>
      </c>
      <c r="J16" s="29" t="s">
        <v>2141</v>
      </c>
      <c r="K16" s="29" t="s">
        <v>2129</v>
      </c>
      <c r="L16" s="29" t="s">
        <v>2142</v>
      </c>
      <c r="M16" s="29" t="s">
        <v>2130</v>
      </c>
      <c r="N16" s="29" t="s">
        <v>16</v>
      </c>
      <c r="O16" s="29" t="s">
        <v>2143</v>
      </c>
      <c r="P16" s="29" t="s">
        <v>2141</v>
      </c>
      <c r="Q16" s="29" t="s">
        <v>2141</v>
      </c>
      <c r="R16" s="45">
        <v>46069.67291666667</v>
      </c>
      <c r="S16" s="45">
        <v>46084.424305555556</v>
      </c>
      <c r="T16" s="45">
        <v>46087.717361111114</v>
      </c>
      <c r="U16" s="45">
        <v>46084.424305555556</v>
      </c>
      <c r="V16" s="29" t="s">
        <v>2129</v>
      </c>
      <c r="W16" s="29" t="s">
        <v>2129</v>
      </c>
      <c r="X16" s="29" t="s">
        <v>2129</v>
      </c>
      <c r="Y16" s="29">
        <v>0</v>
      </c>
      <c r="Z16" s="29" t="s">
        <v>2129</v>
      </c>
      <c r="AA16" s="29" t="s">
        <v>2129</v>
      </c>
      <c r="AB16" s="29" t="s">
        <v>2129</v>
      </c>
      <c r="AC16" s="29" t="s">
        <v>2129</v>
      </c>
      <c r="AD16" s="29" t="s">
        <v>2141</v>
      </c>
      <c r="AE16" s="29" t="s">
        <v>2143</v>
      </c>
      <c r="AF16" s="29" t="s">
        <v>2129</v>
      </c>
      <c r="AG16" s="29" t="s">
        <v>2129</v>
      </c>
      <c r="AH16" s="29" t="s">
        <v>2129</v>
      </c>
      <c r="AI16" s="29" t="s">
        <v>2129</v>
      </c>
      <c r="AJ16" s="29" t="s">
        <v>2129</v>
      </c>
      <c r="AK16" s="29" t="s">
        <v>2129</v>
      </c>
      <c r="AL16" s="29" t="s">
        <v>2129</v>
      </c>
      <c r="AM16" s="29" t="s">
        <v>2129</v>
      </c>
      <c r="AN16" s="29" t="s">
        <v>2129</v>
      </c>
      <c r="AO16" s="29" t="s">
        <v>2129</v>
      </c>
      <c r="AP16" s="29" t="s">
        <v>2129</v>
      </c>
      <c r="AQ16" s="29" t="s">
        <v>2129</v>
      </c>
      <c r="AR16" s="29" t="s">
        <v>2129</v>
      </c>
      <c r="AS16" s="29" t="s">
        <v>2129</v>
      </c>
      <c r="AT16" s="29" t="s">
        <v>2129</v>
      </c>
      <c r="AU16" s="29" t="s">
        <v>2129</v>
      </c>
      <c r="AV16" s="29" t="s">
        <v>2129</v>
      </c>
      <c r="AW16" s="29" t="s">
        <v>2129</v>
      </c>
      <c r="AX16" s="29"/>
      <c r="AY16" s="29"/>
      <c r="AZ16" s="29" t="s">
        <v>2129</v>
      </c>
      <c r="BA16" s="29" t="s">
        <v>2129</v>
      </c>
      <c r="BB16" s="29"/>
      <c r="BC16" s="29"/>
      <c r="BD16" s="29" t="s">
        <v>2129</v>
      </c>
      <c r="BE16" s="29" t="s">
        <v>2129</v>
      </c>
      <c r="BF16" s="29" t="s">
        <v>2129</v>
      </c>
      <c r="BG16" s="29" t="s">
        <v>2129</v>
      </c>
      <c r="BH16" s="29" t="s">
        <v>2129</v>
      </c>
      <c r="BI16" s="29" t="s">
        <v>2129</v>
      </c>
      <c r="BJ16" s="29" t="s">
        <v>2129</v>
      </c>
      <c r="BK16" s="29" t="s">
        <v>2129</v>
      </c>
      <c r="BL16" s="29" t="s">
        <v>2129</v>
      </c>
      <c r="BM16" s="29" t="s">
        <v>2129</v>
      </c>
      <c r="BN16" s="29" t="s">
        <v>2129</v>
      </c>
      <c r="BO16" s="29" t="s">
        <v>2129</v>
      </c>
      <c r="BP16" s="29" t="s">
        <v>2129</v>
      </c>
      <c r="BQ16" s="29" t="s">
        <v>2129</v>
      </c>
      <c r="BR16" s="29" t="s">
        <v>2129</v>
      </c>
      <c r="BS16" s="29" t="s">
        <v>2129</v>
      </c>
      <c r="BT16" s="29" t="s">
        <v>2129</v>
      </c>
      <c r="BU16" s="29" t="s">
        <v>2129</v>
      </c>
      <c r="BV16" s="29" t="s">
        <v>2129</v>
      </c>
      <c r="BW16" s="29" t="s">
        <v>2129</v>
      </c>
      <c r="BX16" s="29" t="s">
        <v>2129</v>
      </c>
      <c r="BY16" s="29" t="s">
        <v>2129</v>
      </c>
      <c r="BZ16" s="29" t="s">
        <v>2129</v>
      </c>
      <c r="CA16" s="29" t="s">
        <v>2129</v>
      </c>
      <c r="CB16" s="29" t="s">
        <v>2129</v>
      </c>
      <c r="CC16" s="29" t="s">
        <v>2129</v>
      </c>
      <c r="CD16" s="29" t="s">
        <v>2129</v>
      </c>
      <c r="CE16" s="29" t="s">
        <v>2824</v>
      </c>
      <c r="CF16" s="29" t="s">
        <v>2821</v>
      </c>
      <c r="CG16" s="29" t="s">
        <v>3154</v>
      </c>
      <c r="CH16" s="29" t="s">
        <v>2129</v>
      </c>
      <c r="CI16" s="29" t="s">
        <v>2129</v>
      </c>
      <c r="CJ16" s="29" t="s">
        <v>2129</v>
      </c>
      <c r="CK16" s="29" t="s">
        <v>2129</v>
      </c>
      <c r="CL16" s="29" t="s">
        <v>2129</v>
      </c>
      <c r="CM16" s="29" t="s">
        <v>2129</v>
      </c>
      <c r="CN16" s="29" t="s">
        <v>2129</v>
      </c>
      <c r="CO16" s="29" t="s">
        <v>2129</v>
      </c>
      <c r="CP16" s="29" t="s">
        <v>2129</v>
      </c>
      <c r="CQ16" s="29" t="s">
        <v>2129</v>
      </c>
      <c r="CR16" s="29" t="s">
        <v>2129</v>
      </c>
      <c r="CS16" s="29"/>
      <c r="CT16" s="29" t="s">
        <v>2129</v>
      </c>
      <c r="CU16" s="29" t="s">
        <v>2129</v>
      </c>
      <c r="CV16" s="29" t="s">
        <v>2825</v>
      </c>
      <c r="CW16" s="29" t="s">
        <v>2129</v>
      </c>
      <c r="CX16" s="29" t="s">
        <v>2129</v>
      </c>
      <c r="CY16" s="29" t="s">
        <v>2129</v>
      </c>
      <c r="CZ16" s="29" t="s">
        <v>2129</v>
      </c>
      <c r="DA16" s="29" t="s">
        <v>2129</v>
      </c>
      <c r="DB16" s="29" t="s">
        <v>2129</v>
      </c>
      <c r="DC16" s="29" t="s">
        <v>2129</v>
      </c>
      <c r="DD16" s="29" t="s">
        <v>2129</v>
      </c>
      <c r="DE16" s="29" t="s">
        <v>2129</v>
      </c>
      <c r="DF16" s="29" t="s">
        <v>2129</v>
      </c>
      <c r="DG16" s="29" t="s">
        <v>2129</v>
      </c>
      <c r="DH16" s="29" t="s">
        <v>2129</v>
      </c>
      <c r="DI16" s="29" t="s">
        <v>2129</v>
      </c>
      <c r="DJ16" s="29" t="s">
        <v>2129</v>
      </c>
      <c r="DK16" s="29" t="s">
        <v>2129</v>
      </c>
      <c r="DL16" s="29" t="s">
        <v>2129</v>
      </c>
      <c r="DM16" s="29" t="s">
        <v>2129</v>
      </c>
      <c r="DN16" s="29" t="s">
        <v>2129</v>
      </c>
      <c r="DO16" s="29" t="s">
        <v>2129</v>
      </c>
      <c r="DP16" s="29" t="s">
        <v>2129</v>
      </c>
      <c r="DQ16" s="42" t="s">
        <v>2129</v>
      </c>
    </row>
    <row r="17" spans="1:121" x14ac:dyDescent="0.25">
      <c r="A17" s="36" t="s">
        <v>2826</v>
      </c>
      <c r="B17" s="30" t="s">
        <v>2827</v>
      </c>
      <c r="C17" s="30">
        <v>22972</v>
      </c>
      <c r="D17" s="30"/>
      <c r="E17" s="30" t="s">
        <v>77</v>
      </c>
      <c r="F17" s="30" t="s">
        <v>16</v>
      </c>
      <c r="G17" s="30" t="s">
        <v>2140</v>
      </c>
      <c r="H17" s="30" t="s">
        <v>599</v>
      </c>
      <c r="I17" s="30" t="s">
        <v>2127</v>
      </c>
      <c r="J17" s="30" t="s">
        <v>2141</v>
      </c>
      <c r="K17" s="30" t="s">
        <v>2129</v>
      </c>
      <c r="L17" s="30" t="s">
        <v>2142</v>
      </c>
      <c r="M17" s="30" t="s">
        <v>2130</v>
      </c>
      <c r="N17" s="30" t="s">
        <v>2153</v>
      </c>
      <c r="O17" s="30" t="s">
        <v>2150</v>
      </c>
      <c r="P17" s="30" t="s">
        <v>2141</v>
      </c>
      <c r="Q17" s="30" t="s">
        <v>2141</v>
      </c>
      <c r="R17" s="46">
        <v>46069.543055555558</v>
      </c>
      <c r="S17" s="46">
        <v>46079.640277777777</v>
      </c>
      <c r="T17" s="46">
        <v>46087.717361111114</v>
      </c>
      <c r="U17" s="46">
        <v>46079.640277777777</v>
      </c>
      <c r="V17" s="30" t="s">
        <v>2129</v>
      </c>
      <c r="W17" s="30" t="s">
        <v>2129</v>
      </c>
      <c r="X17" s="30" t="s">
        <v>2129</v>
      </c>
      <c r="Y17" s="30">
        <v>0</v>
      </c>
      <c r="Z17" s="30" t="s">
        <v>2129</v>
      </c>
      <c r="AA17" s="30" t="s">
        <v>2129</v>
      </c>
      <c r="AB17" s="30" t="s">
        <v>2828</v>
      </c>
      <c r="AC17" s="30" t="s">
        <v>2129</v>
      </c>
      <c r="AD17" s="30" t="s">
        <v>2141</v>
      </c>
      <c r="AE17" s="30" t="s">
        <v>2151</v>
      </c>
      <c r="AF17" s="30" t="s">
        <v>2150</v>
      </c>
      <c r="AG17" s="30" t="s">
        <v>2129</v>
      </c>
      <c r="AH17" s="30" t="s">
        <v>2129</v>
      </c>
      <c r="AI17" s="30" t="s">
        <v>2829</v>
      </c>
      <c r="AJ17" s="30" t="s">
        <v>2830</v>
      </c>
      <c r="AK17" s="30" t="s">
        <v>3184</v>
      </c>
      <c r="AL17" s="30" t="s">
        <v>2129</v>
      </c>
      <c r="AM17" s="30" t="s">
        <v>2129</v>
      </c>
      <c r="AN17" s="30" t="s">
        <v>2129</v>
      </c>
      <c r="AO17" s="30" t="s">
        <v>2129</v>
      </c>
      <c r="AP17" s="30" t="s">
        <v>2129</v>
      </c>
      <c r="AQ17" s="30" t="s">
        <v>2129</v>
      </c>
      <c r="AR17" s="30" t="s">
        <v>2129</v>
      </c>
      <c r="AS17" s="30" t="s">
        <v>2129</v>
      </c>
      <c r="AT17" s="30" t="s">
        <v>2129</v>
      </c>
      <c r="AU17" s="30" t="s">
        <v>2129</v>
      </c>
      <c r="AV17" s="30" t="s">
        <v>2129</v>
      </c>
      <c r="AW17" s="30" t="s">
        <v>2129</v>
      </c>
      <c r="AX17" s="30">
        <v>0</v>
      </c>
      <c r="AY17" s="30">
        <v>14400</v>
      </c>
      <c r="AZ17" s="30" t="s">
        <v>2129</v>
      </c>
      <c r="BA17" s="30" t="s">
        <v>2129</v>
      </c>
      <c r="BB17" s="30">
        <v>0</v>
      </c>
      <c r="BC17" s="30">
        <v>14400</v>
      </c>
      <c r="BD17" s="30" t="s">
        <v>2129</v>
      </c>
      <c r="BE17" s="30" t="s">
        <v>2129</v>
      </c>
      <c r="BF17" s="30" t="s">
        <v>2129</v>
      </c>
      <c r="BG17" s="30" t="s">
        <v>2129</v>
      </c>
      <c r="BH17" s="30" t="s">
        <v>2129</v>
      </c>
      <c r="BI17" s="30" t="s">
        <v>2129</v>
      </c>
      <c r="BJ17" s="30" t="s">
        <v>2129</v>
      </c>
      <c r="BK17" s="30" t="s">
        <v>2831</v>
      </c>
      <c r="BL17" s="30" t="s">
        <v>2832</v>
      </c>
      <c r="BM17" s="30" t="s">
        <v>2129</v>
      </c>
      <c r="BN17" s="30" t="s">
        <v>2129</v>
      </c>
      <c r="BO17" s="30" t="s">
        <v>2129</v>
      </c>
      <c r="BP17" s="30" t="s">
        <v>2129</v>
      </c>
      <c r="BQ17" s="30" t="s">
        <v>2129</v>
      </c>
      <c r="BR17" s="30" t="s">
        <v>2129</v>
      </c>
      <c r="BS17" s="30" t="s">
        <v>2129</v>
      </c>
      <c r="BT17" s="30" t="s">
        <v>2129</v>
      </c>
      <c r="BU17" s="30" t="s">
        <v>2129</v>
      </c>
      <c r="BV17" s="30" t="s">
        <v>2129</v>
      </c>
      <c r="BW17" s="30" t="s">
        <v>2129</v>
      </c>
      <c r="BX17" s="30" t="s">
        <v>2129</v>
      </c>
      <c r="BY17" s="30" t="s">
        <v>2129</v>
      </c>
      <c r="BZ17" s="30" t="s">
        <v>2129</v>
      </c>
      <c r="CA17" s="30" t="s">
        <v>2129</v>
      </c>
      <c r="CB17" s="30" t="s">
        <v>2129</v>
      </c>
      <c r="CC17" s="30" t="s">
        <v>2129</v>
      </c>
      <c r="CD17" s="30" t="s">
        <v>2129</v>
      </c>
      <c r="CE17" s="30" t="s">
        <v>2833</v>
      </c>
      <c r="CF17" s="30" t="s">
        <v>2821</v>
      </c>
      <c r="CG17" s="30" t="s">
        <v>3154</v>
      </c>
      <c r="CH17" s="30" t="s">
        <v>2129</v>
      </c>
      <c r="CI17" s="30" t="s">
        <v>2129</v>
      </c>
      <c r="CJ17" s="30" t="s">
        <v>2129</v>
      </c>
      <c r="CK17" s="30" t="s">
        <v>2129</v>
      </c>
      <c r="CL17" s="30" t="s">
        <v>2129</v>
      </c>
      <c r="CM17" s="30" t="s">
        <v>2129</v>
      </c>
      <c r="CN17" s="30" t="s">
        <v>2129</v>
      </c>
      <c r="CO17" s="30" t="s">
        <v>2129</v>
      </c>
      <c r="CP17" s="30" t="s">
        <v>2129</v>
      </c>
      <c r="CQ17" s="30" t="s">
        <v>2129</v>
      </c>
      <c r="CR17" s="30" t="s">
        <v>2129</v>
      </c>
      <c r="CS17" s="30"/>
      <c r="CT17" s="30" t="s">
        <v>2129</v>
      </c>
      <c r="CU17" s="30" t="s">
        <v>2129</v>
      </c>
      <c r="CV17" s="30" t="s">
        <v>2834</v>
      </c>
      <c r="CW17" s="30" t="s">
        <v>3185</v>
      </c>
      <c r="CX17" s="30" t="s">
        <v>2129</v>
      </c>
      <c r="CY17" s="30" t="s">
        <v>2129</v>
      </c>
      <c r="CZ17" s="30" t="s">
        <v>2129</v>
      </c>
      <c r="DA17" s="30" t="s">
        <v>2129</v>
      </c>
      <c r="DB17" s="30" t="s">
        <v>2129</v>
      </c>
      <c r="DC17" s="30" t="s">
        <v>2129</v>
      </c>
      <c r="DD17" s="30" t="s">
        <v>2129</v>
      </c>
      <c r="DE17" s="30" t="s">
        <v>2129</v>
      </c>
      <c r="DF17" s="30" t="s">
        <v>2129</v>
      </c>
      <c r="DG17" s="30" t="s">
        <v>2129</v>
      </c>
      <c r="DH17" s="30" t="s">
        <v>2129</v>
      </c>
      <c r="DI17" s="30" t="s">
        <v>2129</v>
      </c>
      <c r="DJ17" s="30" t="s">
        <v>2129</v>
      </c>
      <c r="DK17" s="30" t="s">
        <v>2129</v>
      </c>
      <c r="DL17" s="30" t="s">
        <v>2129</v>
      </c>
      <c r="DM17" s="30" t="s">
        <v>2129</v>
      </c>
      <c r="DN17" s="30" t="s">
        <v>2129</v>
      </c>
      <c r="DO17" s="30" t="s">
        <v>2129</v>
      </c>
      <c r="DP17" s="30" t="s">
        <v>2129</v>
      </c>
      <c r="DQ17" s="43" t="s">
        <v>2129</v>
      </c>
    </row>
    <row r="18" spans="1:121" x14ac:dyDescent="0.25">
      <c r="A18" s="39" t="s">
        <v>1723</v>
      </c>
      <c r="B18" s="29" t="s">
        <v>2835</v>
      </c>
      <c r="C18" s="29">
        <v>22955</v>
      </c>
      <c r="D18" s="29"/>
      <c r="E18" s="29" t="s">
        <v>2136</v>
      </c>
      <c r="F18" s="29" t="s">
        <v>16</v>
      </c>
      <c r="G18" s="29" t="s">
        <v>2140</v>
      </c>
      <c r="H18" s="29" t="s">
        <v>599</v>
      </c>
      <c r="I18" s="29" t="s">
        <v>2127</v>
      </c>
      <c r="J18" s="29" t="s">
        <v>2141</v>
      </c>
      <c r="K18" s="29" t="s">
        <v>2129</v>
      </c>
      <c r="L18" s="29" t="s">
        <v>2142</v>
      </c>
      <c r="M18" s="29" t="s">
        <v>2130</v>
      </c>
      <c r="N18" s="29" t="s">
        <v>16</v>
      </c>
      <c r="O18" s="29" t="s">
        <v>2141</v>
      </c>
      <c r="P18" s="29" t="s">
        <v>2141</v>
      </c>
      <c r="Q18" s="29" t="s">
        <v>2141</v>
      </c>
      <c r="R18" s="45">
        <v>46062.377083333333</v>
      </c>
      <c r="S18" s="45">
        <v>46076.377083333333</v>
      </c>
      <c r="T18" s="45">
        <v>46087.717361111114</v>
      </c>
      <c r="U18" s="45">
        <v>46076.377083333333</v>
      </c>
      <c r="V18" s="29" t="s">
        <v>2129</v>
      </c>
      <c r="W18" s="29" t="s">
        <v>2129</v>
      </c>
      <c r="X18" s="29" t="s">
        <v>2129</v>
      </c>
      <c r="Y18" s="29">
        <v>0</v>
      </c>
      <c r="Z18" s="29" t="s">
        <v>2129</v>
      </c>
      <c r="AA18" s="29" t="s">
        <v>2129</v>
      </c>
      <c r="AB18" s="29" t="s">
        <v>2129</v>
      </c>
      <c r="AC18" s="29" t="s">
        <v>2129</v>
      </c>
      <c r="AD18" s="29" t="s">
        <v>2141</v>
      </c>
      <c r="AE18" s="29" t="s">
        <v>2129</v>
      </c>
      <c r="AF18" s="29" t="s">
        <v>2129</v>
      </c>
      <c r="AG18" s="29" t="s">
        <v>2129</v>
      </c>
      <c r="AH18" s="29" t="s">
        <v>2129</v>
      </c>
      <c r="AI18" s="29" t="s">
        <v>2129</v>
      </c>
      <c r="AJ18" s="29" t="s">
        <v>2129</v>
      </c>
      <c r="AK18" s="29" t="s">
        <v>2129</v>
      </c>
      <c r="AL18" s="29" t="s">
        <v>2129</v>
      </c>
      <c r="AM18" s="29" t="s">
        <v>2129</v>
      </c>
      <c r="AN18" s="29" t="s">
        <v>2129</v>
      </c>
      <c r="AO18" s="29" t="s">
        <v>2129</v>
      </c>
      <c r="AP18" s="29" t="s">
        <v>2129</v>
      </c>
      <c r="AQ18" s="29" t="s">
        <v>2129</v>
      </c>
      <c r="AR18" s="29" t="s">
        <v>2129</v>
      </c>
      <c r="AS18" s="29" t="s">
        <v>2129</v>
      </c>
      <c r="AT18" s="29" t="s">
        <v>2129</v>
      </c>
      <c r="AU18" s="29" t="s">
        <v>2129</v>
      </c>
      <c r="AV18" s="29" t="s">
        <v>2129</v>
      </c>
      <c r="AW18" s="29" t="s">
        <v>2129</v>
      </c>
      <c r="AX18" s="29"/>
      <c r="AY18" s="29"/>
      <c r="AZ18" s="29" t="s">
        <v>2129</v>
      </c>
      <c r="BA18" s="29" t="s">
        <v>2129</v>
      </c>
      <c r="BB18" s="29"/>
      <c r="BC18" s="29"/>
      <c r="BD18" s="29" t="s">
        <v>2129</v>
      </c>
      <c r="BE18" s="29" t="s">
        <v>2129</v>
      </c>
      <c r="BF18" s="29" t="s">
        <v>2129</v>
      </c>
      <c r="BG18" s="29" t="s">
        <v>2129</v>
      </c>
      <c r="BH18" s="29" t="s">
        <v>2129</v>
      </c>
      <c r="BI18" s="29" t="s">
        <v>2129</v>
      </c>
      <c r="BJ18" s="29" t="s">
        <v>2129</v>
      </c>
      <c r="BK18" s="29" t="s">
        <v>2129</v>
      </c>
      <c r="BL18" s="29" t="s">
        <v>2129</v>
      </c>
      <c r="BM18" s="29" t="s">
        <v>2129</v>
      </c>
      <c r="BN18" s="29" t="s">
        <v>2129</v>
      </c>
      <c r="BO18" s="29" t="s">
        <v>2129</v>
      </c>
      <c r="BP18" s="29" t="s">
        <v>2129</v>
      </c>
      <c r="BQ18" s="29" t="s">
        <v>2129</v>
      </c>
      <c r="BR18" s="29" t="s">
        <v>2129</v>
      </c>
      <c r="BS18" s="29" t="s">
        <v>2129</v>
      </c>
      <c r="BT18" s="29" t="s">
        <v>2129</v>
      </c>
      <c r="BU18" s="29" t="s">
        <v>2129</v>
      </c>
      <c r="BV18" s="29" t="s">
        <v>2129</v>
      </c>
      <c r="BW18" s="29" t="s">
        <v>2129</v>
      </c>
      <c r="BX18" s="29" t="s">
        <v>2129</v>
      </c>
      <c r="BY18" s="29" t="s">
        <v>2129</v>
      </c>
      <c r="BZ18" s="29" t="s">
        <v>2129</v>
      </c>
      <c r="CA18" s="29" t="s">
        <v>2129</v>
      </c>
      <c r="CB18" s="29" t="s">
        <v>2129</v>
      </c>
      <c r="CC18" s="29" t="s">
        <v>2129</v>
      </c>
      <c r="CD18" s="29" t="s">
        <v>2129</v>
      </c>
      <c r="CE18" s="29" t="s">
        <v>2836</v>
      </c>
      <c r="CF18" s="29" t="s">
        <v>2821</v>
      </c>
      <c r="CG18" s="29" t="s">
        <v>2129</v>
      </c>
      <c r="CH18" s="29" t="s">
        <v>2129</v>
      </c>
      <c r="CI18" s="29" t="s">
        <v>2129</v>
      </c>
      <c r="CJ18" s="29" t="s">
        <v>2129</v>
      </c>
      <c r="CK18" s="29" t="s">
        <v>2129</v>
      </c>
      <c r="CL18" s="29" t="s">
        <v>2129</v>
      </c>
      <c r="CM18" s="29" t="s">
        <v>2129</v>
      </c>
      <c r="CN18" s="29" t="s">
        <v>2129</v>
      </c>
      <c r="CO18" s="29" t="s">
        <v>2129</v>
      </c>
      <c r="CP18" s="29" t="s">
        <v>2129</v>
      </c>
      <c r="CQ18" s="29" t="s">
        <v>2129</v>
      </c>
      <c r="CR18" s="29" t="s">
        <v>2129</v>
      </c>
      <c r="CS18" s="29"/>
      <c r="CT18" s="29" t="s">
        <v>2129</v>
      </c>
      <c r="CU18" s="29" t="s">
        <v>2129</v>
      </c>
      <c r="CV18" s="29" t="s">
        <v>2129</v>
      </c>
      <c r="CW18" s="29" t="s">
        <v>2129</v>
      </c>
      <c r="CX18" s="29" t="s">
        <v>2129</v>
      </c>
      <c r="CY18" s="29" t="s">
        <v>2129</v>
      </c>
      <c r="CZ18" s="29" t="s">
        <v>2129</v>
      </c>
      <c r="DA18" s="29" t="s">
        <v>2129</v>
      </c>
      <c r="DB18" s="29" t="s">
        <v>2129</v>
      </c>
      <c r="DC18" s="29" t="s">
        <v>2129</v>
      </c>
      <c r="DD18" s="29" t="s">
        <v>2129</v>
      </c>
      <c r="DE18" s="29" t="s">
        <v>2129</v>
      </c>
      <c r="DF18" s="29" t="s">
        <v>2129</v>
      </c>
      <c r="DG18" s="29" t="s">
        <v>2129</v>
      </c>
      <c r="DH18" s="29" t="s">
        <v>2129</v>
      </c>
      <c r="DI18" s="29" t="s">
        <v>2129</v>
      </c>
      <c r="DJ18" s="29" t="s">
        <v>2129</v>
      </c>
      <c r="DK18" s="29" t="s">
        <v>2129</v>
      </c>
      <c r="DL18" s="29" t="s">
        <v>2129</v>
      </c>
      <c r="DM18" s="29" t="s">
        <v>2129</v>
      </c>
      <c r="DN18" s="29" t="s">
        <v>2129</v>
      </c>
      <c r="DO18" s="29" t="s">
        <v>2129</v>
      </c>
      <c r="DP18" s="29" t="s">
        <v>2129</v>
      </c>
      <c r="DQ18" s="42" t="s">
        <v>2129</v>
      </c>
    </row>
    <row r="19" spans="1:121" x14ac:dyDescent="0.25">
      <c r="A19" s="36" t="s">
        <v>1723</v>
      </c>
      <c r="B19" s="30" t="s">
        <v>2837</v>
      </c>
      <c r="C19" s="30">
        <v>22954</v>
      </c>
      <c r="D19" s="30"/>
      <c r="E19" s="30" t="s">
        <v>2136</v>
      </c>
      <c r="F19" s="30" t="s">
        <v>16</v>
      </c>
      <c r="G19" s="30" t="s">
        <v>2140</v>
      </c>
      <c r="H19" s="30" t="s">
        <v>599</v>
      </c>
      <c r="I19" s="30" t="s">
        <v>2127</v>
      </c>
      <c r="J19" s="30" t="s">
        <v>2141</v>
      </c>
      <c r="K19" s="30" t="s">
        <v>2129</v>
      </c>
      <c r="L19" s="30" t="s">
        <v>2142</v>
      </c>
      <c r="M19" s="30" t="s">
        <v>2130</v>
      </c>
      <c r="N19" s="30" t="s">
        <v>16</v>
      </c>
      <c r="O19" s="30" t="s">
        <v>2141</v>
      </c>
      <c r="P19" s="30" t="s">
        <v>2141</v>
      </c>
      <c r="Q19" s="30" t="s">
        <v>2141</v>
      </c>
      <c r="R19" s="46">
        <v>46062.376388888886</v>
      </c>
      <c r="S19" s="46">
        <v>46076.377083333333</v>
      </c>
      <c r="T19" s="46">
        <v>46087.717361111114</v>
      </c>
      <c r="U19" s="46">
        <v>46076.377083333333</v>
      </c>
      <c r="V19" s="30" t="s">
        <v>2129</v>
      </c>
      <c r="W19" s="30" t="s">
        <v>2129</v>
      </c>
      <c r="X19" s="30" t="s">
        <v>2129</v>
      </c>
      <c r="Y19" s="30">
        <v>0</v>
      </c>
      <c r="Z19" s="30" t="s">
        <v>2129</v>
      </c>
      <c r="AA19" s="30" t="s">
        <v>2129</v>
      </c>
      <c r="AB19" s="30" t="s">
        <v>2129</v>
      </c>
      <c r="AC19" s="30" t="s">
        <v>2129</v>
      </c>
      <c r="AD19" s="30" t="s">
        <v>2141</v>
      </c>
      <c r="AE19" s="30" t="s">
        <v>2129</v>
      </c>
      <c r="AF19" s="30" t="s">
        <v>2129</v>
      </c>
      <c r="AG19" s="30" t="s">
        <v>2129</v>
      </c>
      <c r="AH19" s="30" t="s">
        <v>2129</v>
      </c>
      <c r="AI19" s="30" t="s">
        <v>2838</v>
      </c>
      <c r="AJ19" s="30" t="s">
        <v>2839</v>
      </c>
      <c r="AK19" s="30" t="s">
        <v>2840</v>
      </c>
      <c r="AL19" s="30" t="s">
        <v>2841</v>
      </c>
      <c r="AM19" s="30" t="s">
        <v>2842</v>
      </c>
      <c r="AN19" s="30" t="s">
        <v>3186</v>
      </c>
      <c r="AO19" s="30" t="s">
        <v>3187</v>
      </c>
      <c r="AP19" s="30" t="s">
        <v>2129</v>
      </c>
      <c r="AQ19" s="30" t="s">
        <v>2129</v>
      </c>
      <c r="AR19" s="30" t="s">
        <v>2129</v>
      </c>
      <c r="AS19" s="30" t="s">
        <v>2129</v>
      </c>
      <c r="AT19" s="30" t="s">
        <v>2129</v>
      </c>
      <c r="AU19" s="30" t="s">
        <v>2129</v>
      </c>
      <c r="AV19" s="30" t="s">
        <v>2129</v>
      </c>
      <c r="AW19" s="30" t="s">
        <v>2129</v>
      </c>
      <c r="AX19" s="30">
        <v>0</v>
      </c>
      <c r="AY19" s="30">
        <v>25920</v>
      </c>
      <c r="AZ19" s="30" t="s">
        <v>2129</v>
      </c>
      <c r="BA19" s="30" t="s">
        <v>2129</v>
      </c>
      <c r="BB19" s="30">
        <v>0</v>
      </c>
      <c r="BC19" s="30">
        <v>25920</v>
      </c>
      <c r="BD19" s="30" t="s">
        <v>2129</v>
      </c>
      <c r="BE19" s="30" t="s">
        <v>2129</v>
      </c>
      <c r="BF19" s="30" t="s">
        <v>2129</v>
      </c>
      <c r="BG19" s="30" t="s">
        <v>2129</v>
      </c>
      <c r="BH19" s="30" t="s">
        <v>2129</v>
      </c>
      <c r="BI19" s="30" t="s">
        <v>2129</v>
      </c>
      <c r="BJ19" s="30" t="s">
        <v>2129</v>
      </c>
      <c r="BK19" s="30" t="s">
        <v>2129</v>
      </c>
      <c r="BL19" s="30" t="s">
        <v>2129</v>
      </c>
      <c r="BM19" s="30" t="s">
        <v>2129</v>
      </c>
      <c r="BN19" s="30" t="s">
        <v>2129</v>
      </c>
      <c r="BO19" s="30" t="s">
        <v>2129</v>
      </c>
      <c r="BP19" s="30" t="s">
        <v>2129</v>
      </c>
      <c r="BQ19" s="30" t="s">
        <v>2129</v>
      </c>
      <c r="BR19" s="30" t="s">
        <v>2129</v>
      </c>
      <c r="BS19" s="30" t="s">
        <v>2129</v>
      </c>
      <c r="BT19" s="30" t="s">
        <v>2129</v>
      </c>
      <c r="BU19" s="30" t="s">
        <v>2129</v>
      </c>
      <c r="BV19" s="30" t="s">
        <v>2129</v>
      </c>
      <c r="BW19" s="30" t="s">
        <v>2129</v>
      </c>
      <c r="BX19" s="30" t="s">
        <v>2129</v>
      </c>
      <c r="BY19" s="30" t="s">
        <v>2129</v>
      </c>
      <c r="BZ19" s="30" t="s">
        <v>2129</v>
      </c>
      <c r="CA19" s="30" t="s">
        <v>2129</v>
      </c>
      <c r="CB19" s="30" t="s">
        <v>2129</v>
      </c>
      <c r="CC19" s="30" t="s">
        <v>2129</v>
      </c>
      <c r="CD19" s="30" t="s">
        <v>2129</v>
      </c>
      <c r="CE19" s="30" t="s">
        <v>2843</v>
      </c>
      <c r="CF19" s="30" t="s">
        <v>2821</v>
      </c>
      <c r="CG19" s="30" t="s">
        <v>2129</v>
      </c>
      <c r="CH19" s="30" t="s">
        <v>2129</v>
      </c>
      <c r="CI19" s="30" t="s">
        <v>2129</v>
      </c>
      <c r="CJ19" s="30" t="s">
        <v>2129</v>
      </c>
      <c r="CK19" s="30" t="s">
        <v>2129</v>
      </c>
      <c r="CL19" s="30" t="s">
        <v>2129</v>
      </c>
      <c r="CM19" s="30" t="s">
        <v>2129</v>
      </c>
      <c r="CN19" s="30" t="s">
        <v>2129</v>
      </c>
      <c r="CO19" s="30" t="s">
        <v>2129</v>
      </c>
      <c r="CP19" s="30" t="s">
        <v>2129</v>
      </c>
      <c r="CQ19" s="30" t="s">
        <v>2129</v>
      </c>
      <c r="CR19" s="30" t="s">
        <v>2129</v>
      </c>
      <c r="CS19" s="30"/>
      <c r="CT19" s="30" t="s">
        <v>2129</v>
      </c>
      <c r="CU19" s="30" t="s">
        <v>2129</v>
      </c>
      <c r="CV19" s="30" t="s">
        <v>2129</v>
      </c>
      <c r="CW19" s="30" t="s">
        <v>2129</v>
      </c>
      <c r="CX19" s="30" t="s">
        <v>2129</v>
      </c>
      <c r="CY19" s="30" t="s">
        <v>2129</v>
      </c>
      <c r="CZ19" s="30" t="s">
        <v>2129</v>
      </c>
      <c r="DA19" s="30" t="s">
        <v>2129</v>
      </c>
      <c r="DB19" s="30" t="s">
        <v>2129</v>
      </c>
      <c r="DC19" s="30" t="s">
        <v>2129</v>
      </c>
      <c r="DD19" s="30" t="s">
        <v>2129</v>
      </c>
      <c r="DE19" s="30" t="s">
        <v>2129</v>
      </c>
      <c r="DF19" s="30" t="s">
        <v>2129</v>
      </c>
      <c r="DG19" s="30" t="s">
        <v>2129</v>
      </c>
      <c r="DH19" s="30" t="s">
        <v>2129</v>
      </c>
      <c r="DI19" s="30" t="s">
        <v>2129</v>
      </c>
      <c r="DJ19" s="30" t="s">
        <v>2129</v>
      </c>
      <c r="DK19" s="30" t="s">
        <v>2129</v>
      </c>
      <c r="DL19" s="30" t="s">
        <v>2129</v>
      </c>
      <c r="DM19" s="30" t="s">
        <v>2129</v>
      </c>
      <c r="DN19" s="30" t="s">
        <v>2129</v>
      </c>
      <c r="DO19" s="30" t="s">
        <v>2129</v>
      </c>
      <c r="DP19" s="30" t="s">
        <v>2129</v>
      </c>
      <c r="DQ19" s="43" t="s">
        <v>2129</v>
      </c>
    </row>
    <row r="20" spans="1:121" x14ac:dyDescent="0.25">
      <c r="A20" s="39" t="s">
        <v>1723</v>
      </c>
      <c r="B20" s="29" t="s">
        <v>2844</v>
      </c>
      <c r="C20" s="29">
        <v>22953</v>
      </c>
      <c r="D20" s="29"/>
      <c r="E20" s="29" t="s">
        <v>2136</v>
      </c>
      <c r="F20" s="29" t="s">
        <v>16</v>
      </c>
      <c r="G20" s="29" t="s">
        <v>2140</v>
      </c>
      <c r="H20" s="29" t="s">
        <v>599</v>
      </c>
      <c r="I20" s="29" t="s">
        <v>2127</v>
      </c>
      <c r="J20" s="29" t="s">
        <v>2141</v>
      </c>
      <c r="K20" s="29" t="s">
        <v>2129</v>
      </c>
      <c r="L20" s="29" t="s">
        <v>2142</v>
      </c>
      <c r="M20" s="29" t="s">
        <v>2130</v>
      </c>
      <c r="N20" s="29" t="s">
        <v>16</v>
      </c>
      <c r="O20" s="29" t="s">
        <v>2141</v>
      </c>
      <c r="P20" s="29" t="s">
        <v>2141</v>
      </c>
      <c r="Q20" s="29" t="s">
        <v>2141</v>
      </c>
      <c r="R20" s="45">
        <v>46062.376388888886</v>
      </c>
      <c r="S20" s="45">
        <v>46076.377083333333</v>
      </c>
      <c r="T20" s="45">
        <v>46087.717361111114</v>
      </c>
      <c r="U20" s="45">
        <v>46076.377083333333</v>
      </c>
      <c r="V20" s="29" t="s">
        <v>2129</v>
      </c>
      <c r="W20" s="29" t="s">
        <v>2129</v>
      </c>
      <c r="X20" s="29" t="s">
        <v>2129</v>
      </c>
      <c r="Y20" s="29">
        <v>0</v>
      </c>
      <c r="Z20" s="29" t="s">
        <v>2129</v>
      </c>
      <c r="AA20" s="29" t="s">
        <v>2129</v>
      </c>
      <c r="AB20" s="29" t="s">
        <v>2129</v>
      </c>
      <c r="AC20" s="29" t="s">
        <v>2129</v>
      </c>
      <c r="AD20" s="29" t="s">
        <v>2141</v>
      </c>
      <c r="AE20" s="29" t="s">
        <v>2129</v>
      </c>
      <c r="AF20" s="29" t="s">
        <v>2129</v>
      </c>
      <c r="AG20" s="29" t="s">
        <v>2129</v>
      </c>
      <c r="AH20" s="29" t="s">
        <v>2129</v>
      </c>
      <c r="AI20" s="29" t="s">
        <v>2129</v>
      </c>
      <c r="AJ20" s="29" t="s">
        <v>2129</v>
      </c>
      <c r="AK20" s="29" t="s">
        <v>2129</v>
      </c>
      <c r="AL20" s="29" t="s">
        <v>2129</v>
      </c>
      <c r="AM20" s="29" t="s">
        <v>2129</v>
      </c>
      <c r="AN20" s="29" t="s">
        <v>2129</v>
      </c>
      <c r="AO20" s="29" t="s">
        <v>2129</v>
      </c>
      <c r="AP20" s="29" t="s">
        <v>2129</v>
      </c>
      <c r="AQ20" s="29" t="s">
        <v>2129</v>
      </c>
      <c r="AR20" s="29" t="s">
        <v>2129</v>
      </c>
      <c r="AS20" s="29" t="s">
        <v>2129</v>
      </c>
      <c r="AT20" s="29" t="s">
        <v>2129</v>
      </c>
      <c r="AU20" s="29" t="s">
        <v>2129</v>
      </c>
      <c r="AV20" s="29" t="s">
        <v>2129</v>
      </c>
      <c r="AW20" s="29" t="s">
        <v>2129</v>
      </c>
      <c r="AX20" s="29"/>
      <c r="AY20" s="29"/>
      <c r="AZ20" s="29" t="s">
        <v>2129</v>
      </c>
      <c r="BA20" s="29" t="s">
        <v>2129</v>
      </c>
      <c r="BB20" s="29"/>
      <c r="BC20" s="29"/>
      <c r="BD20" s="29" t="s">
        <v>2129</v>
      </c>
      <c r="BE20" s="29" t="s">
        <v>2129</v>
      </c>
      <c r="BF20" s="29" t="s">
        <v>2129</v>
      </c>
      <c r="BG20" s="29" t="s">
        <v>2129</v>
      </c>
      <c r="BH20" s="29" t="s">
        <v>2129</v>
      </c>
      <c r="BI20" s="29" t="s">
        <v>2129</v>
      </c>
      <c r="BJ20" s="29" t="s">
        <v>2129</v>
      </c>
      <c r="BK20" s="29" t="s">
        <v>2129</v>
      </c>
      <c r="BL20" s="29" t="s">
        <v>2129</v>
      </c>
      <c r="BM20" s="29" t="s">
        <v>2129</v>
      </c>
      <c r="BN20" s="29" t="s">
        <v>2129</v>
      </c>
      <c r="BO20" s="29" t="s">
        <v>2129</v>
      </c>
      <c r="BP20" s="29" t="s">
        <v>2129</v>
      </c>
      <c r="BQ20" s="29" t="s">
        <v>2129</v>
      </c>
      <c r="BR20" s="29" t="s">
        <v>2129</v>
      </c>
      <c r="BS20" s="29" t="s">
        <v>2129</v>
      </c>
      <c r="BT20" s="29" t="s">
        <v>2129</v>
      </c>
      <c r="BU20" s="29" t="s">
        <v>2129</v>
      </c>
      <c r="BV20" s="29" t="s">
        <v>2129</v>
      </c>
      <c r="BW20" s="29" t="s">
        <v>2129</v>
      </c>
      <c r="BX20" s="29" t="s">
        <v>2129</v>
      </c>
      <c r="BY20" s="29" t="s">
        <v>2129</v>
      </c>
      <c r="BZ20" s="29" t="s">
        <v>2129</v>
      </c>
      <c r="CA20" s="29" t="s">
        <v>2129</v>
      </c>
      <c r="CB20" s="29" t="s">
        <v>2129</v>
      </c>
      <c r="CC20" s="29" t="s">
        <v>2129</v>
      </c>
      <c r="CD20" s="29" t="s">
        <v>2129</v>
      </c>
      <c r="CE20" s="29" t="s">
        <v>2845</v>
      </c>
      <c r="CF20" s="29" t="s">
        <v>2821</v>
      </c>
      <c r="CG20" s="29" t="s">
        <v>2129</v>
      </c>
      <c r="CH20" s="29" t="s">
        <v>2129</v>
      </c>
      <c r="CI20" s="29" t="s">
        <v>2129</v>
      </c>
      <c r="CJ20" s="29" t="s">
        <v>2129</v>
      </c>
      <c r="CK20" s="29" t="s">
        <v>2129</v>
      </c>
      <c r="CL20" s="29" t="s">
        <v>2129</v>
      </c>
      <c r="CM20" s="29" t="s">
        <v>2129</v>
      </c>
      <c r="CN20" s="29" t="s">
        <v>2129</v>
      </c>
      <c r="CO20" s="29" t="s">
        <v>2129</v>
      </c>
      <c r="CP20" s="29" t="s">
        <v>2129</v>
      </c>
      <c r="CQ20" s="29" t="s">
        <v>2129</v>
      </c>
      <c r="CR20" s="29" t="s">
        <v>2129</v>
      </c>
      <c r="CS20" s="29"/>
      <c r="CT20" s="29" t="s">
        <v>2129</v>
      </c>
      <c r="CU20" s="29" t="s">
        <v>2129</v>
      </c>
      <c r="CV20" s="29" t="s">
        <v>2129</v>
      </c>
      <c r="CW20" s="29" t="s">
        <v>2129</v>
      </c>
      <c r="CX20" s="29" t="s">
        <v>2129</v>
      </c>
      <c r="CY20" s="29" t="s">
        <v>2129</v>
      </c>
      <c r="CZ20" s="29" t="s">
        <v>2129</v>
      </c>
      <c r="DA20" s="29" t="s">
        <v>2129</v>
      </c>
      <c r="DB20" s="29" t="s">
        <v>2129</v>
      </c>
      <c r="DC20" s="29" t="s">
        <v>2129</v>
      </c>
      <c r="DD20" s="29" t="s">
        <v>2129</v>
      </c>
      <c r="DE20" s="29" t="s">
        <v>2129</v>
      </c>
      <c r="DF20" s="29" t="s">
        <v>2129</v>
      </c>
      <c r="DG20" s="29" t="s">
        <v>2129</v>
      </c>
      <c r="DH20" s="29" t="s">
        <v>2129</v>
      </c>
      <c r="DI20" s="29" t="s">
        <v>2129</v>
      </c>
      <c r="DJ20" s="29" t="s">
        <v>2129</v>
      </c>
      <c r="DK20" s="29" t="s">
        <v>2129</v>
      </c>
      <c r="DL20" s="29" t="s">
        <v>2129</v>
      </c>
      <c r="DM20" s="29" t="s">
        <v>2129</v>
      </c>
      <c r="DN20" s="29" t="s">
        <v>2129</v>
      </c>
      <c r="DO20" s="29" t="s">
        <v>2129</v>
      </c>
      <c r="DP20" s="29" t="s">
        <v>2129</v>
      </c>
      <c r="DQ20" s="42" t="s">
        <v>2129</v>
      </c>
    </row>
    <row r="21" spans="1:121" x14ac:dyDescent="0.25">
      <c r="A21" s="36" t="s">
        <v>1723</v>
      </c>
      <c r="B21" s="30" t="s">
        <v>2846</v>
      </c>
      <c r="C21" s="30">
        <v>22952</v>
      </c>
      <c r="D21" s="30"/>
      <c r="E21" s="30" t="s">
        <v>2136</v>
      </c>
      <c r="F21" s="30" t="s">
        <v>16</v>
      </c>
      <c r="G21" s="30" t="s">
        <v>2140</v>
      </c>
      <c r="H21" s="30" t="s">
        <v>599</v>
      </c>
      <c r="I21" s="30" t="s">
        <v>2127</v>
      </c>
      <c r="J21" s="30" t="s">
        <v>2141</v>
      </c>
      <c r="K21" s="30" t="s">
        <v>2129</v>
      </c>
      <c r="L21" s="30" t="s">
        <v>2142</v>
      </c>
      <c r="M21" s="30" t="s">
        <v>2130</v>
      </c>
      <c r="N21" s="30" t="s">
        <v>16</v>
      </c>
      <c r="O21" s="30" t="s">
        <v>2141</v>
      </c>
      <c r="P21" s="30" t="s">
        <v>2141</v>
      </c>
      <c r="Q21" s="30" t="s">
        <v>2141</v>
      </c>
      <c r="R21" s="46">
        <v>46062.376388888886</v>
      </c>
      <c r="S21" s="46">
        <v>46076.37777777778</v>
      </c>
      <c r="T21" s="46">
        <v>46087.717361111114</v>
      </c>
      <c r="U21" s="46">
        <v>46076.37777777778</v>
      </c>
      <c r="V21" s="30" t="s">
        <v>2129</v>
      </c>
      <c r="W21" s="30" t="s">
        <v>2129</v>
      </c>
      <c r="X21" s="30" t="s">
        <v>2129</v>
      </c>
      <c r="Y21" s="30">
        <v>0</v>
      </c>
      <c r="Z21" s="30" t="s">
        <v>2129</v>
      </c>
      <c r="AA21" s="30" t="s">
        <v>2129</v>
      </c>
      <c r="AB21" s="30" t="s">
        <v>2129</v>
      </c>
      <c r="AC21" s="30" t="s">
        <v>2129</v>
      </c>
      <c r="AD21" s="30" t="s">
        <v>2141</v>
      </c>
      <c r="AE21" s="30" t="s">
        <v>2129</v>
      </c>
      <c r="AF21" s="30" t="s">
        <v>2129</v>
      </c>
      <c r="AG21" s="30" t="s">
        <v>2129</v>
      </c>
      <c r="AH21" s="30" t="s">
        <v>2129</v>
      </c>
      <c r="AI21" s="30" t="s">
        <v>2129</v>
      </c>
      <c r="AJ21" s="30" t="s">
        <v>2129</v>
      </c>
      <c r="AK21" s="30" t="s">
        <v>2129</v>
      </c>
      <c r="AL21" s="30" t="s">
        <v>2129</v>
      </c>
      <c r="AM21" s="30" t="s">
        <v>2129</v>
      </c>
      <c r="AN21" s="30" t="s">
        <v>2129</v>
      </c>
      <c r="AO21" s="30" t="s">
        <v>2129</v>
      </c>
      <c r="AP21" s="30" t="s">
        <v>2129</v>
      </c>
      <c r="AQ21" s="30" t="s">
        <v>2129</v>
      </c>
      <c r="AR21" s="30" t="s">
        <v>2129</v>
      </c>
      <c r="AS21" s="30" t="s">
        <v>2129</v>
      </c>
      <c r="AT21" s="30" t="s">
        <v>2129</v>
      </c>
      <c r="AU21" s="30" t="s">
        <v>2129</v>
      </c>
      <c r="AV21" s="30" t="s">
        <v>2129</v>
      </c>
      <c r="AW21" s="30" t="s">
        <v>2129</v>
      </c>
      <c r="AX21" s="30"/>
      <c r="AY21" s="30"/>
      <c r="AZ21" s="30" t="s">
        <v>2129</v>
      </c>
      <c r="BA21" s="30" t="s">
        <v>2129</v>
      </c>
      <c r="BB21" s="30"/>
      <c r="BC21" s="30"/>
      <c r="BD21" s="30" t="s">
        <v>2129</v>
      </c>
      <c r="BE21" s="30" t="s">
        <v>2129</v>
      </c>
      <c r="BF21" s="30" t="s">
        <v>2129</v>
      </c>
      <c r="BG21" s="30" t="s">
        <v>2129</v>
      </c>
      <c r="BH21" s="30" t="s">
        <v>2129</v>
      </c>
      <c r="BI21" s="30" t="s">
        <v>2129</v>
      </c>
      <c r="BJ21" s="30" t="s">
        <v>2129</v>
      </c>
      <c r="BK21" s="30" t="s">
        <v>2129</v>
      </c>
      <c r="BL21" s="30" t="s">
        <v>2129</v>
      </c>
      <c r="BM21" s="30" t="s">
        <v>2129</v>
      </c>
      <c r="BN21" s="30" t="s">
        <v>2129</v>
      </c>
      <c r="BO21" s="30" t="s">
        <v>2129</v>
      </c>
      <c r="BP21" s="30" t="s">
        <v>2129</v>
      </c>
      <c r="BQ21" s="30" t="s">
        <v>2129</v>
      </c>
      <c r="BR21" s="30" t="s">
        <v>2129</v>
      </c>
      <c r="BS21" s="30" t="s">
        <v>2129</v>
      </c>
      <c r="BT21" s="30" t="s">
        <v>2129</v>
      </c>
      <c r="BU21" s="30" t="s">
        <v>2129</v>
      </c>
      <c r="BV21" s="30" t="s">
        <v>2129</v>
      </c>
      <c r="BW21" s="30" t="s">
        <v>2129</v>
      </c>
      <c r="BX21" s="30" t="s">
        <v>2129</v>
      </c>
      <c r="BY21" s="30" t="s">
        <v>2129</v>
      </c>
      <c r="BZ21" s="30" t="s">
        <v>2129</v>
      </c>
      <c r="CA21" s="30" t="s">
        <v>2129</v>
      </c>
      <c r="CB21" s="30" t="s">
        <v>2129</v>
      </c>
      <c r="CC21" s="30" t="s">
        <v>2129</v>
      </c>
      <c r="CD21" s="30" t="s">
        <v>2129</v>
      </c>
      <c r="CE21" s="30" t="s">
        <v>2847</v>
      </c>
      <c r="CF21" s="30" t="s">
        <v>2821</v>
      </c>
      <c r="CG21" s="30" t="s">
        <v>2129</v>
      </c>
      <c r="CH21" s="30" t="s">
        <v>2129</v>
      </c>
      <c r="CI21" s="30" t="s">
        <v>2129</v>
      </c>
      <c r="CJ21" s="30" t="s">
        <v>2129</v>
      </c>
      <c r="CK21" s="30" t="s">
        <v>2129</v>
      </c>
      <c r="CL21" s="30" t="s">
        <v>2129</v>
      </c>
      <c r="CM21" s="30" t="s">
        <v>2129</v>
      </c>
      <c r="CN21" s="30" t="s">
        <v>2129</v>
      </c>
      <c r="CO21" s="30" t="s">
        <v>2129</v>
      </c>
      <c r="CP21" s="30" t="s">
        <v>2129</v>
      </c>
      <c r="CQ21" s="30" t="s">
        <v>2129</v>
      </c>
      <c r="CR21" s="30" t="s">
        <v>2129</v>
      </c>
      <c r="CS21" s="30"/>
      <c r="CT21" s="30" t="s">
        <v>2129</v>
      </c>
      <c r="CU21" s="30" t="s">
        <v>2129</v>
      </c>
      <c r="CV21" s="30" t="s">
        <v>2129</v>
      </c>
      <c r="CW21" s="30" t="s">
        <v>2129</v>
      </c>
      <c r="CX21" s="30" t="s">
        <v>2129</v>
      </c>
      <c r="CY21" s="30" t="s">
        <v>2129</v>
      </c>
      <c r="CZ21" s="30" t="s">
        <v>2129</v>
      </c>
      <c r="DA21" s="30" t="s">
        <v>2129</v>
      </c>
      <c r="DB21" s="30" t="s">
        <v>2129</v>
      </c>
      <c r="DC21" s="30" t="s">
        <v>2129</v>
      </c>
      <c r="DD21" s="30" t="s">
        <v>2129</v>
      </c>
      <c r="DE21" s="30" t="s">
        <v>2129</v>
      </c>
      <c r="DF21" s="30" t="s">
        <v>2129</v>
      </c>
      <c r="DG21" s="30" t="s">
        <v>2129</v>
      </c>
      <c r="DH21" s="30" t="s">
        <v>2129</v>
      </c>
      <c r="DI21" s="30" t="s">
        <v>2129</v>
      </c>
      <c r="DJ21" s="30" t="s">
        <v>2129</v>
      </c>
      <c r="DK21" s="30" t="s">
        <v>2129</v>
      </c>
      <c r="DL21" s="30" t="s">
        <v>2129</v>
      </c>
      <c r="DM21" s="30" t="s">
        <v>2129</v>
      </c>
      <c r="DN21" s="30" t="s">
        <v>2129</v>
      </c>
      <c r="DO21" s="30" t="s">
        <v>2129</v>
      </c>
      <c r="DP21" s="30" t="s">
        <v>2129</v>
      </c>
      <c r="DQ21" s="43" t="s">
        <v>2129</v>
      </c>
    </row>
    <row r="22" spans="1:121" x14ac:dyDescent="0.25">
      <c r="A22" s="39" t="s">
        <v>3188</v>
      </c>
      <c r="B22" s="29" t="s">
        <v>2708</v>
      </c>
      <c r="C22" s="29">
        <v>22880</v>
      </c>
      <c r="D22" s="29"/>
      <c r="E22" s="29" t="s">
        <v>14</v>
      </c>
      <c r="F22" s="29" t="s">
        <v>10</v>
      </c>
      <c r="G22" s="29" t="s">
        <v>2140</v>
      </c>
      <c r="H22" s="29" t="s">
        <v>599</v>
      </c>
      <c r="I22" s="29" t="s">
        <v>2127</v>
      </c>
      <c r="J22" s="29" t="s">
        <v>2141</v>
      </c>
      <c r="K22" s="29" t="s">
        <v>2129</v>
      </c>
      <c r="L22" s="29" t="s">
        <v>2142</v>
      </c>
      <c r="M22" s="29" t="s">
        <v>2130</v>
      </c>
      <c r="N22" s="29" t="s">
        <v>2129</v>
      </c>
      <c r="O22" s="29" t="s">
        <v>2141</v>
      </c>
      <c r="P22" s="29" t="s">
        <v>2145</v>
      </c>
      <c r="Q22" s="29" t="s">
        <v>2145</v>
      </c>
      <c r="R22" s="45">
        <v>46048.384027777778</v>
      </c>
      <c r="S22" s="45">
        <v>46077.637499999997</v>
      </c>
      <c r="T22" s="45">
        <v>46087.717361111114</v>
      </c>
      <c r="U22" s="45"/>
      <c r="V22" s="29" t="s">
        <v>2129</v>
      </c>
      <c r="W22" s="29" t="s">
        <v>2129</v>
      </c>
      <c r="X22" s="29" t="s">
        <v>2129</v>
      </c>
      <c r="Y22" s="29">
        <v>0</v>
      </c>
      <c r="Z22" s="29" t="s">
        <v>2129</v>
      </c>
      <c r="AA22" s="29" t="s">
        <v>2129</v>
      </c>
      <c r="AB22" s="29" t="s">
        <v>3189</v>
      </c>
      <c r="AC22" s="29" t="s">
        <v>2129</v>
      </c>
      <c r="AD22" s="29" t="s">
        <v>2145</v>
      </c>
      <c r="AE22" s="29" t="s">
        <v>2129</v>
      </c>
      <c r="AF22" s="29" t="s">
        <v>2129</v>
      </c>
      <c r="AG22" s="29" t="s">
        <v>2129</v>
      </c>
      <c r="AH22" s="29" t="s">
        <v>2129</v>
      </c>
      <c r="AI22" s="29" t="s">
        <v>2129</v>
      </c>
      <c r="AJ22" s="29" t="s">
        <v>2129</v>
      </c>
      <c r="AK22" s="29" t="s">
        <v>2129</v>
      </c>
      <c r="AL22" s="29" t="s">
        <v>2129</v>
      </c>
      <c r="AM22" s="29" t="s">
        <v>2129</v>
      </c>
      <c r="AN22" s="29" t="s">
        <v>2129</v>
      </c>
      <c r="AO22" s="29" t="s">
        <v>2129</v>
      </c>
      <c r="AP22" s="29" t="s">
        <v>2129</v>
      </c>
      <c r="AQ22" s="29" t="s">
        <v>2129</v>
      </c>
      <c r="AR22" s="29" t="s">
        <v>2129</v>
      </c>
      <c r="AS22" s="29" t="s">
        <v>2129</v>
      </c>
      <c r="AT22" s="29" t="s">
        <v>2129</v>
      </c>
      <c r="AU22" s="29" t="s">
        <v>2129</v>
      </c>
      <c r="AV22" s="29" t="s">
        <v>2129</v>
      </c>
      <c r="AW22" s="29" t="s">
        <v>2129</v>
      </c>
      <c r="AX22" s="29"/>
      <c r="AY22" s="29"/>
      <c r="AZ22" s="29" t="s">
        <v>2129</v>
      </c>
      <c r="BA22" s="29" t="s">
        <v>2129</v>
      </c>
      <c r="BB22" s="29"/>
      <c r="BC22" s="29"/>
      <c r="BD22" s="29" t="s">
        <v>2129</v>
      </c>
      <c r="BE22" s="29" t="s">
        <v>2129</v>
      </c>
      <c r="BF22" s="29" t="s">
        <v>2129</v>
      </c>
      <c r="BG22" s="29" t="s">
        <v>2129</v>
      </c>
      <c r="BH22" s="29" t="s">
        <v>2129</v>
      </c>
      <c r="BI22" s="29" t="s">
        <v>2129</v>
      </c>
      <c r="BJ22" s="29" t="s">
        <v>2129</v>
      </c>
      <c r="BK22" s="29" t="s">
        <v>2129</v>
      </c>
      <c r="BL22" s="29" t="s">
        <v>2129</v>
      </c>
      <c r="BM22" s="29" t="s">
        <v>2129</v>
      </c>
      <c r="BN22" s="29" t="s">
        <v>2129</v>
      </c>
      <c r="BO22" s="29" t="s">
        <v>2129</v>
      </c>
      <c r="BP22" s="29" t="s">
        <v>2129</v>
      </c>
      <c r="BQ22" s="29" t="s">
        <v>2129</v>
      </c>
      <c r="BR22" s="29" t="s">
        <v>2129</v>
      </c>
      <c r="BS22" s="29" t="s">
        <v>2129</v>
      </c>
      <c r="BT22" s="29" t="s">
        <v>2129</v>
      </c>
      <c r="BU22" s="29" t="s">
        <v>2129</v>
      </c>
      <c r="BV22" s="29" t="s">
        <v>2129</v>
      </c>
      <c r="BW22" s="29" t="s">
        <v>2129</v>
      </c>
      <c r="BX22" s="29" t="s">
        <v>2129</v>
      </c>
      <c r="BY22" s="29" t="s">
        <v>2129</v>
      </c>
      <c r="BZ22" s="29" t="s">
        <v>2129</v>
      </c>
      <c r="CA22" s="29" t="s">
        <v>2129</v>
      </c>
      <c r="CB22" s="29" t="s">
        <v>2129</v>
      </c>
      <c r="CC22" s="29" t="s">
        <v>2129</v>
      </c>
      <c r="CD22" s="29" t="s">
        <v>2129</v>
      </c>
      <c r="CE22" s="29" t="s">
        <v>3190</v>
      </c>
      <c r="CF22" s="29" t="s">
        <v>3154</v>
      </c>
      <c r="CG22" s="29" t="s">
        <v>2129</v>
      </c>
      <c r="CH22" s="29" t="s">
        <v>2129</v>
      </c>
      <c r="CI22" s="29" t="s">
        <v>2129</v>
      </c>
      <c r="CJ22" s="29" t="s">
        <v>2129</v>
      </c>
      <c r="CK22" s="29" t="s">
        <v>2129</v>
      </c>
      <c r="CL22" s="29" t="s">
        <v>2129</v>
      </c>
      <c r="CM22" s="29" t="s">
        <v>2129</v>
      </c>
      <c r="CN22" s="29" t="s">
        <v>2129</v>
      </c>
      <c r="CO22" s="29" t="s">
        <v>2129</v>
      </c>
      <c r="CP22" s="29" t="s">
        <v>2129</v>
      </c>
      <c r="CQ22" s="29" t="s">
        <v>2129</v>
      </c>
      <c r="CR22" s="29" t="s">
        <v>2129</v>
      </c>
      <c r="CS22" s="29"/>
      <c r="CT22" s="29" t="s">
        <v>2129</v>
      </c>
      <c r="CU22" s="29" t="s">
        <v>2129</v>
      </c>
      <c r="CV22" s="29" t="s">
        <v>3191</v>
      </c>
      <c r="CW22" s="29" t="s">
        <v>2129</v>
      </c>
      <c r="CX22" s="29" t="s">
        <v>2129</v>
      </c>
      <c r="CY22" s="29" t="s">
        <v>2129</v>
      </c>
      <c r="CZ22" s="29" t="s">
        <v>2129</v>
      </c>
      <c r="DA22" s="29" t="s">
        <v>2129</v>
      </c>
      <c r="DB22" s="29" t="s">
        <v>2129</v>
      </c>
      <c r="DC22" s="29" t="s">
        <v>2129</v>
      </c>
      <c r="DD22" s="29" t="s">
        <v>2129</v>
      </c>
      <c r="DE22" s="29" t="s">
        <v>2129</v>
      </c>
      <c r="DF22" s="29" t="s">
        <v>2129</v>
      </c>
      <c r="DG22" s="29" t="s">
        <v>2129</v>
      </c>
      <c r="DH22" s="29" t="s">
        <v>2129</v>
      </c>
      <c r="DI22" s="29" t="s">
        <v>2129</v>
      </c>
      <c r="DJ22" s="29" t="s">
        <v>2129</v>
      </c>
      <c r="DK22" s="29" t="s">
        <v>2129</v>
      </c>
      <c r="DL22" s="29" t="s">
        <v>2129</v>
      </c>
      <c r="DM22" s="29" t="s">
        <v>2129</v>
      </c>
      <c r="DN22" s="29" t="s">
        <v>2129</v>
      </c>
      <c r="DO22" s="29" t="s">
        <v>2129</v>
      </c>
      <c r="DP22" s="29" t="s">
        <v>2129</v>
      </c>
      <c r="DQ22" s="42" t="s">
        <v>2129</v>
      </c>
    </row>
    <row r="23" spans="1:121" x14ac:dyDescent="0.25">
      <c r="A23" s="36" t="s">
        <v>2765</v>
      </c>
      <c r="B23" s="30" t="s">
        <v>2764</v>
      </c>
      <c r="C23" s="30">
        <v>22879</v>
      </c>
      <c r="D23" s="30"/>
      <c r="E23" s="30" t="s">
        <v>14</v>
      </c>
      <c r="F23" s="30" t="s">
        <v>1820</v>
      </c>
      <c r="G23" s="30" t="s">
        <v>2140</v>
      </c>
      <c r="H23" s="30" t="s">
        <v>599</v>
      </c>
      <c r="I23" s="30" t="s">
        <v>2127</v>
      </c>
      <c r="J23" s="30" t="s">
        <v>2141</v>
      </c>
      <c r="K23" s="30" t="s">
        <v>2129</v>
      </c>
      <c r="L23" s="30" t="s">
        <v>2142</v>
      </c>
      <c r="M23" s="30" t="s">
        <v>2130</v>
      </c>
      <c r="N23" s="30" t="s">
        <v>2129</v>
      </c>
      <c r="O23" s="30" t="s">
        <v>2306</v>
      </c>
      <c r="P23" s="30" t="s">
        <v>2145</v>
      </c>
      <c r="Q23" s="30" t="s">
        <v>2145</v>
      </c>
      <c r="R23" s="46">
        <v>46048.376388888886</v>
      </c>
      <c r="S23" s="46">
        <v>46076.37777777778</v>
      </c>
      <c r="T23" s="46">
        <v>46087.717361111114</v>
      </c>
      <c r="U23" s="46"/>
      <c r="V23" s="30" t="s">
        <v>2129</v>
      </c>
      <c r="W23" s="30" t="s">
        <v>2129</v>
      </c>
      <c r="X23" s="30" t="s">
        <v>2129</v>
      </c>
      <c r="Y23" s="30">
        <v>0</v>
      </c>
      <c r="Z23" s="30" t="s">
        <v>2129</v>
      </c>
      <c r="AA23" s="30" t="s">
        <v>2129</v>
      </c>
      <c r="AB23" s="30" t="s">
        <v>2848</v>
      </c>
      <c r="AC23" s="30" t="s">
        <v>2129</v>
      </c>
      <c r="AD23" s="30" t="s">
        <v>2141</v>
      </c>
      <c r="AE23" s="30" t="s">
        <v>2145</v>
      </c>
      <c r="AF23" s="30" t="s">
        <v>2129</v>
      </c>
      <c r="AG23" s="30" t="s">
        <v>2129</v>
      </c>
      <c r="AH23" s="30" t="s">
        <v>2129</v>
      </c>
      <c r="AI23" s="30" t="s">
        <v>2129</v>
      </c>
      <c r="AJ23" s="30" t="s">
        <v>2129</v>
      </c>
      <c r="AK23" s="30" t="s">
        <v>2129</v>
      </c>
      <c r="AL23" s="30" t="s">
        <v>2129</v>
      </c>
      <c r="AM23" s="30" t="s">
        <v>2129</v>
      </c>
      <c r="AN23" s="30" t="s">
        <v>2129</v>
      </c>
      <c r="AO23" s="30" t="s">
        <v>2129</v>
      </c>
      <c r="AP23" s="30" t="s">
        <v>2129</v>
      </c>
      <c r="AQ23" s="30" t="s">
        <v>2129</v>
      </c>
      <c r="AR23" s="30" t="s">
        <v>2129</v>
      </c>
      <c r="AS23" s="30" t="s">
        <v>2129</v>
      </c>
      <c r="AT23" s="30" t="s">
        <v>2129</v>
      </c>
      <c r="AU23" s="30" t="s">
        <v>2129</v>
      </c>
      <c r="AV23" s="30" t="s">
        <v>2129</v>
      </c>
      <c r="AW23" s="30" t="s">
        <v>2129</v>
      </c>
      <c r="AX23" s="30"/>
      <c r="AY23" s="30"/>
      <c r="AZ23" s="30" t="s">
        <v>2129</v>
      </c>
      <c r="BA23" s="30" t="s">
        <v>2129</v>
      </c>
      <c r="BB23" s="30"/>
      <c r="BC23" s="30"/>
      <c r="BD23" s="30" t="s">
        <v>2129</v>
      </c>
      <c r="BE23" s="30" t="s">
        <v>2129</v>
      </c>
      <c r="BF23" s="30" t="s">
        <v>2129</v>
      </c>
      <c r="BG23" s="30" t="s">
        <v>2708</v>
      </c>
      <c r="BH23" s="30" t="s">
        <v>2129</v>
      </c>
      <c r="BI23" s="30" t="s">
        <v>2129</v>
      </c>
      <c r="BJ23" s="30" t="s">
        <v>2129</v>
      </c>
      <c r="BK23" s="30" t="s">
        <v>2129</v>
      </c>
      <c r="BL23" s="30" t="s">
        <v>2129</v>
      </c>
      <c r="BM23" s="30" t="s">
        <v>2129</v>
      </c>
      <c r="BN23" s="30" t="s">
        <v>2129</v>
      </c>
      <c r="BO23" s="30" t="s">
        <v>2129</v>
      </c>
      <c r="BP23" s="30" t="s">
        <v>2129</v>
      </c>
      <c r="BQ23" s="30" t="s">
        <v>2129</v>
      </c>
      <c r="BR23" s="30" t="s">
        <v>2129</v>
      </c>
      <c r="BS23" s="30" t="s">
        <v>2129</v>
      </c>
      <c r="BT23" s="30" t="s">
        <v>2129</v>
      </c>
      <c r="BU23" s="30" t="s">
        <v>2129</v>
      </c>
      <c r="BV23" s="30" t="s">
        <v>2129</v>
      </c>
      <c r="BW23" s="30" t="s">
        <v>2129</v>
      </c>
      <c r="BX23" s="30" t="s">
        <v>2129</v>
      </c>
      <c r="BY23" s="30" t="s">
        <v>2129</v>
      </c>
      <c r="BZ23" s="30" t="s">
        <v>2129</v>
      </c>
      <c r="CA23" s="30" t="s">
        <v>2129</v>
      </c>
      <c r="CB23" s="30" t="s">
        <v>2129</v>
      </c>
      <c r="CC23" s="30" t="s">
        <v>2129</v>
      </c>
      <c r="CD23" s="30" t="s">
        <v>2129</v>
      </c>
      <c r="CE23" s="30" t="s">
        <v>3192</v>
      </c>
      <c r="CF23" s="30" t="s">
        <v>2821</v>
      </c>
      <c r="CG23" s="30" t="s">
        <v>3154</v>
      </c>
      <c r="CH23" s="30" t="s">
        <v>2129</v>
      </c>
      <c r="CI23" s="30" t="s">
        <v>2129</v>
      </c>
      <c r="CJ23" s="30" t="s">
        <v>2129</v>
      </c>
      <c r="CK23" s="30" t="s">
        <v>2129</v>
      </c>
      <c r="CL23" s="30" t="s">
        <v>2129</v>
      </c>
      <c r="CM23" s="30" t="s">
        <v>2129</v>
      </c>
      <c r="CN23" s="30" t="s">
        <v>2129</v>
      </c>
      <c r="CO23" s="30" t="s">
        <v>2129</v>
      </c>
      <c r="CP23" s="30" t="s">
        <v>2129</v>
      </c>
      <c r="CQ23" s="30" t="s">
        <v>2129</v>
      </c>
      <c r="CR23" s="30" t="s">
        <v>2129</v>
      </c>
      <c r="CS23" s="30">
        <v>30</v>
      </c>
      <c r="CT23" s="30" t="s">
        <v>2129</v>
      </c>
      <c r="CU23" s="30" t="s">
        <v>2129</v>
      </c>
      <c r="CV23" s="30" t="s">
        <v>2849</v>
      </c>
      <c r="CW23" s="30" t="s">
        <v>2129</v>
      </c>
      <c r="CX23" s="30" t="s">
        <v>2129</v>
      </c>
      <c r="CY23" s="30" t="s">
        <v>2129</v>
      </c>
      <c r="CZ23" s="30" t="s">
        <v>2129</v>
      </c>
      <c r="DA23" s="30" t="s">
        <v>2129</v>
      </c>
      <c r="DB23" s="30" t="s">
        <v>2129</v>
      </c>
      <c r="DC23" s="30" t="s">
        <v>2129</v>
      </c>
      <c r="DD23" s="30" t="s">
        <v>2129</v>
      </c>
      <c r="DE23" s="30" t="s">
        <v>2129</v>
      </c>
      <c r="DF23" s="30" t="s">
        <v>2129</v>
      </c>
      <c r="DG23" s="30" t="s">
        <v>2129</v>
      </c>
      <c r="DH23" s="30" t="s">
        <v>2129</v>
      </c>
      <c r="DI23" s="30" t="s">
        <v>2129</v>
      </c>
      <c r="DJ23" s="30" t="s">
        <v>2129</v>
      </c>
      <c r="DK23" s="30" t="s">
        <v>2129</v>
      </c>
      <c r="DL23" s="30" t="s">
        <v>2129</v>
      </c>
      <c r="DM23" s="30" t="s">
        <v>2129</v>
      </c>
      <c r="DN23" s="30" t="s">
        <v>2129</v>
      </c>
      <c r="DO23" s="30" t="s">
        <v>2129</v>
      </c>
      <c r="DP23" s="30" t="s">
        <v>2129</v>
      </c>
      <c r="DQ23" s="43" t="s">
        <v>2129</v>
      </c>
    </row>
    <row r="24" spans="1:121" x14ac:dyDescent="0.25">
      <c r="A24" s="39" t="s">
        <v>2461</v>
      </c>
      <c r="B24" s="29" t="s">
        <v>2483</v>
      </c>
      <c r="C24" s="29">
        <v>22780</v>
      </c>
      <c r="D24" s="29"/>
      <c r="E24" s="29" t="s">
        <v>14</v>
      </c>
      <c r="F24" s="29" t="s">
        <v>10</v>
      </c>
      <c r="G24" s="29" t="s">
        <v>2140</v>
      </c>
      <c r="H24" s="29" t="s">
        <v>599</v>
      </c>
      <c r="I24" s="29" t="s">
        <v>2127</v>
      </c>
      <c r="J24" s="29" t="s">
        <v>2141</v>
      </c>
      <c r="K24" s="29" t="s">
        <v>2129</v>
      </c>
      <c r="L24" s="29" t="s">
        <v>2142</v>
      </c>
      <c r="M24" s="29" t="s">
        <v>2130</v>
      </c>
      <c r="N24" s="29" t="s">
        <v>2129</v>
      </c>
      <c r="O24" s="29" t="s">
        <v>2306</v>
      </c>
      <c r="P24" s="29" t="s">
        <v>2145</v>
      </c>
      <c r="Q24" s="29" t="s">
        <v>2145</v>
      </c>
      <c r="R24" s="45">
        <v>46031.005555555559</v>
      </c>
      <c r="S24" s="45">
        <v>46076.37777777778</v>
      </c>
      <c r="T24" s="45">
        <v>46087.717361111114</v>
      </c>
      <c r="U24" s="45"/>
      <c r="V24" s="29" t="s">
        <v>2129</v>
      </c>
      <c r="W24" s="29" t="s">
        <v>2129</v>
      </c>
      <c r="X24" s="29" t="s">
        <v>2129</v>
      </c>
      <c r="Y24" s="29">
        <v>0</v>
      </c>
      <c r="Z24" s="29" t="s">
        <v>2129</v>
      </c>
      <c r="AA24" s="29" t="s">
        <v>2129</v>
      </c>
      <c r="AB24" s="29" t="s">
        <v>3193</v>
      </c>
      <c r="AC24" s="29" t="s">
        <v>2129</v>
      </c>
      <c r="AD24" s="29" t="s">
        <v>2145</v>
      </c>
      <c r="AE24" s="29" t="s">
        <v>2129</v>
      </c>
      <c r="AF24" s="29" t="s">
        <v>2129</v>
      </c>
      <c r="AG24" s="29" t="s">
        <v>2129</v>
      </c>
      <c r="AH24" s="29" t="s">
        <v>2129</v>
      </c>
      <c r="AI24" s="29" t="s">
        <v>2129</v>
      </c>
      <c r="AJ24" s="29" t="s">
        <v>2129</v>
      </c>
      <c r="AK24" s="29" t="s">
        <v>2129</v>
      </c>
      <c r="AL24" s="29" t="s">
        <v>2129</v>
      </c>
      <c r="AM24" s="29" t="s">
        <v>2129</v>
      </c>
      <c r="AN24" s="29" t="s">
        <v>2129</v>
      </c>
      <c r="AO24" s="29" t="s">
        <v>2129</v>
      </c>
      <c r="AP24" s="29" t="s">
        <v>2129</v>
      </c>
      <c r="AQ24" s="29" t="s">
        <v>2129</v>
      </c>
      <c r="AR24" s="29" t="s">
        <v>2129</v>
      </c>
      <c r="AS24" s="29" t="s">
        <v>2129</v>
      </c>
      <c r="AT24" s="29" t="s">
        <v>2129</v>
      </c>
      <c r="AU24" s="29" t="s">
        <v>2129</v>
      </c>
      <c r="AV24" s="29" t="s">
        <v>2129</v>
      </c>
      <c r="AW24" s="29" t="s">
        <v>2129</v>
      </c>
      <c r="AX24" s="29"/>
      <c r="AY24" s="29"/>
      <c r="AZ24" s="29" t="s">
        <v>2129</v>
      </c>
      <c r="BA24" s="29" t="s">
        <v>2129</v>
      </c>
      <c r="BB24" s="29"/>
      <c r="BC24" s="29"/>
      <c r="BD24" s="29" t="s">
        <v>2129</v>
      </c>
      <c r="BE24" s="29" t="s">
        <v>2129</v>
      </c>
      <c r="BF24" s="29" t="s">
        <v>2129</v>
      </c>
      <c r="BG24" s="29" t="s">
        <v>2518</v>
      </c>
      <c r="BH24" s="29" t="s">
        <v>2129</v>
      </c>
      <c r="BI24" s="29" t="s">
        <v>2129</v>
      </c>
      <c r="BJ24" s="29" t="s">
        <v>2129</v>
      </c>
      <c r="BK24" s="29" t="s">
        <v>3194</v>
      </c>
      <c r="BL24" s="29" t="s">
        <v>2129</v>
      </c>
      <c r="BM24" s="29" t="s">
        <v>2129</v>
      </c>
      <c r="BN24" s="29" t="s">
        <v>2129</v>
      </c>
      <c r="BO24" s="29" t="s">
        <v>2129</v>
      </c>
      <c r="BP24" s="29" t="s">
        <v>2129</v>
      </c>
      <c r="BQ24" s="29" t="s">
        <v>2129</v>
      </c>
      <c r="BR24" s="29" t="s">
        <v>2129</v>
      </c>
      <c r="BS24" s="29" t="s">
        <v>2129</v>
      </c>
      <c r="BT24" s="29" t="s">
        <v>2129</v>
      </c>
      <c r="BU24" s="29" t="s">
        <v>2129</v>
      </c>
      <c r="BV24" s="29" t="s">
        <v>2129</v>
      </c>
      <c r="BW24" s="29" t="s">
        <v>2129</v>
      </c>
      <c r="BX24" s="29" t="s">
        <v>2485</v>
      </c>
      <c r="BY24" s="29" t="s">
        <v>2129</v>
      </c>
      <c r="BZ24" s="29" t="s">
        <v>2129</v>
      </c>
      <c r="CA24" s="29" t="s">
        <v>2129</v>
      </c>
      <c r="CB24" s="29" t="s">
        <v>2129</v>
      </c>
      <c r="CC24" s="29" t="s">
        <v>2129</v>
      </c>
      <c r="CD24" s="29" t="s">
        <v>2129</v>
      </c>
      <c r="CE24" s="29" t="s">
        <v>3195</v>
      </c>
      <c r="CF24" s="29" t="s">
        <v>2604</v>
      </c>
      <c r="CG24" s="29" t="s">
        <v>2703</v>
      </c>
      <c r="CH24" s="29" t="s">
        <v>2821</v>
      </c>
      <c r="CI24" s="29" t="s">
        <v>3154</v>
      </c>
      <c r="CJ24" s="29" t="s">
        <v>2129</v>
      </c>
      <c r="CK24" s="29" t="s">
        <v>2129</v>
      </c>
      <c r="CL24" s="29" t="s">
        <v>2129</v>
      </c>
      <c r="CM24" s="29" t="s">
        <v>2129</v>
      </c>
      <c r="CN24" s="29" t="s">
        <v>2129</v>
      </c>
      <c r="CO24" s="29" t="s">
        <v>2129</v>
      </c>
      <c r="CP24" s="29" t="s">
        <v>2129</v>
      </c>
      <c r="CQ24" s="29" t="s">
        <v>2129</v>
      </c>
      <c r="CR24" s="29" t="s">
        <v>2129</v>
      </c>
      <c r="CS24" s="29"/>
      <c r="CT24" s="29" t="s">
        <v>2129</v>
      </c>
      <c r="CU24" s="29" t="s">
        <v>2129</v>
      </c>
      <c r="CV24" s="29" t="s">
        <v>3196</v>
      </c>
      <c r="CW24" s="29" t="s">
        <v>2129</v>
      </c>
      <c r="CX24" s="29" t="s">
        <v>2129</v>
      </c>
      <c r="CY24" s="29" t="s">
        <v>2129</v>
      </c>
      <c r="CZ24" s="29" t="s">
        <v>2129</v>
      </c>
      <c r="DA24" s="29" t="s">
        <v>2129</v>
      </c>
      <c r="DB24" s="29" t="s">
        <v>2129</v>
      </c>
      <c r="DC24" s="29" t="s">
        <v>2129</v>
      </c>
      <c r="DD24" s="29" t="s">
        <v>2129</v>
      </c>
      <c r="DE24" s="29" t="s">
        <v>2129</v>
      </c>
      <c r="DF24" s="29" t="s">
        <v>2129</v>
      </c>
      <c r="DG24" s="29" t="s">
        <v>2129</v>
      </c>
      <c r="DH24" s="29" t="s">
        <v>2129</v>
      </c>
      <c r="DI24" s="29" t="s">
        <v>2129</v>
      </c>
      <c r="DJ24" s="29" t="s">
        <v>2129</v>
      </c>
      <c r="DK24" s="29" t="s">
        <v>2129</v>
      </c>
      <c r="DL24" s="29" t="s">
        <v>2129</v>
      </c>
      <c r="DM24" s="29" t="s">
        <v>2129</v>
      </c>
      <c r="DN24" s="29" t="s">
        <v>2129</v>
      </c>
      <c r="DO24" s="29" t="s">
        <v>2129</v>
      </c>
      <c r="DP24" s="29" t="s">
        <v>2129</v>
      </c>
      <c r="DQ24" s="42" t="s">
        <v>2129</v>
      </c>
    </row>
    <row r="25" spans="1:121" x14ac:dyDescent="0.25">
      <c r="A25" s="36" t="s">
        <v>2363</v>
      </c>
      <c r="B25" s="30" t="s">
        <v>2362</v>
      </c>
      <c r="C25" s="30">
        <v>22731</v>
      </c>
      <c r="D25" s="30"/>
      <c r="E25" s="30" t="s">
        <v>14</v>
      </c>
      <c r="F25" s="30" t="s">
        <v>16</v>
      </c>
      <c r="G25" s="30" t="s">
        <v>2140</v>
      </c>
      <c r="H25" s="30" t="s">
        <v>599</v>
      </c>
      <c r="I25" s="30" t="s">
        <v>2127</v>
      </c>
      <c r="J25" s="30" t="s">
        <v>2141</v>
      </c>
      <c r="K25" s="30" t="s">
        <v>2129</v>
      </c>
      <c r="L25" s="30" t="s">
        <v>2142</v>
      </c>
      <c r="M25" s="30" t="s">
        <v>2130</v>
      </c>
      <c r="N25" s="30" t="s">
        <v>2153</v>
      </c>
      <c r="O25" s="30" t="s">
        <v>2150</v>
      </c>
      <c r="P25" s="30" t="s">
        <v>2145</v>
      </c>
      <c r="Q25" s="30" t="s">
        <v>2145</v>
      </c>
      <c r="R25" s="46">
        <v>46017.538194444445</v>
      </c>
      <c r="S25" s="46">
        <v>46083.668749999997</v>
      </c>
      <c r="T25" s="46">
        <v>46087.717361111114</v>
      </c>
      <c r="U25" s="46">
        <v>46077.640972222223</v>
      </c>
      <c r="V25" s="30" t="s">
        <v>2605</v>
      </c>
      <c r="W25" s="30" t="s">
        <v>2129</v>
      </c>
      <c r="X25" s="30" t="s">
        <v>2129</v>
      </c>
      <c r="Y25" s="30">
        <v>0</v>
      </c>
      <c r="Z25" s="30" t="s">
        <v>2129</v>
      </c>
      <c r="AA25" s="30" t="s">
        <v>2129</v>
      </c>
      <c r="AB25" s="30" t="s">
        <v>2851</v>
      </c>
      <c r="AC25" s="30" t="s">
        <v>2129</v>
      </c>
      <c r="AD25" s="30" t="s">
        <v>2141</v>
      </c>
      <c r="AE25" s="30" t="s">
        <v>2305</v>
      </c>
      <c r="AF25" s="30" t="s">
        <v>2151</v>
      </c>
      <c r="AG25" s="30" t="s">
        <v>2145</v>
      </c>
      <c r="AH25" s="30" t="s">
        <v>2150</v>
      </c>
      <c r="AI25" s="30" t="s">
        <v>2852</v>
      </c>
      <c r="AJ25" s="30" t="s">
        <v>2852</v>
      </c>
      <c r="AK25" s="30" t="s">
        <v>2853</v>
      </c>
      <c r="AL25" s="30" t="s">
        <v>2854</v>
      </c>
      <c r="AM25" s="30" t="s">
        <v>3197</v>
      </c>
      <c r="AN25" s="30" t="s">
        <v>2129</v>
      </c>
      <c r="AO25" s="30" t="s">
        <v>2129</v>
      </c>
      <c r="AP25" s="30" t="s">
        <v>2129</v>
      </c>
      <c r="AQ25" s="30" t="s">
        <v>2129</v>
      </c>
      <c r="AR25" s="30" t="s">
        <v>2129</v>
      </c>
      <c r="AS25" s="30" t="s">
        <v>2129</v>
      </c>
      <c r="AT25" s="30" t="s">
        <v>2129</v>
      </c>
      <c r="AU25" s="30" t="s">
        <v>2129</v>
      </c>
      <c r="AV25" s="30" t="s">
        <v>2129</v>
      </c>
      <c r="AW25" s="30" t="s">
        <v>2129</v>
      </c>
      <c r="AX25" s="30">
        <v>0</v>
      </c>
      <c r="AY25" s="30">
        <v>25200</v>
      </c>
      <c r="AZ25" s="30" t="s">
        <v>2129</v>
      </c>
      <c r="BA25" s="30" t="s">
        <v>2129</v>
      </c>
      <c r="BB25" s="30">
        <v>0</v>
      </c>
      <c r="BC25" s="30">
        <v>171000</v>
      </c>
      <c r="BD25" s="30" t="s">
        <v>2129</v>
      </c>
      <c r="BE25" s="30" t="s">
        <v>2129</v>
      </c>
      <c r="BF25" s="30" t="s">
        <v>2129</v>
      </c>
      <c r="BG25" s="30" t="s">
        <v>2129</v>
      </c>
      <c r="BH25" s="30" t="s">
        <v>2129</v>
      </c>
      <c r="BI25" s="30" t="s">
        <v>2129</v>
      </c>
      <c r="BJ25" s="30" t="s">
        <v>2129</v>
      </c>
      <c r="BK25" s="30" t="s">
        <v>3198</v>
      </c>
      <c r="BL25" s="30" t="s">
        <v>2129</v>
      </c>
      <c r="BM25" s="30" t="s">
        <v>2129</v>
      </c>
      <c r="BN25" s="30" t="s">
        <v>2129</v>
      </c>
      <c r="BO25" s="30" t="s">
        <v>2129</v>
      </c>
      <c r="BP25" s="30" t="s">
        <v>2129</v>
      </c>
      <c r="BQ25" s="30" t="s">
        <v>2129</v>
      </c>
      <c r="BR25" s="30" t="s">
        <v>2129</v>
      </c>
      <c r="BS25" s="30" t="s">
        <v>2129</v>
      </c>
      <c r="BT25" s="30" t="s">
        <v>2129</v>
      </c>
      <c r="BU25" s="30" t="s">
        <v>2129</v>
      </c>
      <c r="BV25" s="30" t="s">
        <v>2129</v>
      </c>
      <c r="BW25" s="30" t="s">
        <v>2129</v>
      </c>
      <c r="BX25" s="30" t="s">
        <v>2850</v>
      </c>
      <c r="BY25" s="30" t="s">
        <v>2129</v>
      </c>
      <c r="BZ25" s="30" t="s">
        <v>2129</v>
      </c>
      <c r="CA25" s="30" t="s">
        <v>2129</v>
      </c>
      <c r="CB25" s="30" t="s">
        <v>2129</v>
      </c>
      <c r="CC25" s="30" t="s">
        <v>2129</v>
      </c>
      <c r="CD25" s="30" t="s">
        <v>2129</v>
      </c>
      <c r="CE25" s="30" t="s">
        <v>3199</v>
      </c>
      <c r="CF25" s="30" t="s">
        <v>2496</v>
      </c>
      <c r="CG25" s="30" t="s">
        <v>2604</v>
      </c>
      <c r="CH25" s="30" t="s">
        <v>2703</v>
      </c>
      <c r="CI25" s="30" t="s">
        <v>2821</v>
      </c>
      <c r="CJ25" s="30" t="s">
        <v>3154</v>
      </c>
      <c r="CK25" s="30" t="s">
        <v>2129</v>
      </c>
      <c r="CL25" s="30" t="s">
        <v>2129</v>
      </c>
      <c r="CM25" s="30" t="s">
        <v>2129</v>
      </c>
      <c r="CN25" s="30" t="s">
        <v>2129</v>
      </c>
      <c r="CO25" s="30" t="s">
        <v>2129</v>
      </c>
      <c r="CP25" s="30" t="s">
        <v>2129</v>
      </c>
      <c r="CQ25" s="30" t="s">
        <v>2129</v>
      </c>
      <c r="CR25" s="30" t="s">
        <v>2129</v>
      </c>
      <c r="CS25" s="30">
        <v>30</v>
      </c>
      <c r="CT25" s="30" t="s">
        <v>2129</v>
      </c>
      <c r="CU25" s="30" t="s">
        <v>2129</v>
      </c>
      <c r="CV25" s="30" t="s">
        <v>2855</v>
      </c>
      <c r="CW25" s="30" t="s">
        <v>2856</v>
      </c>
      <c r="CX25" s="30" t="s">
        <v>2857</v>
      </c>
      <c r="CY25" s="30" t="s">
        <v>2858</v>
      </c>
      <c r="CZ25" s="30" t="s">
        <v>2859</v>
      </c>
      <c r="DA25" s="30" t="s">
        <v>2860</v>
      </c>
      <c r="DB25" s="30" t="s">
        <v>2861</v>
      </c>
      <c r="DC25" s="30" t="s">
        <v>2862</v>
      </c>
      <c r="DD25" s="30" t="s">
        <v>2863</v>
      </c>
      <c r="DE25" s="30" t="s">
        <v>2864</v>
      </c>
      <c r="DF25" s="30" t="s">
        <v>2865</v>
      </c>
      <c r="DG25" s="30" t="s">
        <v>3200</v>
      </c>
      <c r="DH25" s="30" t="s">
        <v>3201</v>
      </c>
      <c r="DI25" s="30" t="s">
        <v>3202</v>
      </c>
      <c r="DJ25" s="30" t="s">
        <v>2129</v>
      </c>
      <c r="DK25" s="30" t="s">
        <v>2129</v>
      </c>
      <c r="DL25" s="30" t="s">
        <v>2129</v>
      </c>
      <c r="DM25" s="30" t="s">
        <v>2129</v>
      </c>
      <c r="DN25" s="30" t="s">
        <v>2129</v>
      </c>
      <c r="DO25" s="30" t="s">
        <v>2129</v>
      </c>
      <c r="DP25" s="30" t="s">
        <v>2129</v>
      </c>
      <c r="DQ25" s="43" t="s">
        <v>2129</v>
      </c>
    </row>
    <row r="26" spans="1:121" x14ac:dyDescent="0.25">
      <c r="A26" s="39" t="s">
        <v>3203</v>
      </c>
      <c r="B26" s="29" t="s">
        <v>2850</v>
      </c>
      <c r="C26" s="29">
        <v>22621</v>
      </c>
      <c r="D26" s="29"/>
      <c r="E26" s="29" t="s">
        <v>2154</v>
      </c>
      <c r="F26" s="29" t="s">
        <v>10</v>
      </c>
      <c r="G26" s="29" t="s">
        <v>2140</v>
      </c>
      <c r="H26" s="29" t="s">
        <v>599</v>
      </c>
      <c r="I26" s="29" t="s">
        <v>2127</v>
      </c>
      <c r="J26" s="29" t="s">
        <v>2141</v>
      </c>
      <c r="K26" s="29" t="s">
        <v>2129</v>
      </c>
      <c r="L26" s="29" t="s">
        <v>2142</v>
      </c>
      <c r="M26" s="29" t="s">
        <v>2130</v>
      </c>
      <c r="N26" s="29" t="s">
        <v>2129</v>
      </c>
      <c r="O26" s="29" t="s">
        <v>2141</v>
      </c>
      <c r="P26" s="29" t="s">
        <v>2145</v>
      </c>
      <c r="Q26" s="29" t="s">
        <v>2145</v>
      </c>
      <c r="R26" s="45">
        <v>46000.51666666667</v>
      </c>
      <c r="S26" s="45">
        <v>46078.634027777778</v>
      </c>
      <c r="T26" s="45">
        <v>46087.717361111114</v>
      </c>
      <c r="U26" s="45"/>
      <c r="V26" s="29" t="s">
        <v>2129</v>
      </c>
      <c r="W26" s="29" t="s">
        <v>2129</v>
      </c>
      <c r="X26" s="29" t="s">
        <v>2129</v>
      </c>
      <c r="Y26" s="29">
        <v>0</v>
      </c>
      <c r="Z26" s="29" t="s">
        <v>2129</v>
      </c>
      <c r="AA26" s="29" t="s">
        <v>2129</v>
      </c>
      <c r="AB26" s="29" t="s">
        <v>3204</v>
      </c>
      <c r="AC26" s="29" t="s">
        <v>2129</v>
      </c>
      <c r="AD26" s="29" t="s">
        <v>2141</v>
      </c>
      <c r="AE26" s="29" t="s">
        <v>2145</v>
      </c>
      <c r="AF26" s="29" t="s">
        <v>2129</v>
      </c>
      <c r="AG26" s="29" t="s">
        <v>2129</v>
      </c>
      <c r="AH26" s="29" t="s">
        <v>2129</v>
      </c>
      <c r="AI26" s="29" t="s">
        <v>2129</v>
      </c>
      <c r="AJ26" s="29" t="s">
        <v>2129</v>
      </c>
      <c r="AK26" s="29" t="s">
        <v>2129</v>
      </c>
      <c r="AL26" s="29" t="s">
        <v>2129</v>
      </c>
      <c r="AM26" s="29" t="s">
        <v>2129</v>
      </c>
      <c r="AN26" s="29" t="s">
        <v>2129</v>
      </c>
      <c r="AO26" s="29" t="s">
        <v>2129</v>
      </c>
      <c r="AP26" s="29" t="s">
        <v>2129</v>
      </c>
      <c r="AQ26" s="29" t="s">
        <v>2129</v>
      </c>
      <c r="AR26" s="29" t="s">
        <v>2129</v>
      </c>
      <c r="AS26" s="29" t="s">
        <v>2129</v>
      </c>
      <c r="AT26" s="29" t="s">
        <v>2129</v>
      </c>
      <c r="AU26" s="29" t="s">
        <v>2129</v>
      </c>
      <c r="AV26" s="29" t="s">
        <v>2129</v>
      </c>
      <c r="AW26" s="29" t="s">
        <v>2129</v>
      </c>
      <c r="AX26" s="29"/>
      <c r="AY26" s="29"/>
      <c r="AZ26" s="29" t="s">
        <v>2129</v>
      </c>
      <c r="BA26" s="29" t="s">
        <v>2129</v>
      </c>
      <c r="BB26" s="29"/>
      <c r="BC26" s="29"/>
      <c r="BD26" s="29" t="s">
        <v>2129</v>
      </c>
      <c r="BE26" s="29" t="s">
        <v>2129</v>
      </c>
      <c r="BF26" s="29" t="s">
        <v>2129</v>
      </c>
      <c r="BG26" s="29" t="s">
        <v>2129</v>
      </c>
      <c r="BH26" s="29" t="s">
        <v>2129</v>
      </c>
      <c r="BI26" s="29" t="s">
        <v>2129</v>
      </c>
      <c r="BJ26" s="29" t="s">
        <v>2129</v>
      </c>
      <c r="BK26" s="29" t="s">
        <v>3205</v>
      </c>
      <c r="BL26" s="29" t="s">
        <v>3206</v>
      </c>
      <c r="BM26" s="29" t="s">
        <v>3207</v>
      </c>
      <c r="BN26" s="29" t="s">
        <v>3208</v>
      </c>
      <c r="BO26" s="29" t="s">
        <v>3209</v>
      </c>
      <c r="BP26" s="29" t="s">
        <v>3210</v>
      </c>
      <c r="BQ26" s="29" t="s">
        <v>2129</v>
      </c>
      <c r="BR26" s="29" t="s">
        <v>2129</v>
      </c>
      <c r="BS26" s="29" t="s">
        <v>2129</v>
      </c>
      <c r="BT26" s="29" t="s">
        <v>2129</v>
      </c>
      <c r="BU26" s="29" t="s">
        <v>2129</v>
      </c>
      <c r="BV26" s="29" t="s">
        <v>2129</v>
      </c>
      <c r="BW26" s="29" t="s">
        <v>2129</v>
      </c>
      <c r="BX26" s="29" t="s">
        <v>2129</v>
      </c>
      <c r="BY26" s="29" t="s">
        <v>3203</v>
      </c>
      <c r="BZ26" s="29" t="s">
        <v>2129</v>
      </c>
      <c r="CA26" s="29" t="s">
        <v>2129</v>
      </c>
      <c r="CB26" s="29" t="s">
        <v>2129</v>
      </c>
      <c r="CC26" s="29" t="s">
        <v>2129</v>
      </c>
      <c r="CD26" s="29" t="s">
        <v>2129</v>
      </c>
      <c r="CE26" s="29" t="s">
        <v>3211</v>
      </c>
      <c r="CF26" s="29" t="s">
        <v>2129</v>
      </c>
      <c r="CG26" s="29" t="s">
        <v>2129</v>
      </c>
      <c r="CH26" s="29" t="s">
        <v>2129</v>
      </c>
      <c r="CI26" s="29" t="s">
        <v>2129</v>
      </c>
      <c r="CJ26" s="29" t="s">
        <v>2129</v>
      </c>
      <c r="CK26" s="29" t="s">
        <v>2129</v>
      </c>
      <c r="CL26" s="29" t="s">
        <v>2129</v>
      </c>
      <c r="CM26" s="29" t="s">
        <v>2129</v>
      </c>
      <c r="CN26" s="29" t="s">
        <v>2129</v>
      </c>
      <c r="CO26" s="29" t="s">
        <v>2129</v>
      </c>
      <c r="CP26" s="29" t="s">
        <v>2129</v>
      </c>
      <c r="CQ26" s="29" t="s">
        <v>2129</v>
      </c>
      <c r="CR26" s="29" t="s">
        <v>2129</v>
      </c>
      <c r="CS26" s="29"/>
      <c r="CT26" s="29" t="s">
        <v>2129</v>
      </c>
      <c r="CU26" s="29" t="s">
        <v>2129</v>
      </c>
      <c r="CV26" s="29" t="s">
        <v>3212</v>
      </c>
      <c r="CW26" s="29" t="s">
        <v>3213</v>
      </c>
      <c r="CX26" s="29" t="s">
        <v>3214</v>
      </c>
      <c r="CY26" s="29" t="s">
        <v>2129</v>
      </c>
      <c r="CZ26" s="29" t="s">
        <v>2129</v>
      </c>
      <c r="DA26" s="29" t="s">
        <v>2129</v>
      </c>
      <c r="DB26" s="29" t="s">
        <v>2129</v>
      </c>
      <c r="DC26" s="29" t="s">
        <v>2129</v>
      </c>
      <c r="DD26" s="29" t="s">
        <v>2129</v>
      </c>
      <c r="DE26" s="29" t="s">
        <v>2129</v>
      </c>
      <c r="DF26" s="29" t="s">
        <v>2129</v>
      </c>
      <c r="DG26" s="29" t="s">
        <v>2129</v>
      </c>
      <c r="DH26" s="29" t="s">
        <v>2129</v>
      </c>
      <c r="DI26" s="29" t="s">
        <v>2129</v>
      </c>
      <c r="DJ26" s="29" t="s">
        <v>2129</v>
      </c>
      <c r="DK26" s="29" t="s">
        <v>2129</v>
      </c>
      <c r="DL26" s="29" t="s">
        <v>2129</v>
      </c>
      <c r="DM26" s="29" t="s">
        <v>2129</v>
      </c>
      <c r="DN26" s="29" t="s">
        <v>2129</v>
      </c>
      <c r="DO26" s="29" t="s">
        <v>2129</v>
      </c>
      <c r="DP26" s="29" t="s">
        <v>2129</v>
      </c>
      <c r="DQ26" s="42" t="s">
        <v>2129</v>
      </c>
    </row>
    <row r="27" spans="1:121" x14ac:dyDescent="0.25">
      <c r="A27" s="36" t="s">
        <v>1723</v>
      </c>
      <c r="B27" s="30" t="s">
        <v>3215</v>
      </c>
      <c r="C27" s="30">
        <v>23034</v>
      </c>
      <c r="D27" s="30"/>
      <c r="E27" s="30" t="s">
        <v>2136</v>
      </c>
      <c r="F27" s="30" t="s">
        <v>10</v>
      </c>
      <c r="G27" s="30" t="s">
        <v>1620</v>
      </c>
      <c r="H27" s="30" t="s">
        <v>1643</v>
      </c>
      <c r="I27" s="30" t="s">
        <v>2127</v>
      </c>
      <c r="J27" s="30" t="s">
        <v>2141</v>
      </c>
      <c r="K27" s="30" t="s">
        <v>2129</v>
      </c>
      <c r="L27" s="30" t="s">
        <v>2129</v>
      </c>
      <c r="M27" s="30" t="s">
        <v>2130</v>
      </c>
      <c r="N27" s="30" t="s">
        <v>2129</v>
      </c>
      <c r="O27" s="30" t="s">
        <v>2144</v>
      </c>
      <c r="P27" s="30" t="s">
        <v>2141</v>
      </c>
      <c r="Q27" s="30" t="s">
        <v>2141</v>
      </c>
      <c r="R27" s="46">
        <v>46076.380555555559</v>
      </c>
      <c r="S27" s="46">
        <v>46083.45208333333</v>
      </c>
      <c r="T27" s="46">
        <v>46087.717361111114</v>
      </c>
      <c r="U27" s="46"/>
      <c r="V27" s="30" t="s">
        <v>2129</v>
      </c>
      <c r="W27" s="30" t="s">
        <v>2129</v>
      </c>
      <c r="X27" s="30" t="s">
        <v>2129</v>
      </c>
      <c r="Y27" s="30">
        <v>0</v>
      </c>
      <c r="Z27" s="30" t="s">
        <v>2129</v>
      </c>
      <c r="AA27" s="30" t="s">
        <v>2129</v>
      </c>
      <c r="AB27" s="30" t="s">
        <v>2129</v>
      </c>
      <c r="AC27" s="30" t="s">
        <v>2129</v>
      </c>
      <c r="AD27" s="30" t="s">
        <v>2141</v>
      </c>
      <c r="AE27" s="30" t="s">
        <v>2129</v>
      </c>
      <c r="AF27" s="30" t="s">
        <v>2129</v>
      </c>
      <c r="AG27" s="30" t="s">
        <v>2129</v>
      </c>
      <c r="AH27" s="30" t="s">
        <v>2129</v>
      </c>
      <c r="AI27" s="30" t="s">
        <v>3216</v>
      </c>
      <c r="AJ27" s="30" t="s">
        <v>3217</v>
      </c>
      <c r="AK27" s="30" t="s">
        <v>3218</v>
      </c>
      <c r="AL27" s="30" t="s">
        <v>3219</v>
      </c>
      <c r="AM27" s="30" t="s">
        <v>2129</v>
      </c>
      <c r="AN27" s="30" t="s">
        <v>2129</v>
      </c>
      <c r="AO27" s="30" t="s">
        <v>2129</v>
      </c>
      <c r="AP27" s="30" t="s">
        <v>2129</v>
      </c>
      <c r="AQ27" s="30" t="s">
        <v>2129</v>
      </c>
      <c r="AR27" s="30" t="s">
        <v>2129</v>
      </c>
      <c r="AS27" s="30" t="s">
        <v>2129</v>
      </c>
      <c r="AT27" s="30" t="s">
        <v>2129</v>
      </c>
      <c r="AU27" s="30" t="s">
        <v>2129</v>
      </c>
      <c r="AV27" s="30" t="s">
        <v>2129</v>
      </c>
      <c r="AW27" s="30" t="s">
        <v>2129</v>
      </c>
      <c r="AX27" s="30">
        <v>0</v>
      </c>
      <c r="AY27" s="30">
        <v>16200</v>
      </c>
      <c r="AZ27" s="30" t="s">
        <v>2129</v>
      </c>
      <c r="BA27" s="30" t="s">
        <v>2129</v>
      </c>
      <c r="BB27" s="30">
        <v>0</v>
      </c>
      <c r="BC27" s="30">
        <v>16200</v>
      </c>
      <c r="BD27" s="30" t="s">
        <v>2129</v>
      </c>
      <c r="BE27" s="30" t="s">
        <v>2129</v>
      </c>
      <c r="BF27" s="30" t="s">
        <v>2129</v>
      </c>
      <c r="BG27" s="30" t="s">
        <v>2129</v>
      </c>
      <c r="BH27" s="30" t="s">
        <v>2129</v>
      </c>
      <c r="BI27" s="30" t="s">
        <v>2129</v>
      </c>
      <c r="BJ27" s="30" t="s">
        <v>2129</v>
      </c>
      <c r="BK27" s="30" t="s">
        <v>2129</v>
      </c>
      <c r="BL27" s="30" t="s">
        <v>2129</v>
      </c>
      <c r="BM27" s="30" t="s">
        <v>2129</v>
      </c>
      <c r="BN27" s="30" t="s">
        <v>2129</v>
      </c>
      <c r="BO27" s="30" t="s">
        <v>2129</v>
      </c>
      <c r="BP27" s="30" t="s">
        <v>2129</v>
      </c>
      <c r="BQ27" s="30" t="s">
        <v>2129</v>
      </c>
      <c r="BR27" s="30" t="s">
        <v>2129</v>
      </c>
      <c r="BS27" s="30" t="s">
        <v>2129</v>
      </c>
      <c r="BT27" s="30" t="s">
        <v>2129</v>
      </c>
      <c r="BU27" s="30" t="s">
        <v>2129</v>
      </c>
      <c r="BV27" s="30" t="s">
        <v>2129</v>
      </c>
      <c r="BW27" s="30" t="s">
        <v>2129</v>
      </c>
      <c r="BX27" s="30" t="s">
        <v>2129</v>
      </c>
      <c r="BY27" s="30" t="s">
        <v>2129</v>
      </c>
      <c r="BZ27" s="30" t="s">
        <v>2129</v>
      </c>
      <c r="CA27" s="30" t="s">
        <v>2129</v>
      </c>
      <c r="CB27" s="30" t="s">
        <v>2129</v>
      </c>
      <c r="CC27" s="30" t="s">
        <v>2129</v>
      </c>
      <c r="CD27" s="30" t="s">
        <v>2129</v>
      </c>
      <c r="CE27" s="30" t="s">
        <v>3220</v>
      </c>
      <c r="CF27" s="30" t="s">
        <v>3221</v>
      </c>
      <c r="CG27" s="30" t="s">
        <v>2129</v>
      </c>
      <c r="CH27" s="30" t="s">
        <v>2129</v>
      </c>
      <c r="CI27" s="30" t="s">
        <v>2129</v>
      </c>
      <c r="CJ27" s="30" t="s">
        <v>2129</v>
      </c>
      <c r="CK27" s="30" t="s">
        <v>2129</v>
      </c>
      <c r="CL27" s="30" t="s">
        <v>2129</v>
      </c>
      <c r="CM27" s="30" t="s">
        <v>2129</v>
      </c>
      <c r="CN27" s="30" t="s">
        <v>2129</v>
      </c>
      <c r="CO27" s="30" t="s">
        <v>2129</v>
      </c>
      <c r="CP27" s="30" t="s">
        <v>2129</v>
      </c>
      <c r="CQ27" s="30" t="s">
        <v>2129</v>
      </c>
      <c r="CR27" s="30" t="s">
        <v>2129</v>
      </c>
      <c r="CS27" s="30"/>
      <c r="CT27" s="30" t="s">
        <v>2129</v>
      </c>
      <c r="CU27" s="30" t="s">
        <v>2129</v>
      </c>
      <c r="CV27" s="30" t="s">
        <v>2129</v>
      </c>
      <c r="CW27" s="30" t="s">
        <v>2129</v>
      </c>
      <c r="CX27" s="30" t="s">
        <v>2129</v>
      </c>
      <c r="CY27" s="30" t="s">
        <v>2129</v>
      </c>
      <c r="CZ27" s="30" t="s">
        <v>2129</v>
      </c>
      <c r="DA27" s="30" t="s">
        <v>2129</v>
      </c>
      <c r="DB27" s="30" t="s">
        <v>2129</v>
      </c>
      <c r="DC27" s="30" t="s">
        <v>2129</v>
      </c>
      <c r="DD27" s="30" t="s">
        <v>2129</v>
      </c>
      <c r="DE27" s="30" t="s">
        <v>2129</v>
      </c>
      <c r="DF27" s="30" t="s">
        <v>2129</v>
      </c>
      <c r="DG27" s="30" t="s">
        <v>2129</v>
      </c>
      <c r="DH27" s="30" t="s">
        <v>2129</v>
      </c>
      <c r="DI27" s="30" t="s">
        <v>2129</v>
      </c>
      <c r="DJ27" s="30" t="s">
        <v>2129</v>
      </c>
      <c r="DK27" s="30" t="s">
        <v>2129</v>
      </c>
      <c r="DL27" s="30" t="s">
        <v>2129</v>
      </c>
      <c r="DM27" s="30" t="s">
        <v>2129</v>
      </c>
      <c r="DN27" s="30" t="s">
        <v>2129</v>
      </c>
      <c r="DO27" s="30" t="s">
        <v>2129</v>
      </c>
      <c r="DP27" s="30" t="s">
        <v>2129</v>
      </c>
      <c r="DQ27" s="43" t="s">
        <v>2129</v>
      </c>
    </row>
    <row r="28" spans="1:121" x14ac:dyDescent="0.25">
      <c r="A28" s="39" t="s">
        <v>2810</v>
      </c>
      <c r="B28" s="29" t="s">
        <v>2800</v>
      </c>
      <c r="C28" s="29">
        <v>22994</v>
      </c>
      <c r="D28" s="29"/>
      <c r="E28" s="29" t="s">
        <v>14</v>
      </c>
      <c r="F28" s="29" t="s">
        <v>1820</v>
      </c>
      <c r="G28" s="29" t="s">
        <v>1620</v>
      </c>
      <c r="H28" s="29" t="s">
        <v>1643</v>
      </c>
      <c r="I28" s="29" t="s">
        <v>2127</v>
      </c>
      <c r="J28" s="29" t="s">
        <v>2141</v>
      </c>
      <c r="K28" s="29" t="s">
        <v>2129</v>
      </c>
      <c r="L28" s="29" t="s">
        <v>2129</v>
      </c>
      <c r="M28" s="29" t="s">
        <v>2130</v>
      </c>
      <c r="N28" s="29" t="s">
        <v>2129</v>
      </c>
      <c r="O28" s="29" t="s">
        <v>2144</v>
      </c>
      <c r="P28" s="29" t="s">
        <v>2141</v>
      </c>
      <c r="Q28" s="29" t="s">
        <v>2141</v>
      </c>
      <c r="R28" s="45">
        <v>46072.628472222219</v>
      </c>
      <c r="S28" s="45">
        <v>46086.40902777778</v>
      </c>
      <c r="T28" s="45">
        <v>46087.717361111114</v>
      </c>
      <c r="U28" s="45"/>
      <c r="V28" s="29" t="s">
        <v>2129</v>
      </c>
      <c r="W28" s="29" t="s">
        <v>2129</v>
      </c>
      <c r="X28" s="29" t="s">
        <v>2129</v>
      </c>
      <c r="Y28" s="29">
        <v>0</v>
      </c>
      <c r="Z28" s="29" t="s">
        <v>2129</v>
      </c>
      <c r="AA28" s="29" t="s">
        <v>2129</v>
      </c>
      <c r="AB28" s="29" t="s">
        <v>3222</v>
      </c>
      <c r="AC28" s="29" t="s">
        <v>2129</v>
      </c>
      <c r="AD28" s="29" t="s">
        <v>2141</v>
      </c>
      <c r="AE28" s="29" t="s">
        <v>2129</v>
      </c>
      <c r="AF28" s="29" t="s">
        <v>2129</v>
      </c>
      <c r="AG28" s="29" t="s">
        <v>2129</v>
      </c>
      <c r="AH28" s="29" t="s">
        <v>2129</v>
      </c>
      <c r="AI28" s="29" t="s">
        <v>2129</v>
      </c>
      <c r="AJ28" s="29" t="s">
        <v>2129</v>
      </c>
      <c r="AK28" s="29" t="s">
        <v>2129</v>
      </c>
      <c r="AL28" s="29" t="s">
        <v>2129</v>
      </c>
      <c r="AM28" s="29" t="s">
        <v>2129</v>
      </c>
      <c r="AN28" s="29" t="s">
        <v>2129</v>
      </c>
      <c r="AO28" s="29" t="s">
        <v>2129</v>
      </c>
      <c r="AP28" s="29" t="s">
        <v>2129</v>
      </c>
      <c r="AQ28" s="29" t="s">
        <v>2129</v>
      </c>
      <c r="AR28" s="29" t="s">
        <v>2129</v>
      </c>
      <c r="AS28" s="29" t="s">
        <v>2129</v>
      </c>
      <c r="AT28" s="29" t="s">
        <v>2129</v>
      </c>
      <c r="AU28" s="29" t="s">
        <v>2129</v>
      </c>
      <c r="AV28" s="29" t="s">
        <v>2129</v>
      </c>
      <c r="AW28" s="29" t="s">
        <v>2129</v>
      </c>
      <c r="AX28" s="29"/>
      <c r="AY28" s="29"/>
      <c r="AZ28" s="29" t="s">
        <v>2129</v>
      </c>
      <c r="BA28" s="29" t="s">
        <v>2129</v>
      </c>
      <c r="BB28" s="29"/>
      <c r="BC28" s="29"/>
      <c r="BD28" s="29" t="s">
        <v>2129</v>
      </c>
      <c r="BE28" s="29" t="s">
        <v>2129</v>
      </c>
      <c r="BF28" s="29" t="s">
        <v>2129</v>
      </c>
      <c r="BG28" s="29" t="s">
        <v>2129</v>
      </c>
      <c r="BH28" s="29" t="s">
        <v>2129</v>
      </c>
      <c r="BI28" s="29" t="s">
        <v>2129</v>
      </c>
      <c r="BJ28" s="29" t="s">
        <v>2129</v>
      </c>
      <c r="BK28" s="29" t="s">
        <v>2129</v>
      </c>
      <c r="BL28" s="29" t="s">
        <v>2129</v>
      </c>
      <c r="BM28" s="29" t="s">
        <v>2129</v>
      </c>
      <c r="BN28" s="29" t="s">
        <v>2129</v>
      </c>
      <c r="BO28" s="29" t="s">
        <v>2129</v>
      </c>
      <c r="BP28" s="29" t="s">
        <v>2129</v>
      </c>
      <c r="BQ28" s="29" t="s">
        <v>2129</v>
      </c>
      <c r="BR28" s="29" t="s">
        <v>2129</v>
      </c>
      <c r="BS28" s="29" t="s">
        <v>2129</v>
      </c>
      <c r="BT28" s="29" t="s">
        <v>2129</v>
      </c>
      <c r="BU28" s="29" t="s">
        <v>2129</v>
      </c>
      <c r="BV28" s="29" t="s">
        <v>2129</v>
      </c>
      <c r="BW28" s="29" t="s">
        <v>2129</v>
      </c>
      <c r="BX28" s="29" t="s">
        <v>2866</v>
      </c>
      <c r="BY28" s="29" t="s">
        <v>2129</v>
      </c>
      <c r="BZ28" s="29" t="s">
        <v>2129</v>
      </c>
      <c r="CA28" s="29" t="s">
        <v>2129</v>
      </c>
      <c r="CB28" s="29" t="s">
        <v>2129</v>
      </c>
      <c r="CC28" s="29" t="s">
        <v>2129</v>
      </c>
      <c r="CD28" s="29" t="s">
        <v>2129</v>
      </c>
      <c r="CE28" s="29" t="s">
        <v>3223</v>
      </c>
      <c r="CF28" s="29" t="s">
        <v>3221</v>
      </c>
      <c r="CG28" s="29" t="s">
        <v>2129</v>
      </c>
      <c r="CH28" s="29" t="s">
        <v>2129</v>
      </c>
      <c r="CI28" s="29" t="s">
        <v>2129</v>
      </c>
      <c r="CJ28" s="29" t="s">
        <v>2129</v>
      </c>
      <c r="CK28" s="29" t="s">
        <v>2129</v>
      </c>
      <c r="CL28" s="29" t="s">
        <v>2129</v>
      </c>
      <c r="CM28" s="29" t="s">
        <v>2129</v>
      </c>
      <c r="CN28" s="29" t="s">
        <v>2129</v>
      </c>
      <c r="CO28" s="29" t="s">
        <v>2129</v>
      </c>
      <c r="CP28" s="29" t="s">
        <v>2129</v>
      </c>
      <c r="CQ28" s="29" t="s">
        <v>2129</v>
      </c>
      <c r="CR28" s="29" t="s">
        <v>2129</v>
      </c>
      <c r="CS28" s="29">
        <v>30</v>
      </c>
      <c r="CT28" s="29" t="s">
        <v>2129</v>
      </c>
      <c r="CU28" s="29" t="s">
        <v>2129</v>
      </c>
      <c r="CV28" s="29" t="s">
        <v>2129</v>
      </c>
      <c r="CW28" s="29" t="s">
        <v>2129</v>
      </c>
      <c r="CX28" s="29" t="s">
        <v>2129</v>
      </c>
      <c r="CY28" s="29" t="s">
        <v>2129</v>
      </c>
      <c r="CZ28" s="29" t="s">
        <v>2129</v>
      </c>
      <c r="DA28" s="29" t="s">
        <v>2129</v>
      </c>
      <c r="DB28" s="29" t="s">
        <v>2129</v>
      </c>
      <c r="DC28" s="29" t="s">
        <v>2129</v>
      </c>
      <c r="DD28" s="29" t="s">
        <v>2129</v>
      </c>
      <c r="DE28" s="29" t="s">
        <v>2129</v>
      </c>
      <c r="DF28" s="29" t="s">
        <v>2129</v>
      </c>
      <c r="DG28" s="29" t="s">
        <v>2129</v>
      </c>
      <c r="DH28" s="29" t="s">
        <v>2129</v>
      </c>
      <c r="DI28" s="29" t="s">
        <v>2129</v>
      </c>
      <c r="DJ28" s="29" t="s">
        <v>2129</v>
      </c>
      <c r="DK28" s="29" t="s">
        <v>2129</v>
      </c>
      <c r="DL28" s="29" t="s">
        <v>2129</v>
      </c>
      <c r="DM28" s="29" t="s">
        <v>2129</v>
      </c>
      <c r="DN28" s="29" t="s">
        <v>2129</v>
      </c>
      <c r="DO28" s="29" t="s">
        <v>2129</v>
      </c>
      <c r="DP28" s="29" t="s">
        <v>2129</v>
      </c>
      <c r="DQ28" s="42" t="s">
        <v>2129</v>
      </c>
    </row>
    <row r="29" spans="1:121" x14ac:dyDescent="0.25">
      <c r="A29" s="36" t="s">
        <v>1723</v>
      </c>
      <c r="B29" s="30" t="s">
        <v>2869</v>
      </c>
      <c r="C29" s="30">
        <v>22961</v>
      </c>
      <c r="D29" s="30"/>
      <c r="E29" s="30" t="s">
        <v>2136</v>
      </c>
      <c r="F29" s="30" t="s">
        <v>16</v>
      </c>
      <c r="G29" s="30" t="s">
        <v>1620</v>
      </c>
      <c r="H29" s="30" t="s">
        <v>1643</v>
      </c>
      <c r="I29" s="30" t="s">
        <v>2127</v>
      </c>
      <c r="J29" s="30" t="s">
        <v>2141</v>
      </c>
      <c r="K29" s="30" t="s">
        <v>2129</v>
      </c>
      <c r="L29" s="30" t="s">
        <v>2129</v>
      </c>
      <c r="M29" s="30" t="s">
        <v>2130</v>
      </c>
      <c r="N29" s="30" t="s">
        <v>16</v>
      </c>
      <c r="O29" s="30" t="s">
        <v>2144</v>
      </c>
      <c r="P29" s="30" t="s">
        <v>2141</v>
      </c>
      <c r="Q29" s="30" t="s">
        <v>2141</v>
      </c>
      <c r="R29" s="46">
        <v>46062.544444444444</v>
      </c>
      <c r="S29" s="46">
        <v>46076.379861111112</v>
      </c>
      <c r="T29" s="46">
        <v>46087.717361111114</v>
      </c>
      <c r="U29" s="46">
        <v>46076.379861111112</v>
      </c>
      <c r="V29" s="30" t="s">
        <v>2129</v>
      </c>
      <c r="W29" s="30" t="s">
        <v>2129</v>
      </c>
      <c r="X29" s="30" t="s">
        <v>2129</v>
      </c>
      <c r="Y29" s="30">
        <v>0</v>
      </c>
      <c r="Z29" s="30" t="s">
        <v>2129</v>
      </c>
      <c r="AA29" s="30" t="s">
        <v>2129</v>
      </c>
      <c r="AB29" s="30" t="s">
        <v>2129</v>
      </c>
      <c r="AC29" s="30" t="s">
        <v>2129</v>
      </c>
      <c r="AD29" s="30" t="s">
        <v>2141</v>
      </c>
      <c r="AE29" s="30" t="s">
        <v>2129</v>
      </c>
      <c r="AF29" s="30" t="s">
        <v>2129</v>
      </c>
      <c r="AG29" s="30" t="s">
        <v>2129</v>
      </c>
      <c r="AH29" s="30" t="s">
        <v>2129</v>
      </c>
      <c r="AI29" s="30" t="s">
        <v>2870</v>
      </c>
      <c r="AJ29" s="30" t="s">
        <v>2871</v>
      </c>
      <c r="AK29" s="30" t="s">
        <v>2872</v>
      </c>
      <c r="AL29" s="30" t="s">
        <v>2873</v>
      </c>
      <c r="AM29" s="30" t="s">
        <v>2874</v>
      </c>
      <c r="AN29" s="30" t="s">
        <v>2875</v>
      </c>
      <c r="AO29" s="30" t="s">
        <v>2876</v>
      </c>
      <c r="AP29" s="30" t="s">
        <v>2877</v>
      </c>
      <c r="AQ29" s="30" t="s">
        <v>3224</v>
      </c>
      <c r="AR29" s="30" t="s">
        <v>2129</v>
      </c>
      <c r="AS29" s="30" t="s">
        <v>2129</v>
      </c>
      <c r="AT29" s="30" t="s">
        <v>2129</v>
      </c>
      <c r="AU29" s="30" t="s">
        <v>2129</v>
      </c>
      <c r="AV29" s="30" t="s">
        <v>2129</v>
      </c>
      <c r="AW29" s="30" t="s">
        <v>2129</v>
      </c>
      <c r="AX29" s="30">
        <v>0</v>
      </c>
      <c r="AY29" s="30">
        <v>55800</v>
      </c>
      <c r="AZ29" s="30" t="s">
        <v>2129</v>
      </c>
      <c r="BA29" s="30" t="s">
        <v>2129</v>
      </c>
      <c r="BB29" s="30">
        <v>0</v>
      </c>
      <c r="BC29" s="30">
        <v>55800</v>
      </c>
      <c r="BD29" s="30" t="s">
        <v>2129</v>
      </c>
      <c r="BE29" s="30" t="s">
        <v>2129</v>
      </c>
      <c r="BF29" s="30" t="s">
        <v>2129</v>
      </c>
      <c r="BG29" s="30" t="s">
        <v>2129</v>
      </c>
      <c r="BH29" s="30" t="s">
        <v>2129</v>
      </c>
      <c r="BI29" s="30" t="s">
        <v>2129</v>
      </c>
      <c r="BJ29" s="30" t="s">
        <v>2129</v>
      </c>
      <c r="BK29" s="30" t="s">
        <v>2129</v>
      </c>
      <c r="BL29" s="30" t="s">
        <v>2129</v>
      </c>
      <c r="BM29" s="30" t="s">
        <v>2129</v>
      </c>
      <c r="BN29" s="30" t="s">
        <v>2129</v>
      </c>
      <c r="BO29" s="30" t="s">
        <v>2129</v>
      </c>
      <c r="BP29" s="30" t="s">
        <v>2129</v>
      </c>
      <c r="BQ29" s="30" t="s">
        <v>2129</v>
      </c>
      <c r="BR29" s="30" t="s">
        <v>2129</v>
      </c>
      <c r="BS29" s="30" t="s">
        <v>2129</v>
      </c>
      <c r="BT29" s="30" t="s">
        <v>2129</v>
      </c>
      <c r="BU29" s="30" t="s">
        <v>2129</v>
      </c>
      <c r="BV29" s="30" t="s">
        <v>2129</v>
      </c>
      <c r="BW29" s="30" t="s">
        <v>2129</v>
      </c>
      <c r="BX29" s="30" t="s">
        <v>2129</v>
      </c>
      <c r="BY29" s="30" t="s">
        <v>2129</v>
      </c>
      <c r="BZ29" s="30" t="s">
        <v>2129</v>
      </c>
      <c r="CA29" s="30" t="s">
        <v>2129</v>
      </c>
      <c r="CB29" s="30" t="s">
        <v>2129</v>
      </c>
      <c r="CC29" s="30" t="s">
        <v>2129</v>
      </c>
      <c r="CD29" s="30" t="s">
        <v>2129</v>
      </c>
      <c r="CE29" s="30" t="s">
        <v>2878</v>
      </c>
      <c r="CF29" s="30" t="s">
        <v>2868</v>
      </c>
      <c r="CG29" s="30" t="s">
        <v>2129</v>
      </c>
      <c r="CH29" s="30" t="s">
        <v>2129</v>
      </c>
      <c r="CI29" s="30" t="s">
        <v>2129</v>
      </c>
      <c r="CJ29" s="30" t="s">
        <v>2129</v>
      </c>
      <c r="CK29" s="30" t="s">
        <v>2129</v>
      </c>
      <c r="CL29" s="30" t="s">
        <v>2129</v>
      </c>
      <c r="CM29" s="30" t="s">
        <v>2129</v>
      </c>
      <c r="CN29" s="30" t="s">
        <v>2129</v>
      </c>
      <c r="CO29" s="30" t="s">
        <v>2129</v>
      </c>
      <c r="CP29" s="30" t="s">
        <v>2129</v>
      </c>
      <c r="CQ29" s="30" t="s">
        <v>2129</v>
      </c>
      <c r="CR29" s="30" t="s">
        <v>2129</v>
      </c>
      <c r="CS29" s="30"/>
      <c r="CT29" s="30" t="s">
        <v>2129</v>
      </c>
      <c r="CU29" s="30" t="s">
        <v>2129</v>
      </c>
      <c r="CV29" s="30" t="s">
        <v>2129</v>
      </c>
      <c r="CW29" s="30" t="s">
        <v>2129</v>
      </c>
      <c r="CX29" s="30" t="s">
        <v>2129</v>
      </c>
      <c r="CY29" s="30" t="s">
        <v>2129</v>
      </c>
      <c r="CZ29" s="30" t="s">
        <v>2129</v>
      </c>
      <c r="DA29" s="30" t="s">
        <v>2129</v>
      </c>
      <c r="DB29" s="30" t="s">
        <v>2129</v>
      </c>
      <c r="DC29" s="30" t="s">
        <v>2129</v>
      </c>
      <c r="DD29" s="30" t="s">
        <v>2129</v>
      </c>
      <c r="DE29" s="30" t="s">
        <v>2129</v>
      </c>
      <c r="DF29" s="30" t="s">
        <v>2129</v>
      </c>
      <c r="DG29" s="30" t="s">
        <v>2129</v>
      </c>
      <c r="DH29" s="30" t="s">
        <v>2129</v>
      </c>
      <c r="DI29" s="30" t="s">
        <v>2129</v>
      </c>
      <c r="DJ29" s="30" t="s">
        <v>2129</v>
      </c>
      <c r="DK29" s="30" t="s">
        <v>2129</v>
      </c>
      <c r="DL29" s="30" t="s">
        <v>2129</v>
      </c>
      <c r="DM29" s="30" t="s">
        <v>2129</v>
      </c>
      <c r="DN29" s="30" t="s">
        <v>2129</v>
      </c>
      <c r="DO29" s="30" t="s">
        <v>2129</v>
      </c>
      <c r="DP29" s="30" t="s">
        <v>2129</v>
      </c>
      <c r="DQ29" s="43" t="s">
        <v>2129</v>
      </c>
    </row>
    <row r="30" spans="1:121" x14ac:dyDescent="0.25">
      <c r="A30" s="39" t="s">
        <v>3050</v>
      </c>
      <c r="B30" s="29" t="s">
        <v>3225</v>
      </c>
      <c r="C30" s="29">
        <v>23074</v>
      </c>
      <c r="D30" s="29"/>
      <c r="E30" s="29" t="s">
        <v>14</v>
      </c>
      <c r="F30" s="29" t="s">
        <v>10</v>
      </c>
      <c r="G30" s="29" t="s">
        <v>3226</v>
      </c>
      <c r="H30" s="29" t="s">
        <v>542</v>
      </c>
      <c r="I30" s="29" t="s">
        <v>2127</v>
      </c>
      <c r="J30" s="29" t="s">
        <v>2141</v>
      </c>
      <c r="K30" s="29" t="s">
        <v>2129</v>
      </c>
      <c r="L30" s="29" t="s">
        <v>3227</v>
      </c>
      <c r="M30" s="29" t="s">
        <v>2130</v>
      </c>
      <c r="N30" s="29" t="s">
        <v>2129</v>
      </c>
      <c r="O30" s="29" t="s">
        <v>2141</v>
      </c>
      <c r="P30" s="29" t="s">
        <v>2145</v>
      </c>
      <c r="Q30" s="29" t="s">
        <v>2145</v>
      </c>
      <c r="R30" s="45">
        <v>46083.42291666667</v>
      </c>
      <c r="S30" s="45">
        <v>46083.42291666667</v>
      </c>
      <c r="T30" s="45">
        <v>46087.717361111114</v>
      </c>
      <c r="U30" s="45"/>
      <c r="V30" s="29" t="s">
        <v>2129</v>
      </c>
      <c r="W30" s="29" t="s">
        <v>2129</v>
      </c>
      <c r="X30" s="29" t="s">
        <v>2129</v>
      </c>
      <c r="Y30" s="29">
        <v>0</v>
      </c>
      <c r="Z30" s="29" t="s">
        <v>2129</v>
      </c>
      <c r="AA30" s="29" t="s">
        <v>2129</v>
      </c>
      <c r="AB30" s="29" t="s">
        <v>3228</v>
      </c>
      <c r="AC30" s="29" t="s">
        <v>2129</v>
      </c>
      <c r="AD30" s="29" t="s">
        <v>2145</v>
      </c>
      <c r="AE30" s="29" t="s">
        <v>2129</v>
      </c>
      <c r="AF30" s="29" t="s">
        <v>2129</v>
      </c>
      <c r="AG30" s="29" t="s">
        <v>2129</v>
      </c>
      <c r="AH30" s="29" t="s">
        <v>2129</v>
      </c>
      <c r="AI30" s="29" t="s">
        <v>2129</v>
      </c>
      <c r="AJ30" s="29" t="s">
        <v>2129</v>
      </c>
      <c r="AK30" s="29" t="s">
        <v>2129</v>
      </c>
      <c r="AL30" s="29" t="s">
        <v>2129</v>
      </c>
      <c r="AM30" s="29" t="s">
        <v>2129</v>
      </c>
      <c r="AN30" s="29" t="s">
        <v>2129</v>
      </c>
      <c r="AO30" s="29" t="s">
        <v>2129</v>
      </c>
      <c r="AP30" s="29" t="s">
        <v>2129</v>
      </c>
      <c r="AQ30" s="29" t="s">
        <v>2129</v>
      </c>
      <c r="AR30" s="29" t="s">
        <v>2129</v>
      </c>
      <c r="AS30" s="29" t="s">
        <v>2129</v>
      </c>
      <c r="AT30" s="29" t="s">
        <v>2129</v>
      </c>
      <c r="AU30" s="29" t="s">
        <v>2129</v>
      </c>
      <c r="AV30" s="29" t="s">
        <v>2129</v>
      </c>
      <c r="AW30" s="29" t="s">
        <v>2129</v>
      </c>
      <c r="AX30" s="29"/>
      <c r="AY30" s="29"/>
      <c r="AZ30" s="29" t="s">
        <v>2129</v>
      </c>
      <c r="BA30" s="29" t="s">
        <v>2129</v>
      </c>
      <c r="BB30" s="29"/>
      <c r="BC30" s="29"/>
      <c r="BD30" s="29" t="s">
        <v>2129</v>
      </c>
      <c r="BE30" s="29" t="s">
        <v>2129</v>
      </c>
      <c r="BF30" s="29" t="s">
        <v>2129</v>
      </c>
      <c r="BG30" s="29" t="s">
        <v>2129</v>
      </c>
      <c r="BH30" s="29" t="s">
        <v>2129</v>
      </c>
      <c r="BI30" s="29" t="s">
        <v>2129</v>
      </c>
      <c r="BJ30" s="29" t="s">
        <v>2129</v>
      </c>
      <c r="BK30" s="29" t="s">
        <v>2129</v>
      </c>
      <c r="BL30" s="29" t="s">
        <v>2129</v>
      </c>
      <c r="BM30" s="29" t="s">
        <v>2129</v>
      </c>
      <c r="BN30" s="29" t="s">
        <v>2129</v>
      </c>
      <c r="BO30" s="29" t="s">
        <v>2129</v>
      </c>
      <c r="BP30" s="29" t="s">
        <v>2129</v>
      </c>
      <c r="BQ30" s="29" t="s">
        <v>2129</v>
      </c>
      <c r="BR30" s="29" t="s">
        <v>2129</v>
      </c>
      <c r="BS30" s="29" t="s">
        <v>2129</v>
      </c>
      <c r="BT30" s="29" t="s">
        <v>2129</v>
      </c>
      <c r="BU30" s="29" t="s">
        <v>2129</v>
      </c>
      <c r="BV30" s="29" t="s">
        <v>2129</v>
      </c>
      <c r="BW30" s="29" t="s">
        <v>2129</v>
      </c>
      <c r="BX30" s="29" t="s">
        <v>3149</v>
      </c>
      <c r="BY30" s="29" t="s">
        <v>2129</v>
      </c>
      <c r="BZ30" s="29" t="s">
        <v>2129</v>
      </c>
      <c r="CA30" s="29" t="s">
        <v>2129</v>
      </c>
      <c r="CB30" s="29" t="s">
        <v>2129</v>
      </c>
      <c r="CC30" s="29" t="s">
        <v>2129</v>
      </c>
      <c r="CD30" s="29" t="s">
        <v>2129</v>
      </c>
      <c r="CE30" s="29" t="s">
        <v>3229</v>
      </c>
      <c r="CF30" s="29" t="s">
        <v>2129</v>
      </c>
      <c r="CG30" s="29" t="s">
        <v>2129</v>
      </c>
      <c r="CH30" s="29" t="s">
        <v>2129</v>
      </c>
      <c r="CI30" s="29" t="s">
        <v>2129</v>
      </c>
      <c r="CJ30" s="29" t="s">
        <v>2129</v>
      </c>
      <c r="CK30" s="29" t="s">
        <v>2129</v>
      </c>
      <c r="CL30" s="29" t="s">
        <v>2129</v>
      </c>
      <c r="CM30" s="29" t="s">
        <v>2129</v>
      </c>
      <c r="CN30" s="29" t="s">
        <v>2129</v>
      </c>
      <c r="CO30" s="29" t="s">
        <v>2129</v>
      </c>
      <c r="CP30" s="29" t="s">
        <v>2129</v>
      </c>
      <c r="CQ30" s="29" t="s">
        <v>2129</v>
      </c>
      <c r="CR30" s="29" t="s">
        <v>2129</v>
      </c>
      <c r="CS30" s="29"/>
      <c r="CT30" s="29" t="s">
        <v>2129</v>
      </c>
      <c r="CU30" s="29" t="s">
        <v>2129</v>
      </c>
      <c r="CV30" s="29" t="s">
        <v>2129</v>
      </c>
      <c r="CW30" s="29" t="s">
        <v>2129</v>
      </c>
      <c r="CX30" s="29" t="s">
        <v>2129</v>
      </c>
      <c r="CY30" s="29" t="s">
        <v>2129</v>
      </c>
      <c r="CZ30" s="29" t="s">
        <v>2129</v>
      </c>
      <c r="DA30" s="29" t="s">
        <v>2129</v>
      </c>
      <c r="DB30" s="29" t="s">
        <v>2129</v>
      </c>
      <c r="DC30" s="29" t="s">
        <v>2129</v>
      </c>
      <c r="DD30" s="29" t="s">
        <v>2129</v>
      </c>
      <c r="DE30" s="29" t="s">
        <v>2129</v>
      </c>
      <c r="DF30" s="29" t="s">
        <v>2129</v>
      </c>
      <c r="DG30" s="29" t="s">
        <v>2129</v>
      </c>
      <c r="DH30" s="29" t="s">
        <v>2129</v>
      </c>
      <c r="DI30" s="29" t="s">
        <v>2129</v>
      </c>
      <c r="DJ30" s="29" t="s">
        <v>2129</v>
      </c>
      <c r="DK30" s="29" t="s">
        <v>2129</v>
      </c>
      <c r="DL30" s="29" t="s">
        <v>2129</v>
      </c>
      <c r="DM30" s="29" t="s">
        <v>2129</v>
      </c>
      <c r="DN30" s="29" t="s">
        <v>2129</v>
      </c>
      <c r="DO30" s="29" t="s">
        <v>2129</v>
      </c>
      <c r="DP30" s="29" t="s">
        <v>2129</v>
      </c>
      <c r="DQ30" s="42" t="s">
        <v>2129</v>
      </c>
    </row>
    <row r="31" spans="1:121" x14ac:dyDescent="0.25">
      <c r="A31" s="36" t="s">
        <v>2159</v>
      </c>
      <c r="B31" s="30" t="s">
        <v>3230</v>
      </c>
      <c r="C31" s="30">
        <v>23097</v>
      </c>
      <c r="D31" s="30"/>
      <c r="E31" s="30" t="s">
        <v>2136</v>
      </c>
      <c r="F31" s="30" t="s">
        <v>10</v>
      </c>
      <c r="G31" s="30" t="s">
        <v>2155</v>
      </c>
      <c r="H31" s="30" t="s">
        <v>59</v>
      </c>
      <c r="I31" s="30" t="s">
        <v>2127</v>
      </c>
      <c r="J31" s="30" t="s">
        <v>2156</v>
      </c>
      <c r="K31" s="30" t="s">
        <v>2129</v>
      </c>
      <c r="L31" s="30" t="s">
        <v>2157</v>
      </c>
      <c r="M31" s="30" t="s">
        <v>2130</v>
      </c>
      <c r="N31" s="30" t="s">
        <v>2129</v>
      </c>
      <c r="O31" s="30" t="s">
        <v>2156</v>
      </c>
      <c r="P31" s="30" t="s">
        <v>2156</v>
      </c>
      <c r="Q31" s="30" t="s">
        <v>2156</v>
      </c>
      <c r="R31" s="46">
        <v>46084.541666666664</v>
      </c>
      <c r="S31" s="46">
        <v>46084.541666666664</v>
      </c>
      <c r="T31" s="46">
        <v>46087.717361111114</v>
      </c>
      <c r="U31" s="46"/>
      <c r="V31" s="30" t="s">
        <v>2129</v>
      </c>
      <c r="W31" s="30" t="s">
        <v>2129</v>
      </c>
      <c r="X31" s="30" t="s">
        <v>2129</v>
      </c>
      <c r="Y31" s="30">
        <v>0</v>
      </c>
      <c r="Z31" s="30" t="s">
        <v>2129</v>
      </c>
      <c r="AA31" s="30" t="s">
        <v>2129</v>
      </c>
      <c r="AB31" s="30" t="s">
        <v>2129</v>
      </c>
      <c r="AC31" s="30" t="s">
        <v>2129</v>
      </c>
      <c r="AD31" s="30" t="s">
        <v>2156</v>
      </c>
      <c r="AE31" s="30" t="s">
        <v>2129</v>
      </c>
      <c r="AF31" s="30" t="s">
        <v>2129</v>
      </c>
      <c r="AG31" s="30" t="s">
        <v>2129</v>
      </c>
      <c r="AH31" s="30" t="s">
        <v>2129</v>
      </c>
      <c r="AI31" s="30" t="s">
        <v>2129</v>
      </c>
      <c r="AJ31" s="30" t="s">
        <v>2129</v>
      </c>
      <c r="AK31" s="30" t="s">
        <v>2129</v>
      </c>
      <c r="AL31" s="30" t="s">
        <v>2129</v>
      </c>
      <c r="AM31" s="30" t="s">
        <v>2129</v>
      </c>
      <c r="AN31" s="30" t="s">
        <v>2129</v>
      </c>
      <c r="AO31" s="30" t="s">
        <v>2129</v>
      </c>
      <c r="AP31" s="30" t="s">
        <v>2129</v>
      </c>
      <c r="AQ31" s="30" t="s">
        <v>2129</v>
      </c>
      <c r="AR31" s="30" t="s">
        <v>2129</v>
      </c>
      <c r="AS31" s="30" t="s">
        <v>2129</v>
      </c>
      <c r="AT31" s="30" t="s">
        <v>2129</v>
      </c>
      <c r="AU31" s="30" t="s">
        <v>2129</v>
      </c>
      <c r="AV31" s="30" t="s">
        <v>2129</v>
      </c>
      <c r="AW31" s="30" t="s">
        <v>2129</v>
      </c>
      <c r="AX31" s="30"/>
      <c r="AY31" s="30"/>
      <c r="AZ31" s="30" t="s">
        <v>2129</v>
      </c>
      <c r="BA31" s="30" t="s">
        <v>2129</v>
      </c>
      <c r="BB31" s="30"/>
      <c r="BC31" s="30"/>
      <c r="BD31" s="30" t="s">
        <v>2129</v>
      </c>
      <c r="BE31" s="30" t="s">
        <v>2129</v>
      </c>
      <c r="BF31" s="30" t="s">
        <v>2129</v>
      </c>
      <c r="BG31" s="30" t="s">
        <v>2129</v>
      </c>
      <c r="BH31" s="30" t="s">
        <v>2129</v>
      </c>
      <c r="BI31" s="30" t="s">
        <v>2129</v>
      </c>
      <c r="BJ31" s="30" t="s">
        <v>2129</v>
      </c>
      <c r="BK31" s="30" t="s">
        <v>2129</v>
      </c>
      <c r="BL31" s="30" t="s">
        <v>2129</v>
      </c>
      <c r="BM31" s="30" t="s">
        <v>2129</v>
      </c>
      <c r="BN31" s="30" t="s">
        <v>2129</v>
      </c>
      <c r="BO31" s="30" t="s">
        <v>2129</v>
      </c>
      <c r="BP31" s="30" t="s">
        <v>2129</v>
      </c>
      <c r="BQ31" s="30" t="s">
        <v>2129</v>
      </c>
      <c r="BR31" s="30" t="s">
        <v>2129</v>
      </c>
      <c r="BS31" s="30" t="s">
        <v>2129</v>
      </c>
      <c r="BT31" s="30" t="s">
        <v>2129</v>
      </c>
      <c r="BU31" s="30" t="s">
        <v>2129</v>
      </c>
      <c r="BV31" s="30" t="s">
        <v>2129</v>
      </c>
      <c r="BW31" s="30" t="s">
        <v>2129</v>
      </c>
      <c r="BX31" s="30" t="s">
        <v>2129</v>
      </c>
      <c r="BY31" s="30" t="s">
        <v>2129</v>
      </c>
      <c r="BZ31" s="30" t="s">
        <v>2129</v>
      </c>
      <c r="CA31" s="30" t="s">
        <v>2129</v>
      </c>
      <c r="CB31" s="30" t="s">
        <v>2129</v>
      </c>
      <c r="CC31" s="30" t="s">
        <v>2129</v>
      </c>
      <c r="CD31" s="30" t="s">
        <v>2129</v>
      </c>
      <c r="CE31" s="30" t="s">
        <v>3231</v>
      </c>
      <c r="CF31" s="30" t="s">
        <v>3232</v>
      </c>
      <c r="CG31" s="30" t="s">
        <v>2129</v>
      </c>
      <c r="CH31" s="30" t="s">
        <v>2129</v>
      </c>
      <c r="CI31" s="30" t="s">
        <v>2129</v>
      </c>
      <c r="CJ31" s="30" t="s">
        <v>2129</v>
      </c>
      <c r="CK31" s="30" t="s">
        <v>2129</v>
      </c>
      <c r="CL31" s="30" t="s">
        <v>2129</v>
      </c>
      <c r="CM31" s="30" t="s">
        <v>2129</v>
      </c>
      <c r="CN31" s="30" t="s">
        <v>2129</v>
      </c>
      <c r="CO31" s="30" t="s">
        <v>2129</v>
      </c>
      <c r="CP31" s="30" t="s">
        <v>2129</v>
      </c>
      <c r="CQ31" s="30" t="s">
        <v>2129</v>
      </c>
      <c r="CR31" s="30" t="s">
        <v>2129</v>
      </c>
      <c r="CS31" s="30"/>
      <c r="CT31" s="30" t="s">
        <v>2129</v>
      </c>
      <c r="CU31" s="30" t="s">
        <v>2129</v>
      </c>
      <c r="CV31" s="30" t="s">
        <v>2129</v>
      </c>
      <c r="CW31" s="30" t="s">
        <v>2129</v>
      </c>
      <c r="CX31" s="30" t="s">
        <v>2129</v>
      </c>
      <c r="CY31" s="30" t="s">
        <v>2129</v>
      </c>
      <c r="CZ31" s="30" t="s">
        <v>2129</v>
      </c>
      <c r="DA31" s="30" t="s">
        <v>2129</v>
      </c>
      <c r="DB31" s="30" t="s">
        <v>2129</v>
      </c>
      <c r="DC31" s="30" t="s">
        <v>2129</v>
      </c>
      <c r="DD31" s="30" t="s">
        <v>2129</v>
      </c>
      <c r="DE31" s="30" t="s">
        <v>2129</v>
      </c>
      <c r="DF31" s="30" t="s">
        <v>2129</v>
      </c>
      <c r="DG31" s="30" t="s">
        <v>2129</v>
      </c>
      <c r="DH31" s="30" t="s">
        <v>2129</v>
      </c>
      <c r="DI31" s="30" t="s">
        <v>2129</v>
      </c>
      <c r="DJ31" s="30" t="s">
        <v>2129</v>
      </c>
      <c r="DK31" s="30" t="s">
        <v>2129</v>
      </c>
      <c r="DL31" s="30" t="s">
        <v>2129</v>
      </c>
      <c r="DM31" s="30" t="s">
        <v>2129</v>
      </c>
      <c r="DN31" s="30" t="s">
        <v>2129</v>
      </c>
      <c r="DO31" s="30" t="s">
        <v>2129</v>
      </c>
      <c r="DP31" s="30" t="s">
        <v>2129</v>
      </c>
      <c r="DQ31" s="43" t="s">
        <v>2129</v>
      </c>
    </row>
    <row r="32" spans="1:121" x14ac:dyDescent="0.25">
      <c r="A32" s="39" t="s">
        <v>2159</v>
      </c>
      <c r="B32" s="29" t="s">
        <v>3233</v>
      </c>
      <c r="C32" s="29">
        <v>23096</v>
      </c>
      <c r="D32" s="29"/>
      <c r="E32" s="29" t="s">
        <v>2136</v>
      </c>
      <c r="F32" s="29" t="s">
        <v>10</v>
      </c>
      <c r="G32" s="29" t="s">
        <v>2155</v>
      </c>
      <c r="H32" s="29" t="s">
        <v>59</v>
      </c>
      <c r="I32" s="29" t="s">
        <v>2127</v>
      </c>
      <c r="J32" s="29" t="s">
        <v>2156</v>
      </c>
      <c r="K32" s="29" t="s">
        <v>2129</v>
      </c>
      <c r="L32" s="29" t="s">
        <v>2157</v>
      </c>
      <c r="M32" s="29" t="s">
        <v>2130</v>
      </c>
      <c r="N32" s="29" t="s">
        <v>2129</v>
      </c>
      <c r="O32" s="29" t="s">
        <v>2156</v>
      </c>
      <c r="P32" s="29" t="s">
        <v>2156</v>
      </c>
      <c r="Q32" s="29" t="s">
        <v>2156</v>
      </c>
      <c r="R32" s="45">
        <v>46084.540972222225</v>
      </c>
      <c r="S32" s="45">
        <v>46084.540972222225</v>
      </c>
      <c r="T32" s="45">
        <v>46087.717361111114</v>
      </c>
      <c r="U32" s="45"/>
      <c r="V32" s="29" t="s">
        <v>2129</v>
      </c>
      <c r="W32" s="29" t="s">
        <v>2129</v>
      </c>
      <c r="X32" s="29" t="s">
        <v>2129</v>
      </c>
      <c r="Y32" s="29">
        <v>0</v>
      </c>
      <c r="Z32" s="29" t="s">
        <v>2129</v>
      </c>
      <c r="AA32" s="29" t="s">
        <v>2129</v>
      </c>
      <c r="AB32" s="29" t="s">
        <v>2129</v>
      </c>
      <c r="AC32" s="29" t="s">
        <v>2129</v>
      </c>
      <c r="AD32" s="29" t="s">
        <v>2156</v>
      </c>
      <c r="AE32" s="29" t="s">
        <v>2129</v>
      </c>
      <c r="AF32" s="29" t="s">
        <v>2129</v>
      </c>
      <c r="AG32" s="29" t="s">
        <v>2129</v>
      </c>
      <c r="AH32" s="29" t="s">
        <v>2129</v>
      </c>
      <c r="AI32" s="29" t="s">
        <v>2129</v>
      </c>
      <c r="AJ32" s="29" t="s">
        <v>2129</v>
      </c>
      <c r="AK32" s="29" t="s">
        <v>2129</v>
      </c>
      <c r="AL32" s="29" t="s">
        <v>2129</v>
      </c>
      <c r="AM32" s="29" t="s">
        <v>2129</v>
      </c>
      <c r="AN32" s="29" t="s">
        <v>2129</v>
      </c>
      <c r="AO32" s="29" t="s">
        <v>2129</v>
      </c>
      <c r="AP32" s="29" t="s">
        <v>2129</v>
      </c>
      <c r="AQ32" s="29" t="s">
        <v>2129</v>
      </c>
      <c r="AR32" s="29" t="s">
        <v>2129</v>
      </c>
      <c r="AS32" s="29" t="s">
        <v>2129</v>
      </c>
      <c r="AT32" s="29" t="s">
        <v>2129</v>
      </c>
      <c r="AU32" s="29" t="s">
        <v>2129</v>
      </c>
      <c r="AV32" s="29" t="s">
        <v>2129</v>
      </c>
      <c r="AW32" s="29" t="s">
        <v>2129</v>
      </c>
      <c r="AX32" s="29"/>
      <c r="AY32" s="29"/>
      <c r="AZ32" s="29" t="s">
        <v>2129</v>
      </c>
      <c r="BA32" s="29" t="s">
        <v>2129</v>
      </c>
      <c r="BB32" s="29"/>
      <c r="BC32" s="29"/>
      <c r="BD32" s="29" t="s">
        <v>2129</v>
      </c>
      <c r="BE32" s="29" t="s">
        <v>2129</v>
      </c>
      <c r="BF32" s="29" t="s">
        <v>2129</v>
      </c>
      <c r="BG32" s="29" t="s">
        <v>2129</v>
      </c>
      <c r="BH32" s="29" t="s">
        <v>2129</v>
      </c>
      <c r="BI32" s="29" t="s">
        <v>2129</v>
      </c>
      <c r="BJ32" s="29" t="s">
        <v>2129</v>
      </c>
      <c r="BK32" s="29" t="s">
        <v>2129</v>
      </c>
      <c r="BL32" s="29" t="s">
        <v>2129</v>
      </c>
      <c r="BM32" s="29" t="s">
        <v>2129</v>
      </c>
      <c r="BN32" s="29" t="s">
        <v>2129</v>
      </c>
      <c r="BO32" s="29" t="s">
        <v>2129</v>
      </c>
      <c r="BP32" s="29" t="s">
        <v>2129</v>
      </c>
      <c r="BQ32" s="29" t="s">
        <v>2129</v>
      </c>
      <c r="BR32" s="29" t="s">
        <v>2129</v>
      </c>
      <c r="BS32" s="29" t="s">
        <v>2129</v>
      </c>
      <c r="BT32" s="29" t="s">
        <v>2129</v>
      </c>
      <c r="BU32" s="29" t="s">
        <v>2129</v>
      </c>
      <c r="BV32" s="29" t="s">
        <v>2129</v>
      </c>
      <c r="BW32" s="29" t="s">
        <v>2129</v>
      </c>
      <c r="BX32" s="29" t="s">
        <v>2129</v>
      </c>
      <c r="BY32" s="29" t="s">
        <v>2129</v>
      </c>
      <c r="BZ32" s="29" t="s">
        <v>2129</v>
      </c>
      <c r="CA32" s="29" t="s">
        <v>2129</v>
      </c>
      <c r="CB32" s="29" t="s">
        <v>2129</v>
      </c>
      <c r="CC32" s="29" t="s">
        <v>2129</v>
      </c>
      <c r="CD32" s="29" t="s">
        <v>2129</v>
      </c>
      <c r="CE32" s="29" t="s">
        <v>3234</v>
      </c>
      <c r="CF32" s="29" t="s">
        <v>3232</v>
      </c>
      <c r="CG32" s="29" t="s">
        <v>2129</v>
      </c>
      <c r="CH32" s="29" t="s">
        <v>2129</v>
      </c>
      <c r="CI32" s="29" t="s">
        <v>2129</v>
      </c>
      <c r="CJ32" s="29" t="s">
        <v>2129</v>
      </c>
      <c r="CK32" s="29" t="s">
        <v>2129</v>
      </c>
      <c r="CL32" s="29" t="s">
        <v>2129</v>
      </c>
      <c r="CM32" s="29" t="s">
        <v>2129</v>
      </c>
      <c r="CN32" s="29" t="s">
        <v>2129</v>
      </c>
      <c r="CO32" s="29" t="s">
        <v>2129</v>
      </c>
      <c r="CP32" s="29" t="s">
        <v>2129</v>
      </c>
      <c r="CQ32" s="29" t="s">
        <v>2129</v>
      </c>
      <c r="CR32" s="29" t="s">
        <v>2129</v>
      </c>
      <c r="CS32" s="29"/>
      <c r="CT32" s="29" t="s">
        <v>2129</v>
      </c>
      <c r="CU32" s="29" t="s">
        <v>2129</v>
      </c>
      <c r="CV32" s="29" t="s">
        <v>2129</v>
      </c>
      <c r="CW32" s="29" t="s">
        <v>2129</v>
      </c>
      <c r="CX32" s="29" t="s">
        <v>2129</v>
      </c>
      <c r="CY32" s="29" t="s">
        <v>2129</v>
      </c>
      <c r="CZ32" s="29" t="s">
        <v>2129</v>
      </c>
      <c r="DA32" s="29" t="s">
        <v>2129</v>
      </c>
      <c r="DB32" s="29" t="s">
        <v>2129</v>
      </c>
      <c r="DC32" s="29" t="s">
        <v>2129</v>
      </c>
      <c r="DD32" s="29" t="s">
        <v>2129</v>
      </c>
      <c r="DE32" s="29" t="s">
        <v>2129</v>
      </c>
      <c r="DF32" s="29" t="s">
        <v>2129</v>
      </c>
      <c r="DG32" s="29" t="s">
        <v>2129</v>
      </c>
      <c r="DH32" s="29" t="s">
        <v>2129</v>
      </c>
      <c r="DI32" s="29" t="s">
        <v>2129</v>
      </c>
      <c r="DJ32" s="29" t="s">
        <v>2129</v>
      </c>
      <c r="DK32" s="29" t="s">
        <v>2129</v>
      </c>
      <c r="DL32" s="29" t="s">
        <v>2129</v>
      </c>
      <c r="DM32" s="29" t="s">
        <v>2129</v>
      </c>
      <c r="DN32" s="29" t="s">
        <v>2129</v>
      </c>
      <c r="DO32" s="29" t="s">
        <v>2129</v>
      </c>
      <c r="DP32" s="29" t="s">
        <v>2129</v>
      </c>
      <c r="DQ32" s="42" t="s">
        <v>2129</v>
      </c>
    </row>
    <row r="33" spans="1:121" x14ac:dyDescent="0.25">
      <c r="A33" s="36" t="s">
        <v>2159</v>
      </c>
      <c r="B33" s="30" t="s">
        <v>3235</v>
      </c>
      <c r="C33" s="30">
        <v>23006</v>
      </c>
      <c r="D33" s="30"/>
      <c r="E33" s="30" t="s">
        <v>2136</v>
      </c>
      <c r="F33" s="30" t="s">
        <v>10</v>
      </c>
      <c r="G33" s="30" t="s">
        <v>2155</v>
      </c>
      <c r="H33" s="30" t="s">
        <v>59</v>
      </c>
      <c r="I33" s="30" t="s">
        <v>2127</v>
      </c>
      <c r="J33" s="30" t="s">
        <v>2156</v>
      </c>
      <c r="K33" s="30" t="s">
        <v>2129</v>
      </c>
      <c r="L33" s="30" t="s">
        <v>2157</v>
      </c>
      <c r="M33" s="30" t="s">
        <v>2130</v>
      </c>
      <c r="N33" s="30" t="s">
        <v>2129</v>
      </c>
      <c r="O33" s="30" t="s">
        <v>2158</v>
      </c>
      <c r="P33" s="30" t="s">
        <v>2156</v>
      </c>
      <c r="Q33" s="30" t="s">
        <v>2156</v>
      </c>
      <c r="R33" s="46">
        <v>46073.394444444442</v>
      </c>
      <c r="S33" s="46">
        <v>46076.336111111108</v>
      </c>
      <c r="T33" s="46">
        <v>46087.717361111114</v>
      </c>
      <c r="U33" s="46"/>
      <c r="V33" s="30" t="s">
        <v>2129</v>
      </c>
      <c r="W33" s="30" t="s">
        <v>2129</v>
      </c>
      <c r="X33" s="30" t="s">
        <v>2129</v>
      </c>
      <c r="Y33" s="30">
        <v>0</v>
      </c>
      <c r="Z33" s="30" t="s">
        <v>2129</v>
      </c>
      <c r="AA33" s="30" t="s">
        <v>2129</v>
      </c>
      <c r="AB33" s="30" t="s">
        <v>2129</v>
      </c>
      <c r="AC33" s="30" t="s">
        <v>2129</v>
      </c>
      <c r="AD33" s="30" t="s">
        <v>2156</v>
      </c>
      <c r="AE33" s="30" t="s">
        <v>2129</v>
      </c>
      <c r="AF33" s="30" t="s">
        <v>2129</v>
      </c>
      <c r="AG33" s="30" t="s">
        <v>2129</v>
      </c>
      <c r="AH33" s="30" t="s">
        <v>2129</v>
      </c>
      <c r="AI33" s="30" t="s">
        <v>2129</v>
      </c>
      <c r="AJ33" s="30" t="s">
        <v>2129</v>
      </c>
      <c r="AK33" s="30" t="s">
        <v>2129</v>
      </c>
      <c r="AL33" s="30" t="s">
        <v>2129</v>
      </c>
      <c r="AM33" s="30" t="s">
        <v>2129</v>
      </c>
      <c r="AN33" s="30" t="s">
        <v>2129</v>
      </c>
      <c r="AO33" s="30" t="s">
        <v>2129</v>
      </c>
      <c r="AP33" s="30" t="s">
        <v>2129</v>
      </c>
      <c r="AQ33" s="30" t="s">
        <v>2129</v>
      </c>
      <c r="AR33" s="30" t="s">
        <v>2129</v>
      </c>
      <c r="AS33" s="30" t="s">
        <v>2129</v>
      </c>
      <c r="AT33" s="30" t="s">
        <v>2129</v>
      </c>
      <c r="AU33" s="30" t="s">
        <v>2129</v>
      </c>
      <c r="AV33" s="30" t="s">
        <v>2129</v>
      </c>
      <c r="AW33" s="30" t="s">
        <v>2129</v>
      </c>
      <c r="AX33" s="30"/>
      <c r="AY33" s="30"/>
      <c r="AZ33" s="30" t="s">
        <v>2129</v>
      </c>
      <c r="BA33" s="30" t="s">
        <v>2129</v>
      </c>
      <c r="BB33" s="30"/>
      <c r="BC33" s="30"/>
      <c r="BD33" s="30" t="s">
        <v>2129</v>
      </c>
      <c r="BE33" s="30" t="s">
        <v>2129</v>
      </c>
      <c r="BF33" s="30" t="s">
        <v>2129</v>
      </c>
      <c r="BG33" s="30" t="s">
        <v>2129</v>
      </c>
      <c r="BH33" s="30" t="s">
        <v>2129</v>
      </c>
      <c r="BI33" s="30" t="s">
        <v>2129</v>
      </c>
      <c r="BJ33" s="30" t="s">
        <v>2129</v>
      </c>
      <c r="BK33" s="30" t="s">
        <v>2129</v>
      </c>
      <c r="BL33" s="30" t="s">
        <v>2129</v>
      </c>
      <c r="BM33" s="30" t="s">
        <v>2129</v>
      </c>
      <c r="BN33" s="30" t="s">
        <v>2129</v>
      </c>
      <c r="BO33" s="30" t="s">
        <v>2129</v>
      </c>
      <c r="BP33" s="30" t="s">
        <v>2129</v>
      </c>
      <c r="BQ33" s="30" t="s">
        <v>2129</v>
      </c>
      <c r="BR33" s="30" t="s">
        <v>2129</v>
      </c>
      <c r="BS33" s="30" t="s">
        <v>2129</v>
      </c>
      <c r="BT33" s="30" t="s">
        <v>2129</v>
      </c>
      <c r="BU33" s="30" t="s">
        <v>2129</v>
      </c>
      <c r="BV33" s="30" t="s">
        <v>2129</v>
      </c>
      <c r="BW33" s="30" t="s">
        <v>2129</v>
      </c>
      <c r="BX33" s="30" t="s">
        <v>2129</v>
      </c>
      <c r="BY33" s="30" t="s">
        <v>2129</v>
      </c>
      <c r="BZ33" s="30" t="s">
        <v>2129</v>
      </c>
      <c r="CA33" s="30" t="s">
        <v>2129</v>
      </c>
      <c r="CB33" s="30" t="s">
        <v>2129</v>
      </c>
      <c r="CC33" s="30" t="s">
        <v>2129</v>
      </c>
      <c r="CD33" s="30" t="s">
        <v>2129</v>
      </c>
      <c r="CE33" s="30" t="s">
        <v>3236</v>
      </c>
      <c r="CF33" s="30" t="s">
        <v>3237</v>
      </c>
      <c r="CG33" s="30" t="s">
        <v>2129</v>
      </c>
      <c r="CH33" s="30" t="s">
        <v>2129</v>
      </c>
      <c r="CI33" s="30" t="s">
        <v>2129</v>
      </c>
      <c r="CJ33" s="30" t="s">
        <v>2129</v>
      </c>
      <c r="CK33" s="30" t="s">
        <v>2129</v>
      </c>
      <c r="CL33" s="30" t="s">
        <v>2129</v>
      </c>
      <c r="CM33" s="30" t="s">
        <v>2129</v>
      </c>
      <c r="CN33" s="30" t="s">
        <v>2129</v>
      </c>
      <c r="CO33" s="30" t="s">
        <v>2129</v>
      </c>
      <c r="CP33" s="30" t="s">
        <v>2129</v>
      </c>
      <c r="CQ33" s="30" t="s">
        <v>2129</v>
      </c>
      <c r="CR33" s="30" t="s">
        <v>2129</v>
      </c>
      <c r="CS33" s="30"/>
      <c r="CT33" s="30" t="s">
        <v>2129</v>
      </c>
      <c r="CU33" s="30" t="s">
        <v>2129</v>
      </c>
      <c r="CV33" s="30" t="s">
        <v>2129</v>
      </c>
      <c r="CW33" s="30" t="s">
        <v>2129</v>
      </c>
      <c r="CX33" s="30" t="s">
        <v>2129</v>
      </c>
      <c r="CY33" s="30" t="s">
        <v>2129</v>
      </c>
      <c r="CZ33" s="30" t="s">
        <v>2129</v>
      </c>
      <c r="DA33" s="30" t="s">
        <v>2129</v>
      </c>
      <c r="DB33" s="30" t="s">
        <v>2129</v>
      </c>
      <c r="DC33" s="30" t="s">
        <v>2129</v>
      </c>
      <c r="DD33" s="30" t="s">
        <v>2129</v>
      </c>
      <c r="DE33" s="30" t="s">
        <v>2129</v>
      </c>
      <c r="DF33" s="30" t="s">
        <v>2129</v>
      </c>
      <c r="DG33" s="30" t="s">
        <v>2129</v>
      </c>
      <c r="DH33" s="30" t="s">
        <v>2129</v>
      </c>
      <c r="DI33" s="30" t="s">
        <v>2129</v>
      </c>
      <c r="DJ33" s="30" t="s">
        <v>2129</v>
      </c>
      <c r="DK33" s="30" t="s">
        <v>2129</v>
      </c>
      <c r="DL33" s="30" t="s">
        <v>2129</v>
      </c>
      <c r="DM33" s="30" t="s">
        <v>2129</v>
      </c>
      <c r="DN33" s="30" t="s">
        <v>2129</v>
      </c>
      <c r="DO33" s="30" t="s">
        <v>2129</v>
      </c>
      <c r="DP33" s="30" t="s">
        <v>2129</v>
      </c>
      <c r="DQ33" s="43" t="s">
        <v>2129</v>
      </c>
    </row>
    <row r="34" spans="1:121" x14ac:dyDescent="0.25">
      <c r="A34" s="39" t="s">
        <v>2159</v>
      </c>
      <c r="B34" s="29" t="s">
        <v>2879</v>
      </c>
      <c r="C34" s="29">
        <v>22949</v>
      </c>
      <c r="D34" s="29"/>
      <c r="E34" s="29" t="s">
        <v>2136</v>
      </c>
      <c r="F34" s="29" t="s">
        <v>16</v>
      </c>
      <c r="G34" s="29" t="s">
        <v>2155</v>
      </c>
      <c r="H34" s="29" t="s">
        <v>59</v>
      </c>
      <c r="I34" s="29" t="s">
        <v>2127</v>
      </c>
      <c r="J34" s="29" t="s">
        <v>2156</v>
      </c>
      <c r="K34" s="29" t="s">
        <v>2129</v>
      </c>
      <c r="L34" s="29" t="s">
        <v>2157</v>
      </c>
      <c r="M34" s="29" t="s">
        <v>2130</v>
      </c>
      <c r="N34" s="29" t="s">
        <v>16</v>
      </c>
      <c r="O34" s="29" t="s">
        <v>2158</v>
      </c>
      <c r="P34" s="29" t="s">
        <v>2156</v>
      </c>
      <c r="Q34" s="29" t="s">
        <v>2156</v>
      </c>
      <c r="R34" s="45">
        <v>46062.330555555556</v>
      </c>
      <c r="S34" s="45">
        <v>46076.336111111108</v>
      </c>
      <c r="T34" s="45">
        <v>46070.417361111111</v>
      </c>
      <c r="U34" s="45">
        <v>46076.335416666669</v>
      </c>
      <c r="V34" s="29" t="s">
        <v>2129</v>
      </c>
      <c r="W34" s="29" t="s">
        <v>2129</v>
      </c>
      <c r="X34" s="29" t="s">
        <v>2129</v>
      </c>
      <c r="Y34" s="29">
        <v>0</v>
      </c>
      <c r="Z34" s="29" t="s">
        <v>2129</v>
      </c>
      <c r="AA34" s="29" t="s">
        <v>2129</v>
      </c>
      <c r="AB34" s="29" t="s">
        <v>2129</v>
      </c>
      <c r="AC34" s="29" t="s">
        <v>2129</v>
      </c>
      <c r="AD34" s="29" t="s">
        <v>2156</v>
      </c>
      <c r="AE34" s="29" t="s">
        <v>2129</v>
      </c>
      <c r="AF34" s="29" t="s">
        <v>2129</v>
      </c>
      <c r="AG34" s="29" t="s">
        <v>2129</v>
      </c>
      <c r="AH34" s="29" t="s">
        <v>2129</v>
      </c>
      <c r="AI34" s="29" t="s">
        <v>2880</v>
      </c>
      <c r="AJ34" s="29" t="s">
        <v>2129</v>
      </c>
      <c r="AK34" s="29" t="s">
        <v>2129</v>
      </c>
      <c r="AL34" s="29" t="s">
        <v>2129</v>
      </c>
      <c r="AM34" s="29" t="s">
        <v>2129</v>
      </c>
      <c r="AN34" s="29" t="s">
        <v>2129</v>
      </c>
      <c r="AO34" s="29" t="s">
        <v>2129</v>
      </c>
      <c r="AP34" s="29" t="s">
        <v>2129</v>
      </c>
      <c r="AQ34" s="29" t="s">
        <v>2129</v>
      </c>
      <c r="AR34" s="29" t="s">
        <v>2129</v>
      </c>
      <c r="AS34" s="29" t="s">
        <v>2129</v>
      </c>
      <c r="AT34" s="29" t="s">
        <v>2129</v>
      </c>
      <c r="AU34" s="29" t="s">
        <v>2129</v>
      </c>
      <c r="AV34" s="29" t="s">
        <v>2129</v>
      </c>
      <c r="AW34" s="29" t="s">
        <v>2129</v>
      </c>
      <c r="AX34" s="29">
        <v>0</v>
      </c>
      <c r="AY34" s="29">
        <v>3600</v>
      </c>
      <c r="AZ34" s="29" t="s">
        <v>2129</v>
      </c>
      <c r="BA34" s="29" t="s">
        <v>2129</v>
      </c>
      <c r="BB34" s="29">
        <v>0</v>
      </c>
      <c r="BC34" s="29">
        <v>3600</v>
      </c>
      <c r="BD34" s="29" t="s">
        <v>2129</v>
      </c>
      <c r="BE34" s="29" t="s">
        <v>2129</v>
      </c>
      <c r="BF34" s="29" t="s">
        <v>2129</v>
      </c>
      <c r="BG34" s="29" t="s">
        <v>2129</v>
      </c>
      <c r="BH34" s="29" t="s">
        <v>2129</v>
      </c>
      <c r="BI34" s="29" t="s">
        <v>2129</v>
      </c>
      <c r="BJ34" s="29" t="s">
        <v>2129</v>
      </c>
      <c r="BK34" s="29" t="s">
        <v>2129</v>
      </c>
      <c r="BL34" s="29" t="s">
        <v>2129</v>
      </c>
      <c r="BM34" s="29" t="s">
        <v>2129</v>
      </c>
      <c r="BN34" s="29" t="s">
        <v>2129</v>
      </c>
      <c r="BO34" s="29" t="s">
        <v>2129</v>
      </c>
      <c r="BP34" s="29" t="s">
        <v>2129</v>
      </c>
      <c r="BQ34" s="29" t="s">
        <v>2129</v>
      </c>
      <c r="BR34" s="29" t="s">
        <v>2129</v>
      </c>
      <c r="BS34" s="29" t="s">
        <v>2129</v>
      </c>
      <c r="BT34" s="29" t="s">
        <v>2129</v>
      </c>
      <c r="BU34" s="29" t="s">
        <v>2129</v>
      </c>
      <c r="BV34" s="29" t="s">
        <v>2129</v>
      </c>
      <c r="BW34" s="29" t="s">
        <v>2129</v>
      </c>
      <c r="BX34" s="29" t="s">
        <v>2129</v>
      </c>
      <c r="BY34" s="29" t="s">
        <v>2129</v>
      </c>
      <c r="BZ34" s="29" t="s">
        <v>2129</v>
      </c>
      <c r="CA34" s="29" t="s">
        <v>2129</v>
      </c>
      <c r="CB34" s="29" t="s">
        <v>2129</v>
      </c>
      <c r="CC34" s="29" t="s">
        <v>2129</v>
      </c>
      <c r="CD34" s="29" t="s">
        <v>2129</v>
      </c>
      <c r="CE34" s="29" t="s">
        <v>2881</v>
      </c>
      <c r="CF34" s="29" t="s">
        <v>2882</v>
      </c>
      <c r="CG34" s="29" t="s">
        <v>2129</v>
      </c>
      <c r="CH34" s="29" t="s">
        <v>2129</v>
      </c>
      <c r="CI34" s="29" t="s">
        <v>2129</v>
      </c>
      <c r="CJ34" s="29" t="s">
        <v>2129</v>
      </c>
      <c r="CK34" s="29" t="s">
        <v>2129</v>
      </c>
      <c r="CL34" s="29" t="s">
        <v>2129</v>
      </c>
      <c r="CM34" s="29" t="s">
        <v>2129</v>
      </c>
      <c r="CN34" s="29" t="s">
        <v>2129</v>
      </c>
      <c r="CO34" s="29" t="s">
        <v>2129</v>
      </c>
      <c r="CP34" s="29" t="s">
        <v>2129</v>
      </c>
      <c r="CQ34" s="29" t="s">
        <v>2129</v>
      </c>
      <c r="CR34" s="29" t="s">
        <v>2129</v>
      </c>
      <c r="CS34" s="29"/>
      <c r="CT34" s="29" t="s">
        <v>2129</v>
      </c>
      <c r="CU34" s="29" t="s">
        <v>2129</v>
      </c>
      <c r="CV34" s="29" t="s">
        <v>2129</v>
      </c>
      <c r="CW34" s="29" t="s">
        <v>2129</v>
      </c>
      <c r="CX34" s="29" t="s">
        <v>2129</v>
      </c>
      <c r="CY34" s="29" t="s">
        <v>2129</v>
      </c>
      <c r="CZ34" s="29" t="s">
        <v>2129</v>
      </c>
      <c r="DA34" s="29" t="s">
        <v>2129</v>
      </c>
      <c r="DB34" s="29" t="s">
        <v>2129</v>
      </c>
      <c r="DC34" s="29" t="s">
        <v>2129</v>
      </c>
      <c r="DD34" s="29" t="s">
        <v>2129</v>
      </c>
      <c r="DE34" s="29" t="s">
        <v>2129</v>
      </c>
      <c r="DF34" s="29" t="s">
        <v>2129</v>
      </c>
      <c r="DG34" s="29" t="s">
        <v>2129</v>
      </c>
      <c r="DH34" s="29" t="s">
        <v>2129</v>
      </c>
      <c r="DI34" s="29" t="s">
        <v>2129</v>
      </c>
      <c r="DJ34" s="29" t="s">
        <v>2129</v>
      </c>
      <c r="DK34" s="29" t="s">
        <v>2129</v>
      </c>
      <c r="DL34" s="29" t="s">
        <v>2129</v>
      </c>
      <c r="DM34" s="29" t="s">
        <v>2129</v>
      </c>
      <c r="DN34" s="29" t="s">
        <v>2129</v>
      </c>
      <c r="DO34" s="29" t="s">
        <v>2129</v>
      </c>
      <c r="DP34" s="29" t="s">
        <v>2129</v>
      </c>
      <c r="DQ34" s="42" t="s">
        <v>2129</v>
      </c>
    </row>
    <row r="35" spans="1:121" x14ac:dyDescent="0.25">
      <c r="A35" s="36" t="s">
        <v>2159</v>
      </c>
      <c r="B35" s="30" t="s">
        <v>2883</v>
      </c>
      <c r="C35" s="30">
        <v>22948</v>
      </c>
      <c r="D35" s="30"/>
      <c r="E35" s="30" t="s">
        <v>2136</v>
      </c>
      <c r="F35" s="30" t="s">
        <v>16</v>
      </c>
      <c r="G35" s="30" t="s">
        <v>2155</v>
      </c>
      <c r="H35" s="30" t="s">
        <v>59</v>
      </c>
      <c r="I35" s="30" t="s">
        <v>2127</v>
      </c>
      <c r="J35" s="30" t="s">
        <v>2156</v>
      </c>
      <c r="K35" s="30" t="s">
        <v>2129</v>
      </c>
      <c r="L35" s="30" t="s">
        <v>2157</v>
      </c>
      <c r="M35" s="30" t="s">
        <v>2130</v>
      </c>
      <c r="N35" s="30" t="s">
        <v>16</v>
      </c>
      <c r="O35" s="30" t="s">
        <v>2156</v>
      </c>
      <c r="P35" s="30" t="s">
        <v>2156</v>
      </c>
      <c r="Q35" s="30" t="s">
        <v>2156</v>
      </c>
      <c r="R35" s="46">
        <v>46062.330555555556</v>
      </c>
      <c r="S35" s="46">
        <v>46076.335416666669</v>
      </c>
      <c r="T35" s="46">
        <v>46087.717361111114</v>
      </c>
      <c r="U35" s="46">
        <v>46076.335416666669</v>
      </c>
      <c r="V35" s="30" t="s">
        <v>2129</v>
      </c>
      <c r="W35" s="30" t="s">
        <v>2129</v>
      </c>
      <c r="X35" s="30" t="s">
        <v>2129</v>
      </c>
      <c r="Y35" s="30">
        <v>0</v>
      </c>
      <c r="Z35" s="30" t="s">
        <v>2129</v>
      </c>
      <c r="AA35" s="30" t="s">
        <v>2129</v>
      </c>
      <c r="AB35" s="30" t="s">
        <v>2129</v>
      </c>
      <c r="AC35" s="30" t="s">
        <v>2129</v>
      </c>
      <c r="AD35" s="30" t="s">
        <v>2156</v>
      </c>
      <c r="AE35" s="30" t="s">
        <v>2129</v>
      </c>
      <c r="AF35" s="30" t="s">
        <v>2129</v>
      </c>
      <c r="AG35" s="30" t="s">
        <v>2129</v>
      </c>
      <c r="AH35" s="30" t="s">
        <v>2129</v>
      </c>
      <c r="AI35" s="30" t="s">
        <v>2884</v>
      </c>
      <c r="AJ35" s="30" t="s">
        <v>2885</v>
      </c>
      <c r="AK35" s="30" t="s">
        <v>2129</v>
      </c>
      <c r="AL35" s="30" t="s">
        <v>2129</v>
      </c>
      <c r="AM35" s="30" t="s">
        <v>2129</v>
      </c>
      <c r="AN35" s="30" t="s">
        <v>2129</v>
      </c>
      <c r="AO35" s="30" t="s">
        <v>2129</v>
      </c>
      <c r="AP35" s="30" t="s">
        <v>2129</v>
      </c>
      <c r="AQ35" s="30" t="s">
        <v>2129</v>
      </c>
      <c r="AR35" s="30" t="s">
        <v>2129</v>
      </c>
      <c r="AS35" s="30" t="s">
        <v>2129</v>
      </c>
      <c r="AT35" s="30" t="s">
        <v>2129</v>
      </c>
      <c r="AU35" s="30" t="s">
        <v>2129</v>
      </c>
      <c r="AV35" s="30" t="s">
        <v>2129</v>
      </c>
      <c r="AW35" s="30" t="s">
        <v>2129</v>
      </c>
      <c r="AX35" s="30">
        <v>0</v>
      </c>
      <c r="AY35" s="30">
        <v>8100</v>
      </c>
      <c r="AZ35" s="30" t="s">
        <v>2129</v>
      </c>
      <c r="BA35" s="30" t="s">
        <v>2129</v>
      </c>
      <c r="BB35" s="30">
        <v>0</v>
      </c>
      <c r="BC35" s="30">
        <v>8100</v>
      </c>
      <c r="BD35" s="30" t="s">
        <v>2129</v>
      </c>
      <c r="BE35" s="30" t="s">
        <v>2129</v>
      </c>
      <c r="BF35" s="30" t="s">
        <v>2129</v>
      </c>
      <c r="BG35" s="30" t="s">
        <v>2129</v>
      </c>
      <c r="BH35" s="30" t="s">
        <v>2129</v>
      </c>
      <c r="BI35" s="30" t="s">
        <v>2129</v>
      </c>
      <c r="BJ35" s="30" t="s">
        <v>2129</v>
      </c>
      <c r="BK35" s="30" t="s">
        <v>2129</v>
      </c>
      <c r="BL35" s="30" t="s">
        <v>2129</v>
      </c>
      <c r="BM35" s="30" t="s">
        <v>2129</v>
      </c>
      <c r="BN35" s="30" t="s">
        <v>2129</v>
      </c>
      <c r="BO35" s="30" t="s">
        <v>2129</v>
      </c>
      <c r="BP35" s="30" t="s">
        <v>2129</v>
      </c>
      <c r="BQ35" s="30" t="s">
        <v>2129</v>
      </c>
      <c r="BR35" s="30" t="s">
        <v>2129</v>
      </c>
      <c r="BS35" s="30" t="s">
        <v>2129</v>
      </c>
      <c r="BT35" s="30" t="s">
        <v>2129</v>
      </c>
      <c r="BU35" s="30" t="s">
        <v>2129</v>
      </c>
      <c r="BV35" s="30" t="s">
        <v>2129</v>
      </c>
      <c r="BW35" s="30" t="s">
        <v>2129</v>
      </c>
      <c r="BX35" s="30" t="s">
        <v>2129</v>
      </c>
      <c r="BY35" s="30" t="s">
        <v>2129</v>
      </c>
      <c r="BZ35" s="30" t="s">
        <v>2129</v>
      </c>
      <c r="CA35" s="30" t="s">
        <v>2129</v>
      </c>
      <c r="CB35" s="30" t="s">
        <v>2129</v>
      </c>
      <c r="CC35" s="30" t="s">
        <v>2129</v>
      </c>
      <c r="CD35" s="30" t="s">
        <v>2129</v>
      </c>
      <c r="CE35" s="30" t="s">
        <v>2886</v>
      </c>
      <c r="CF35" s="30" t="s">
        <v>2882</v>
      </c>
      <c r="CG35" s="30" t="s">
        <v>2129</v>
      </c>
      <c r="CH35" s="30" t="s">
        <v>2129</v>
      </c>
      <c r="CI35" s="30" t="s">
        <v>2129</v>
      </c>
      <c r="CJ35" s="30" t="s">
        <v>2129</v>
      </c>
      <c r="CK35" s="30" t="s">
        <v>2129</v>
      </c>
      <c r="CL35" s="30" t="s">
        <v>2129</v>
      </c>
      <c r="CM35" s="30" t="s">
        <v>2129</v>
      </c>
      <c r="CN35" s="30" t="s">
        <v>2129</v>
      </c>
      <c r="CO35" s="30" t="s">
        <v>2129</v>
      </c>
      <c r="CP35" s="30" t="s">
        <v>2129</v>
      </c>
      <c r="CQ35" s="30" t="s">
        <v>2129</v>
      </c>
      <c r="CR35" s="30" t="s">
        <v>2129</v>
      </c>
      <c r="CS35" s="30"/>
      <c r="CT35" s="30" t="s">
        <v>2129</v>
      </c>
      <c r="CU35" s="30" t="s">
        <v>2129</v>
      </c>
      <c r="CV35" s="30" t="s">
        <v>2129</v>
      </c>
      <c r="CW35" s="30" t="s">
        <v>2129</v>
      </c>
      <c r="CX35" s="30" t="s">
        <v>2129</v>
      </c>
      <c r="CY35" s="30" t="s">
        <v>2129</v>
      </c>
      <c r="CZ35" s="30" t="s">
        <v>2129</v>
      </c>
      <c r="DA35" s="30" t="s">
        <v>2129</v>
      </c>
      <c r="DB35" s="30" t="s">
        <v>2129</v>
      </c>
      <c r="DC35" s="30" t="s">
        <v>2129</v>
      </c>
      <c r="DD35" s="30" t="s">
        <v>2129</v>
      </c>
      <c r="DE35" s="30" t="s">
        <v>2129</v>
      </c>
      <c r="DF35" s="30" t="s">
        <v>2129</v>
      </c>
      <c r="DG35" s="30" t="s">
        <v>2129</v>
      </c>
      <c r="DH35" s="30" t="s">
        <v>2129</v>
      </c>
      <c r="DI35" s="30" t="s">
        <v>2129</v>
      </c>
      <c r="DJ35" s="30" t="s">
        <v>2129</v>
      </c>
      <c r="DK35" s="30" t="s">
        <v>2129</v>
      </c>
      <c r="DL35" s="30" t="s">
        <v>2129</v>
      </c>
      <c r="DM35" s="30" t="s">
        <v>2129</v>
      </c>
      <c r="DN35" s="30" t="s">
        <v>2129</v>
      </c>
      <c r="DO35" s="30" t="s">
        <v>2129</v>
      </c>
      <c r="DP35" s="30" t="s">
        <v>2129</v>
      </c>
      <c r="DQ35" s="43" t="s">
        <v>2129</v>
      </c>
    </row>
    <row r="36" spans="1:121" x14ac:dyDescent="0.25">
      <c r="A36" s="39" t="s">
        <v>2461</v>
      </c>
      <c r="B36" s="29" t="s">
        <v>2524</v>
      </c>
      <c r="C36" s="29">
        <v>22804</v>
      </c>
      <c r="D36" s="29"/>
      <c r="E36" s="29" t="s">
        <v>14</v>
      </c>
      <c r="F36" s="29" t="s">
        <v>16</v>
      </c>
      <c r="G36" s="29" t="s">
        <v>3238</v>
      </c>
      <c r="H36" s="29" t="s">
        <v>455</v>
      </c>
      <c r="I36" s="29" t="s">
        <v>2127</v>
      </c>
      <c r="J36" s="29" t="s">
        <v>2141</v>
      </c>
      <c r="K36" s="29" t="s">
        <v>2129</v>
      </c>
      <c r="L36" s="29" t="s">
        <v>2129</v>
      </c>
      <c r="M36" s="29" t="s">
        <v>2130</v>
      </c>
      <c r="N36" s="29" t="s">
        <v>2153</v>
      </c>
      <c r="O36" s="29" t="s">
        <v>2143</v>
      </c>
      <c r="P36" s="29" t="s">
        <v>2145</v>
      </c>
      <c r="Q36" s="29" t="s">
        <v>2145</v>
      </c>
      <c r="R36" s="45">
        <v>46031.563194444447</v>
      </c>
      <c r="S36" s="45">
        <v>46086.652083333334</v>
      </c>
      <c r="T36" s="45">
        <v>46087.717361111114</v>
      </c>
      <c r="U36" s="45">
        <v>46086.652083333334</v>
      </c>
      <c r="V36" s="29" t="s">
        <v>2129</v>
      </c>
      <c r="W36" s="29" t="s">
        <v>2129</v>
      </c>
      <c r="X36" s="29" t="s">
        <v>2129</v>
      </c>
      <c r="Y36" s="29">
        <v>0</v>
      </c>
      <c r="Z36" s="29" t="s">
        <v>2129</v>
      </c>
      <c r="AA36" s="29" t="s">
        <v>2129</v>
      </c>
      <c r="AB36" s="29" t="s">
        <v>2484</v>
      </c>
      <c r="AC36" s="29" t="s">
        <v>2129</v>
      </c>
      <c r="AD36" s="29" t="s">
        <v>2145</v>
      </c>
      <c r="AE36" s="29" t="s">
        <v>2143</v>
      </c>
      <c r="AF36" s="29" t="s">
        <v>2129</v>
      </c>
      <c r="AG36" s="29" t="s">
        <v>2129</v>
      </c>
      <c r="AH36" s="29" t="s">
        <v>2129</v>
      </c>
      <c r="AI36" s="29" t="s">
        <v>2129</v>
      </c>
      <c r="AJ36" s="29" t="s">
        <v>2129</v>
      </c>
      <c r="AK36" s="29" t="s">
        <v>2129</v>
      </c>
      <c r="AL36" s="29" t="s">
        <v>2129</v>
      </c>
      <c r="AM36" s="29" t="s">
        <v>2129</v>
      </c>
      <c r="AN36" s="29" t="s">
        <v>2129</v>
      </c>
      <c r="AO36" s="29" t="s">
        <v>2129</v>
      </c>
      <c r="AP36" s="29" t="s">
        <v>2129</v>
      </c>
      <c r="AQ36" s="29" t="s">
        <v>2129</v>
      </c>
      <c r="AR36" s="29" t="s">
        <v>2129</v>
      </c>
      <c r="AS36" s="29" t="s">
        <v>2129</v>
      </c>
      <c r="AT36" s="29" t="s">
        <v>2129</v>
      </c>
      <c r="AU36" s="29" t="s">
        <v>2129</v>
      </c>
      <c r="AV36" s="29" t="s">
        <v>2129</v>
      </c>
      <c r="AW36" s="29" t="s">
        <v>2129</v>
      </c>
      <c r="AX36" s="29">
        <v>0</v>
      </c>
      <c r="AY36" s="29"/>
      <c r="AZ36" s="29" t="s">
        <v>2129</v>
      </c>
      <c r="BA36" s="29" t="s">
        <v>2129</v>
      </c>
      <c r="BB36" s="29">
        <v>0</v>
      </c>
      <c r="BC36" s="29"/>
      <c r="BD36" s="29" t="s">
        <v>2129</v>
      </c>
      <c r="BE36" s="29" t="s">
        <v>2129</v>
      </c>
      <c r="BF36" s="29" t="s">
        <v>2129</v>
      </c>
      <c r="BG36" s="29" t="s">
        <v>2129</v>
      </c>
      <c r="BH36" s="29" t="s">
        <v>2129</v>
      </c>
      <c r="BI36" s="29" t="s">
        <v>2129</v>
      </c>
      <c r="BJ36" s="29" t="s">
        <v>2129</v>
      </c>
      <c r="BK36" s="29" t="s">
        <v>3239</v>
      </c>
      <c r="BL36" s="29" t="s">
        <v>2129</v>
      </c>
      <c r="BM36" s="29" t="s">
        <v>2129</v>
      </c>
      <c r="BN36" s="29" t="s">
        <v>2129</v>
      </c>
      <c r="BO36" s="29" t="s">
        <v>2129</v>
      </c>
      <c r="BP36" s="29" t="s">
        <v>2129</v>
      </c>
      <c r="BQ36" s="29" t="s">
        <v>2129</v>
      </c>
      <c r="BR36" s="29" t="s">
        <v>2129</v>
      </c>
      <c r="BS36" s="29" t="s">
        <v>2129</v>
      </c>
      <c r="BT36" s="29" t="s">
        <v>2129</v>
      </c>
      <c r="BU36" s="29" t="s">
        <v>2129</v>
      </c>
      <c r="BV36" s="29" t="s">
        <v>2129</v>
      </c>
      <c r="BW36" s="29" t="s">
        <v>2129</v>
      </c>
      <c r="BX36" s="29" t="s">
        <v>2485</v>
      </c>
      <c r="BY36" s="29" t="s">
        <v>2129</v>
      </c>
      <c r="BZ36" s="29" t="s">
        <v>2129</v>
      </c>
      <c r="CA36" s="29" t="s">
        <v>2129</v>
      </c>
      <c r="CB36" s="29" t="s">
        <v>2129</v>
      </c>
      <c r="CC36" s="29" t="s">
        <v>2129</v>
      </c>
      <c r="CD36" s="29" t="s">
        <v>2129</v>
      </c>
      <c r="CE36" s="29" t="s">
        <v>3240</v>
      </c>
      <c r="CF36" s="29" t="s">
        <v>3241</v>
      </c>
      <c r="CG36" s="29" t="s">
        <v>2129</v>
      </c>
      <c r="CH36" s="29" t="s">
        <v>2129</v>
      </c>
      <c r="CI36" s="29" t="s">
        <v>2129</v>
      </c>
      <c r="CJ36" s="29" t="s">
        <v>2129</v>
      </c>
      <c r="CK36" s="29" t="s">
        <v>2129</v>
      </c>
      <c r="CL36" s="29" t="s">
        <v>2129</v>
      </c>
      <c r="CM36" s="29" t="s">
        <v>2129</v>
      </c>
      <c r="CN36" s="29" t="s">
        <v>2129</v>
      </c>
      <c r="CO36" s="29" t="s">
        <v>2129</v>
      </c>
      <c r="CP36" s="29" t="s">
        <v>2129</v>
      </c>
      <c r="CQ36" s="29" t="s">
        <v>2129</v>
      </c>
      <c r="CR36" s="29" t="s">
        <v>2129</v>
      </c>
      <c r="CS36" s="29"/>
      <c r="CT36" s="29" t="s">
        <v>2129</v>
      </c>
      <c r="CU36" s="29" t="s">
        <v>2129</v>
      </c>
      <c r="CV36" s="29" t="s">
        <v>3242</v>
      </c>
      <c r="CW36" s="29" t="s">
        <v>2129</v>
      </c>
      <c r="CX36" s="29" t="s">
        <v>2129</v>
      </c>
      <c r="CY36" s="29" t="s">
        <v>2129</v>
      </c>
      <c r="CZ36" s="29" t="s">
        <v>2129</v>
      </c>
      <c r="DA36" s="29" t="s">
        <v>2129</v>
      </c>
      <c r="DB36" s="29" t="s">
        <v>2129</v>
      </c>
      <c r="DC36" s="29" t="s">
        <v>2129</v>
      </c>
      <c r="DD36" s="29" t="s">
        <v>2129</v>
      </c>
      <c r="DE36" s="29" t="s">
        <v>2129</v>
      </c>
      <c r="DF36" s="29" t="s">
        <v>2129</v>
      </c>
      <c r="DG36" s="29" t="s">
        <v>2129</v>
      </c>
      <c r="DH36" s="29" t="s">
        <v>2129</v>
      </c>
      <c r="DI36" s="29" t="s">
        <v>2129</v>
      </c>
      <c r="DJ36" s="29" t="s">
        <v>2129</v>
      </c>
      <c r="DK36" s="29" t="s">
        <v>2129</v>
      </c>
      <c r="DL36" s="29" t="s">
        <v>2129</v>
      </c>
      <c r="DM36" s="29" t="s">
        <v>2129</v>
      </c>
      <c r="DN36" s="29" t="s">
        <v>2129</v>
      </c>
      <c r="DO36" s="29" t="s">
        <v>2129</v>
      </c>
      <c r="DP36" s="29" t="s">
        <v>2129</v>
      </c>
      <c r="DQ36" s="42" t="s">
        <v>2129</v>
      </c>
    </row>
    <row r="37" spans="1:121" x14ac:dyDescent="0.25">
      <c r="A37" s="36" t="s">
        <v>1723</v>
      </c>
      <c r="B37" s="30" t="s">
        <v>3243</v>
      </c>
      <c r="C37" s="30">
        <v>23088</v>
      </c>
      <c r="D37" s="30"/>
      <c r="E37" s="30" t="s">
        <v>2136</v>
      </c>
      <c r="F37" s="30" t="s">
        <v>10</v>
      </c>
      <c r="G37" s="30" t="s">
        <v>2163</v>
      </c>
      <c r="H37" s="30" t="s">
        <v>56</v>
      </c>
      <c r="I37" s="30" t="s">
        <v>2127</v>
      </c>
      <c r="J37" s="30" t="s">
        <v>2156</v>
      </c>
      <c r="K37" s="30" t="s">
        <v>2129</v>
      </c>
      <c r="L37" s="30" t="s">
        <v>2129</v>
      </c>
      <c r="M37" s="30" t="s">
        <v>2130</v>
      </c>
      <c r="N37" s="30" t="s">
        <v>2129</v>
      </c>
      <c r="O37" s="30" t="s">
        <v>2156</v>
      </c>
      <c r="P37" s="30" t="s">
        <v>2156</v>
      </c>
      <c r="Q37" s="30" t="s">
        <v>2156</v>
      </c>
      <c r="R37" s="46">
        <v>46084.537499999999</v>
      </c>
      <c r="S37" s="46">
        <v>46084.537499999999</v>
      </c>
      <c r="T37" s="46">
        <v>46087.717361111114</v>
      </c>
      <c r="U37" s="46"/>
      <c r="V37" s="30" t="s">
        <v>2129</v>
      </c>
      <c r="W37" s="30" t="s">
        <v>2129</v>
      </c>
      <c r="X37" s="30" t="s">
        <v>2129</v>
      </c>
      <c r="Y37" s="30">
        <v>0</v>
      </c>
      <c r="Z37" s="30" t="s">
        <v>2129</v>
      </c>
      <c r="AA37" s="30" t="s">
        <v>2129</v>
      </c>
      <c r="AB37" s="30" t="s">
        <v>2129</v>
      </c>
      <c r="AC37" s="30" t="s">
        <v>2129</v>
      </c>
      <c r="AD37" s="30" t="s">
        <v>2156</v>
      </c>
      <c r="AE37" s="30" t="s">
        <v>2129</v>
      </c>
      <c r="AF37" s="30" t="s">
        <v>2129</v>
      </c>
      <c r="AG37" s="30" t="s">
        <v>2129</v>
      </c>
      <c r="AH37" s="30" t="s">
        <v>2129</v>
      </c>
      <c r="AI37" s="30" t="s">
        <v>2129</v>
      </c>
      <c r="AJ37" s="30" t="s">
        <v>2129</v>
      </c>
      <c r="AK37" s="30" t="s">
        <v>2129</v>
      </c>
      <c r="AL37" s="30" t="s">
        <v>2129</v>
      </c>
      <c r="AM37" s="30" t="s">
        <v>2129</v>
      </c>
      <c r="AN37" s="30" t="s">
        <v>2129</v>
      </c>
      <c r="AO37" s="30" t="s">
        <v>2129</v>
      </c>
      <c r="AP37" s="30" t="s">
        <v>2129</v>
      </c>
      <c r="AQ37" s="30" t="s">
        <v>2129</v>
      </c>
      <c r="AR37" s="30" t="s">
        <v>2129</v>
      </c>
      <c r="AS37" s="30" t="s">
        <v>2129</v>
      </c>
      <c r="AT37" s="30" t="s">
        <v>2129</v>
      </c>
      <c r="AU37" s="30" t="s">
        <v>2129</v>
      </c>
      <c r="AV37" s="30" t="s">
        <v>2129</v>
      </c>
      <c r="AW37" s="30" t="s">
        <v>2129</v>
      </c>
      <c r="AX37" s="30"/>
      <c r="AY37" s="30"/>
      <c r="AZ37" s="30" t="s">
        <v>2129</v>
      </c>
      <c r="BA37" s="30" t="s">
        <v>2129</v>
      </c>
      <c r="BB37" s="30"/>
      <c r="BC37" s="30"/>
      <c r="BD37" s="30" t="s">
        <v>2129</v>
      </c>
      <c r="BE37" s="30" t="s">
        <v>2129</v>
      </c>
      <c r="BF37" s="30" t="s">
        <v>2129</v>
      </c>
      <c r="BG37" s="30" t="s">
        <v>2129</v>
      </c>
      <c r="BH37" s="30" t="s">
        <v>2129</v>
      </c>
      <c r="BI37" s="30" t="s">
        <v>2129</v>
      </c>
      <c r="BJ37" s="30" t="s">
        <v>2129</v>
      </c>
      <c r="BK37" s="30" t="s">
        <v>2129</v>
      </c>
      <c r="BL37" s="30" t="s">
        <v>2129</v>
      </c>
      <c r="BM37" s="30" t="s">
        <v>2129</v>
      </c>
      <c r="BN37" s="30" t="s">
        <v>2129</v>
      </c>
      <c r="BO37" s="30" t="s">
        <v>2129</v>
      </c>
      <c r="BP37" s="30" t="s">
        <v>2129</v>
      </c>
      <c r="BQ37" s="30" t="s">
        <v>2129</v>
      </c>
      <c r="BR37" s="30" t="s">
        <v>2129</v>
      </c>
      <c r="BS37" s="30" t="s">
        <v>2129</v>
      </c>
      <c r="BT37" s="30" t="s">
        <v>2129</v>
      </c>
      <c r="BU37" s="30" t="s">
        <v>2129</v>
      </c>
      <c r="BV37" s="30" t="s">
        <v>2129</v>
      </c>
      <c r="BW37" s="30" t="s">
        <v>2129</v>
      </c>
      <c r="BX37" s="30" t="s">
        <v>2129</v>
      </c>
      <c r="BY37" s="30" t="s">
        <v>2129</v>
      </c>
      <c r="BZ37" s="30" t="s">
        <v>2129</v>
      </c>
      <c r="CA37" s="30" t="s">
        <v>2129</v>
      </c>
      <c r="CB37" s="30" t="s">
        <v>2129</v>
      </c>
      <c r="CC37" s="30" t="s">
        <v>2129</v>
      </c>
      <c r="CD37" s="30" t="s">
        <v>2129</v>
      </c>
      <c r="CE37" s="30" t="s">
        <v>3244</v>
      </c>
      <c r="CF37" s="30" t="s">
        <v>3245</v>
      </c>
      <c r="CG37" s="30" t="s">
        <v>2129</v>
      </c>
      <c r="CH37" s="30" t="s">
        <v>2129</v>
      </c>
      <c r="CI37" s="30" t="s">
        <v>2129</v>
      </c>
      <c r="CJ37" s="30" t="s">
        <v>2129</v>
      </c>
      <c r="CK37" s="30" t="s">
        <v>2129</v>
      </c>
      <c r="CL37" s="30" t="s">
        <v>2129</v>
      </c>
      <c r="CM37" s="30" t="s">
        <v>2129</v>
      </c>
      <c r="CN37" s="30" t="s">
        <v>2129</v>
      </c>
      <c r="CO37" s="30" t="s">
        <v>2129</v>
      </c>
      <c r="CP37" s="30" t="s">
        <v>2129</v>
      </c>
      <c r="CQ37" s="30" t="s">
        <v>2129</v>
      </c>
      <c r="CR37" s="30" t="s">
        <v>2129</v>
      </c>
      <c r="CS37" s="30"/>
      <c r="CT37" s="30" t="s">
        <v>2129</v>
      </c>
      <c r="CU37" s="30" t="s">
        <v>2129</v>
      </c>
      <c r="CV37" s="30" t="s">
        <v>2129</v>
      </c>
      <c r="CW37" s="30" t="s">
        <v>2129</v>
      </c>
      <c r="CX37" s="30" t="s">
        <v>2129</v>
      </c>
      <c r="CY37" s="30" t="s">
        <v>2129</v>
      </c>
      <c r="CZ37" s="30" t="s">
        <v>2129</v>
      </c>
      <c r="DA37" s="30" t="s">
        <v>2129</v>
      </c>
      <c r="DB37" s="30" t="s">
        <v>2129</v>
      </c>
      <c r="DC37" s="30" t="s">
        <v>2129</v>
      </c>
      <c r="DD37" s="30" t="s">
        <v>2129</v>
      </c>
      <c r="DE37" s="30" t="s">
        <v>2129</v>
      </c>
      <c r="DF37" s="30" t="s">
        <v>2129</v>
      </c>
      <c r="DG37" s="30" t="s">
        <v>2129</v>
      </c>
      <c r="DH37" s="30" t="s">
        <v>2129</v>
      </c>
      <c r="DI37" s="30" t="s">
        <v>2129</v>
      </c>
      <c r="DJ37" s="30" t="s">
        <v>2129</v>
      </c>
      <c r="DK37" s="30" t="s">
        <v>2129</v>
      </c>
      <c r="DL37" s="30" t="s">
        <v>2129</v>
      </c>
      <c r="DM37" s="30" t="s">
        <v>2129</v>
      </c>
      <c r="DN37" s="30" t="s">
        <v>2129</v>
      </c>
      <c r="DO37" s="30" t="s">
        <v>2129</v>
      </c>
      <c r="DP37" s="30" t="s">
        <v>2129</v>
      </c>
      <c r="DQ37" s="43" t="s">
        <v>2129</v>
      </c>
    </row>
    <row r="38" spans="1:121" x14ac:dyDescent="0.25">
      <c r="A38" s="39" t="s">
        <v>3050</v>
      </c>
      <c r="B38" s="29" t="s">
        <v>3246</v>
      </c>
      <c r="C38" s="29">
        <v>23072</v>
      </c>
      <c r="D38" s="29"/>
      <c r="E38" s="29" t="s">
        <v>14</v>
      </c>
      <c r="F38" s="29" t="s">
        <v>10</v>
      </c>
      <c r="G38" s="29" t="s">
        <v>2163</v>
      </c>
      <c r="H38" s="29" t="s">
        <v>56</v>
      </c>
      <c r="I38" s="29" t="s">
        <v>2127</v>
      </c>
      <c r="J38" s="29" t="s">
        <v>2156</v>
      </c>
      <c r="K38" s="29" t="s">
        <v>2129</v>
      </c>
      <c r="L38" s="29" t="s">
        <v>2129</v>
      </c>
      <c r="M38" s="29" t="s">
        <v>2130</v>
      </c>
      <c r="N38" s="29" t="s">
        <v>2129</v>
      </c>
      <c r="O38" s="29" t="s">
        <v>2156</v>
      </c>
      <c r="P38" s="29" t="s">
        <v>2145</v>
      </c>
      <c r="Q38" s="29" t="s">
        <v>2145</v>
      </c>
      <c r="R38" s="45">
        <v>46083.421527777777</v>
      </c>
      <c r="S38" s="45">
        <v>46084.638194444444</v>
      </c>
      <c r="T38" s="45">
        <v>46087.717361111114</v>
      </c>
      <c r="U38" s="45"/>
      <c r="V38" s="29" t="s">
        <v>2129</v>
      </c>
      <c r="W38" s="29" t="s">
        <v>2129</v>
      </c>
      <c r="X38" s="29" t="s">
        <v>2129</v>
      </c>
      <c r="Y38" s="29">
        <v>0</v>
      </c>
      <c r="Z38" s="29" t="s">
        <v>2129</v>
      </c>
      <c r="AA38" s="29" t="s">
        <v>2129</v>
      </c>
      <c r="AB38" s="29" t="s">
        <v>3228</v>
      </c>
      <c r="AC38" s="29" t="s">
        <v>2129</v>
      </c>
      <c r="AD38" s="29" t="s">
        <v>2145</v>
      </c>
      <c r="AE38" s="29" t="s">
        <v>2129</v>
      </c>
      <c r="AF38" s="29" t="s">
        <v>2129</v>
      </c>
      <c r="AG38" s="29" t="s">
        <v>2129</v>
      </c>
      <c r="AH38" s="29" t="s">
        <v>2129</v>
      </c>
      <c r="AI38" s="29" t="s">
        <v>2129</v>
      </c>
      <c r="AJ38" s="29" t="s">
        <v>2129</v>
      </c>
      <c r="AK38" s="29" t="s">
        <v>2129</v>
      </c>
      <c r="AL38" s="29" t="s">
        <v>2129</v>
      </c>
      <c r="AM38" s="29" t="s">
        <v>2129</v>
      </c>
      <c r="AN38" s="29" t="s">
        <v>2129</v>
      </c>
      <c r="AO38" s="29" t="s">
        <v>2129</v>
      </c>
      <c r="AP38" s="29" t="s">
        <v>2129</v>
      </c>
      <c r="AQ38" s="29" t="s">
        <v>2129</v>
      </c>
      <c r="AR38" s="29" t="s">
        <v>2129</v>
      </c>
      <c r="AS38" s="29" t="s">
        <v>2129</v>
      </c>
      <c r="AT38" s="29" t="s">
        <v>2129</v>
      </c>
      <c r="AU38" s="29" t="s">
        <v>2129</v>
      </c>
      <c r="AV38" s="29" t="s">
        <v>2129</v>
      </c>
      <c r="AW38" s="29" t="s">
        <v>2129</v>
      </c>
      <c r="AX38" s="29"/>
      <c r="AY38" s="29"/>
      <c r="AZ38" s="29" t="s">
        <v>2129</v>
      </c>
      <c r="BA38" s="29" t="s">
        <v>2129</v>
      </c>
      <c r="BB38" s="29"/>
      <c r="BC38" s="29"/>
      <c r="BD38" s="29" t="s">
        <v>2129</v>
      </c>
      <c r="BE38" s="29" t="s">
        <v>2129</v>
      </c>
      <c r="BF38" s="29" t="s">
        <v>2129</v>
      </c>
      <c r="BG38" s="29" t="s">
        <v>2129</v>
      </c>
      <c r="BH38" s="29" t="s">
        <v>2129</v>
      </c>
      <c r="BI38" s="29" t="s">
        <v>2129</v>
      </c>
      <c r="BJ38" s="29" t="s">
        <v>2129</v>
      </c>
      <c r="BK38" s="29" t="s">
        <v>2129</v>
      </c>
      <c r="BL38" s="29" t="s">
        <v>2129</v>
      </c>
      <c r="BM38" s="29" t="s">
        <v>2129</v>
      </c>
      <c r="BN38" s="29" t="s">
        <v>2129</v>
      </c>
      <c r="BO38" s="29" t="s">
        <v>2129</v>
      </c>
      <c r="BP38" s="29" t="s">
        <v>2129</v>
      </c>
      <c r="BQ38" s="29" t="s">
        <v>2129</v>
      </c>
      <c r="BR38" s="29" t="s">
        <v>2129</v>
      </c>
      <c r="BS38" s="29" t="s">
        <v>2129</v>
      </c>
      <c r="BT38" s="29" t="s">
        <v>2129</v>
      </c>
      <c r="BU38" s="29" t="s">
        <v>2129</v>
      </c>
      <c r="BV38" s="29" t="s">
        <v>2129</v>
      </c>
      <c r="BW38" s="29" t="s">
        <v>2129</v>
      </c>
      <c r="BX38" s="29" t="s">
        <v>3149</v>
      </c>
      <c r="BY38" s="29" t="s">
        <v>2129</v>
      </c>
      <c r="BZ38" s="29" t="s">
        <v>2129</v>
      </c>
      <c r="CA38" s="29" t="s">
        <v>2129</v>
      </c>
      <c r="CB38" s="29" t="s">
        <v>2129</v>
      </c>
      <c r="CC38" s="29" t="s">
        <v>2129</v>
      </c>
      <c r="CD38" s="29" t="s">
        <v>2129</v>
      </c>
      <c r="CE38" s="29" t="s">
        <v>3247</v>
      </c>
      <c r="CF38" s="29" t="s">
        <v>2129</v>
      </c>
      <c r="CG38" s="29" t="s">
        <v>2129</v>
      </c>
      <c r="CH38" s="29" t="s">
        <v>2129</v>
      </c>
      <c r="CI38" s="29" t="s">
        <v>2129</v>
      </c>
      <c r="CJ38" s="29" t="s">
        <v>2129</v>
      </c>
      <c r="CK38" s="29" t="s">
        <v>2129</v>
      </c>
      <c r="CL38" s="29" t="s">
        <v>2129</v>
      </c>
      <c r="CM38" s="29" t="s">
        <v>2129</v>
      </c>
      <c r="CN38" s="29" t="s">
        <v>2129</v>
      </c>
      <c r="CO38" s="29" t="s">
        <v>2129</v>
      </c>
      <c r="CP38" s="29" t="s">
        <v>2129</v>
      </c>
      <c r="CQ38" s="29" t="s">
        <v>2129</v>
      </c>
      <c r="CR38" s="29" t="s">
        <v>2129</v>
      </c>
      <c r="CS38" s="29"/>
      <c r="CT38" s="29" t="s">
        <v>2129</v>
      </c>
      <c r="CU38" s="29" t="s">
        <v>2129</v>
      </c>
      <c r="CV38" s="29" t="s">
        <v>2129</v>
      </c>
      <c r="CW38" s="29" t="s">
        <v>2129</v>
      </c>
      <c r="CX38" s="29" t="s">
        <v>2129</v>
      </c>
      <c r="CY38" s="29" t="s">
        <v>2129</v>
      </c>
      <c r="CZ38" s="29" t="s">
        <v>2129</v>
      </c>
      <c r="DA38" s="29" t="s">
        <v>2129</v>
      </c>
      <c r="DB38" s="29" t="s">
        <v>2129</v>
      </c>
      <c r="DC38" s="29" t="s">
        <v>2129</v>
      </c>
      <c r="DD38" s="29" t="s">
        <v>2129</v>
      </c>
      <c r="DE38" s="29" t="s">
        <v>2129</v>
      </c>
      <c r="DF38" s="29" t="s">
        <v>2129</v>
      </c>
      <c r="DG38" s="29" t="s">
        <v>2129</v>
      </c>
      <c r="DH38" s="29" t="s">
        <v>2129</v>
      </c>
      <c r="DI38" s="29" t="s">
        <v>2129</v>
      </c>
      <c r="DJ38" s="29" t="s">
        <v>2129</v>
      </c>
      <c r="DK38" s="29" t="s">
        <v>2129</v>
      </c>
      <c r="DL38" s="29" t="s">
        <v>2129</v>
      </c>
      <c r="DM38" s="29" t="s">
        <v>2129</v>
      </c>
      <c r="DN38" s="29" t="s">
        <v>2129</v>
      </c>
      <c r="DO38" s="29" t="s">
        <v>2129</v>
      </c>
      <c r="DP38" s="29" t="s">
        <v>2129</v>
      </c>
      <c r="DQ38" s="42" t="s">
        <v>2129</v>
      </c>
    </row>
    <row r="39" spans="1:121" x14ac:dyDescent="0.25">
      <c r="A39" s="36" t="s">
        <v>2778</v>
      </c>
      <c r="B39" s="30" t="s">
        <v>2772</v>
      </c>
      <c r="C39" s="30">
        <v>22992</v>
      </c>
      <c r="D39" s="30"/>
      <c r="E39" s="30" t="s">
        <v>77</v>
      </c>
      <c r="F39" s="30" t="s">
        <v>16</v>
      </c>
      <c r="G39" s="30" t="s">
        <v>2163</v>
      </c>
      <c r="H39" s="30" t="s">
        <v>56</v>
      </c>
      <c r="I39" s="30" t="s">
        <v>2127</v>
      </c>
      <c r="J39" s="30" t="s">
        <v>2156</v>
      </c>
      <c r="K39" s="30" t="s">
        <v>2129</v>
      </c>
      <c r="L39" s="30" t="s">
        <v>2129</v>
      </c>
      <c r="M39" s="30" t="s">
        <v>2130</v>
      </c>
      <c r="N39" s="30" t="s">
        <v>2153</v>
      </c>
      <c r="O39" s="30" t="s">
        <v>2150</v>
      </c>
      <c r="P39" s="30" t="s">
        <v>2156</v>
      </c>
      <c r="Q39" s="30" t="s">
        <v>2156</v>
      </c>
      <c r="R39" s="46">
        <v>46072.595833333333</v>
      </c>
      <c r="S39" s="46">
        <v>46083.700694444444</v>
      </c>
      <c r="T39" s="46">
        <v>46087.717361111114</v>
      </c>
      <c r="U39" s="46">
        <v>46083.700694444444</v>
      </c>
      <c r="V39" s="30" t="s">
        <v>2129</v>
      </c>
      <c r="W39" s="30" t="s">
        <v>2129</v>
      </c>
      <c r="X39" s="30" t="s">
        <v>2129</v>
      </c>
      <c r="Y39" s="30">
        <v>0</v>
      </c>
      <c r="Z39" s="30" t="s">
        <v>2129</v>
      </c>
      <c r="AA39" s="30" t="s">
        <v>2129</v>
      </c>
      <c r="AB39" s="30" t="s">
        <v>3248</v>
      </c>
      <c r="AC39" s="30" t="s">
        <v>2129</v>
      </c>
      <c r="AD39" s="30" t="s">
        <v>2150</v>
      </c>
      <c r="AE39" s="30" t="s">
        <v>2156</v>
      </c>
      <c r="AF39" s="30" t="s">
        <v>2129</v>
      </c>
      <c r="AG39" s="30" t="s">
        <v>2129</v>
      </c>
      <c r="AH39" s="30" t="s">
        <v>2129</v>
      </c>
      <c r="AI39" s="30" t="s">
        <v>3249</v>
      </c>
      <c r="AJ39" s="30" t="s">
        <v>3250</v>
      </c>
      <c r="AK39" s="30" t="s">
        <v>2129</v>
      </c>
      <c r="AL39" s="30" t="s">
        <v>2129</v>
      </c>
      <c r="AM39" s="30" t="s">
        <v>2129</v>
      </c>
      <c r="AN39" s="30" t="s">
        <v>2129</v>
      </c>
      <c r="AO39" s="30" t="s">
        <v>2129</v>
      </c>
      <c r="AP39" s="30" t="s">
        <v>2129</v>
      </c>
      <c r="AQ39" s="30" t="s">
        <v>2129</v>
      </c>
      <c r="AR39" s="30" t="s">
        <v>2129</v>
      </c>
      <c r="AS39" s="30" t="s">
        <v>2129</v>
      </c>
      <c r="AT39" s="30" t="s">
        <v>2129</v>
      </c>
      <c r="AU39" s="30" t="s">
        <v>2129</v>
      </c>
      <c r="AV39" s="30" t="s">
        <v>2129</v>
      </c>
      <c r="AW39" s="30" t="s">
        <v>2129</v>
      </c>
      <c r="AX39" s="30">
        <v>0</v>
      </c>
      <c r="AY39" s="30">
        <v>33000</v>
      </c>
      <c r="AZ39" s="30" t="s">
        <v>2129</v>
      </c>
      <c r="BA39" s="30" t="s">
        <v>2129</v>
      </c>
      <c r="BB39" s="30">
        <v>0</v>
      </c>
      <c r="BC39" s="30">
        <v>33000</v>
      </c>
      <c r="BD39" s="30" t="s">
        <v>2129</v>
      </c>
      <c r="BE39" s="30" t="s">
        <v>2129</v>
      </c>
      <c r="BF39" s="30" t="s">
        <v>2129</v>
      </c>
      <c r="BG39" s="30" t="s">
        <v>2129</v>
      </c>
      <c r="BH39" s="30" t="s">
        <v>2129</v>
      </c>
      <c r="BI39" s="30" t="s">
        <v>2129</v>
      </c>
      <c r="BJ39" s="30" t="s">
        <v>2129</v>
      </c>
      <c r="BK39" s="30" t="s">
        <v>2129</v>
      </c>
      <c r="BL39" s="30" t="s">
        <v>2129</v>
      </c>
      <c r="BM39" s="30" t="s">
        <v>2129</v>
      </c>
      <c r="BN39" s="30" t="s">
        <v>2129</v>
      </c>
      <c r="BO39" s="30" t="s">
        <v>2129</v>
      </c>
      <c r="BP39" s="30" t="s">
        <v>2129</v>
      </c>
      <c r="BQ39" s="30" t="s">
        <v>2129</v>
      </c>
      <c r="BR39" s="30" t="s">
        <v>2129</v>
      </c>
      <c r="BS39" s="30" t="s">
        <v>2129</v>
      </c>
      <c r="BT39" s="30" t="s">
        <v>2129</v>
      </c>
      <c r="BU39" s="30" t="s">
        <v>2129</v>
      </c>
      <c r="BV39" s="30" t="s">
        <v>2129</v>
      </c>
      <c r="BW39" s="30" t="s">
        <v>2129</v>
      </c>
      <c r="BX39" s="30" t="s">
        <v>2129</v>
      </c>
      <c r="BY39" s="30" t="s">
        <v>2129</v>
      </c>
      <c r="BZ39" s="30" t="s">
        <v>2129</v>
      </c>
      <c r="CA39" s="30" t="s">
        <v>2129</v>
      </c>
      <c r="CB39" s="30" t="s">
        <v>2129</v>
      </c>
      <c r="CC39" s="30" t="s">
        <v>2129</v>
      </c>
      <c r="CD39" s="30" t="s">
        <v>2129</v>
      </c>
      <c r="CE39" s="30" t="s">
        <v>3251</v>
      </c>
      <c r="CF39" s="30" t="s">
        <v>3252</v>
      </c>
      <c r="CG39" s="30" t="s">
        <v>2129</v>
      </c>
      <c r="CH39" s="30" t="s">
        <v>2129</v>
      </c>
      <c r="CI39" s="30" t="s">
        <v>2129</v>
      </c>
      <c r="CJ39" s="30" t="s">
        <v>2129</v>
      </c>
      <c r="CK39" s="30" t="s">
        <v>2129</v>
      </c>
      <c r="CL39" s="30" t="s">
        <v>2129</v>
      </c>
      <c r="CM39" s="30" t="s">
        <v>2129</v>
      </c>
      <c r="CN39" s="30" t="s">
        <v>2129</v>
      </c>
      <c r="CO39" s="30" t="s">
        <v>2129</v>
      </c>
      <c r="CP39" s="30" t="s">
        <v>2129</v>
      </c>
      <c r="CQ39" s="30" t="s">
        <v>2129</v>
      </c>
      <c r="CR39" s="30" t="s">
        <v>2129</v>
      </c>
      <c r="CS39" s="30">
        <v>30</v>
      </c>
      <c r="CT39" s="30" t="s">
        <v>2129</v>
      </c>
      <c r="CU39" s="30" t="s">
        <v>2129</v>
      </c>
      <c r="CV39" s="30" t="s">
        <v>3253</v>
      </c>
      <c r="CW39" s="30" t="s">
        <v>2129</v>
      </c>
      <c r="CX39" s="30" t="s">
        <v>2129</v>
      </c>
      <c r="CY39" s="30" t="s">
        <v>2129</v>
      </c>
      <c r="CZ39" s="30" t="s">
        <v>2129</v>
      </c>
      <c r="DA39" s="30" t="s">
        <v>2129</v>
      </c>
      <c r="DB39" s="30" t="s">
        <v>2129</v>
      </c>
      <c r="DC39" s="30" t="s">
        <v>2129</v>
      </c>
      <c r="DD39" s="30" t="s">
        <v>2129</v>
      </c>
      <c r="DE39" s="30" t="s">
        <v>2129</v>
      </c>
      <c r="DF39" s="30" t="s">
        <v>2129</v>
      </c>
      <c r="DG39" s="30" t="s">
        <v>2129</v>
      </c>
      <c r="DH39" s="30" t="s">
        <v>2129</v>
      </c>
      <c r="DI39" s="30" t="s">
        <v>2129</v>
      </c>
      <c r="DJ39" s="30" t="s">
        <v>2129</v>
      </c>
      <c r="DK39" s="30" t="s">
        <v>2129</v>
      </c>
      <c r="DL39" s="30" t="s">
        <v>2129</v>
      </c>
      <c r="DM39" s="30" t="s">
        <v>2129</v>
      </c>
      <c r="DN39" s="30" t="s">
        <v>2129</v>
      </c>
      <c r="DO39" s="30" t="s">
        <v>2129</v>
      </c>
      <c r="DP39" s="30" t="s">
        <v>2129</v>
      </c>
      <c r="DQ39" s="43" t="s">
        <v>2129</v>
      </c>
    </row>
    <row r="40" spans="1:121" x14ac:dyDescent="0.25">
      <c r="A40" s="39" t="s">
        <v>2776</v>
      </c>
      <c r="B40" s="29" t="s">
        <v>2770</v>
      </c>
      <c r="C40" s="29">
        <v>22991</v>
      </c>
      <c r="D40" s="29"/>
      <c r="E40" s="29" t="s">
        <v>77</v>
      </c>
      <c r="F40" s="29" t="s">
        <v>16</v>
      </c>
      <c r="G40" s="29" t="s">
        <v>2163</v>
      </c>
      <c r="H40" s="29" t="s">
        <v>56</v>
      </c>
      <c r="I40" s="29" t="s">
        <v>2127</v>
      </c>
      <c r="J40" s="29" t="s">
        <v>2156</v>
      </c>
      <c r="K40" s="29" t="s">
        <v>2129</v>
      </c>
      <c r="L40" s="29" t="s">
        <v>2129</v>
      </c>
      <c r="M40" s="29" t="s">
        <v>2130</v>
      </c>
      <c r="N40" s="29" t="s">
        <v>2153</v>
      </c>
      <c r="O40" s="29" t="s">
        <v>2150</v>
      </c>
      <c r="P40" s="29" t="s">
        <v>2156</v>
      </c>
      <c r="Q40" s="29" t="s">
        <v>2156</v>
      </c>
      <c r="R40" s="45">
        <v>46072.595138888886</v>
      </c>
      <c r="S40" s="45">
        <v>46083.699305555558</v>
      </c>
      <c r="T40" s="45">
        <v>46087.717361111114</v>
      </c>
      <c r="U40" s="45">
        <v>46083.699305555558</v>
      </c>
      <c r="V40" s="29" t="s">
        <v>2129</v>
      </c>
      <c r="W40" s="29" t="s">
        <v>2129</v>
      </c>
      <c r="X40" s="29" t="s">
        <v>2129</v>
      </c>
      <c r="Y40" s="29">
        <v>0</v>
      </c>
      <c r="Z40" s="29" t="s">
        <v>2129</v>
      </c>
      <c r="AA40" s="29" t="s">
        <v>2129</v>
      </c>
      <c r="AB40" s="29" t="s">
        <v>3254</v>
      </c>
      <c r="AC40" s="29" t="s">
        <v>2129</v>
      </c>
      <c r="AD40" s="29" t="s">
        <v>2150</v>
      </c>
      <c r="AE40" s="29" t="s">
        <v>2156</v>
      </c>
      <c r="AF40" s="29" t="s">
        <v>2129</v>
      </c>
      <c r="AG40" s="29" t="s">
        <v>2129</v>
      </c>
      <c r="AH40" s="29" t="s">
        <v>2129</v>
      </c>
      <c r="AI40" s="29" t="s">
        <v>3255</v>
      </c>
      <c r="AJ40" s="29" t="s">
        <v>3256</v>
      </c>
      <c r="AK40" s="29" t="s">
        <v>3257</v>
      </c>
      <c r="AL40" s="29" t="s">
        <v>3258</v>
      </c>
      <c r="AM40" s="29" t="s">
        <v>2129</v>
      </c>
      <c r="AN40" s="29" t="s">
        <v>2129</v>
      </c>
      <c r="AO40" s="29" t="s">
        <v>2129</v>
      </c>
      <c r="AP40" s="29" t="s">
        <v>2129</v>
      </c>
      <c r="AQ40" s="29" t="s">
        <v>2129</v>
      </c>
      <c r="AR40" s="29" t="s">
        <v>2129</v>
      </c>
      <c r="AS40" s="29" t="s">
        <v>2129</v>
      </c>
      <c r="AT40" s="29" t="s">
        <v>2129</v>
      </c>
      <c r="AU40" s="29" t="s">
        <v>2129</v>
      </c>
      <c r="AV40" s="29" t="s">
        <v>2129</v>
      </c>
      <c r="AW40" s="29" t="s">
        <v>2129</v>
      </c>
      <c r="AX40" s="29">
        <v>0</v>
      </c>
      <c r="AY40" s="29">
        <v>72600</v>
      </c>
      <c r="AZ40" s="29" t="s">
        <v>2129</v>
      </c>
      <c r="BA40" s="29" t="s">
        <v>2129</v>
      </c>
      <c r="BB40" s="29">
        <v>0</v>
      </c>
      <c r="BC40" s="29">
        <v>72600</v>
      </c>
      <c r="BD40" s="29" t="s">
        <v>2129</v>
      </c>
      <c r="BE40" s="29" t="s">
        <v>2129</v>
      </c>
      <c r="BF40" s="29" t="s">
        <v>2129</v>
      </c>
      <c r="BG40" s="29" t="s">
        <v>2129</v>
      </c>
      <c r="BH40" s="29" t="s">
        <v>2129</v>
      </c>
      <c r="BI40" s="29" t="s">
        <v>2129</v>
      </c>
      <c r="BJ40" s="29" t="s">
        <v>2129</v>
      </c>
      <c r="BK40" s="29" t="s">
        <v>2129</v>
      </c>
      <c r="BL40" s="29" t="s">
        <v>2129</v>
      </c>
      <c r="BM40" s="29" t="s">
        <v>2129</v>
      </c>
      <c r="BN40" s="29" t="s">
        <v>2129</v>
      </c>
      <c r="BO40" s="29" t="s">
        <v>2129</v>
      </c>
      <c r="BP40" s="29" t="s">
        <v>2129</v>
      </c>
      <c r="BQ40" s="29" t="s">
        <v>2129</v>
      </c>
      <c r="BR40" s="29" t="s">
        <v>2129</v>
      </c>
      <c r="BS40" s="29" t="s">
        <v>2129</v>
      </c>
      <c r="BT40" s="29" t="s">
        <v>2129</v>
      </c>
      <c r="BU40" s="29" t="s">
        <v>2129</v>
      </c>
      <c r="BV40" s="29" t="s">
        <v>2129</v>
      </c>
      <c r="BW40" s="29" t="s">
        <v>2129</v>
      </c>
      <c r="BX40" s="29" t="s">
        <v>2129</v>
      </c>
      <c r="BY40" s="29" t="s">
        <v>2129</v>
      </c>
      <c r="BZ40" s="29" t="s">
        <v>2129</v>
      </c>
      <c r="CA40" s="29" t="s">
        <v>2129</v>
      </c>
      <c r="CB40" s="29" t="s">
        <v>2129</v>
      </c>
      <c r="CC40" s="29" t="s">
        <v>2129</v>
      </c>
      <c r="CD40" s="29" t="s">
        <v>2129</v>
      </c>
      <c r="CE40" s="29" t="s">
        <v>3259</v>
      </c>
      <c r="CF40" s="29" t="s">
        <v>3252</v>
      </c>
      <c r="CG40" s="29" t="s">
        <v>2129</v>
      </c>
      <c r="CH40" s="29" t="s">
        <v>2129</v>
      </c>
      <c r="CI40" s="29" t="s">
        <v>2129</v>
      </c>
      <c r="CJ40" s="29" t="s">
        <v>2129</v>
      </c>
      <c r="CK40" s="29" t="s">
        <v>2129</v>
      </c>
      <c r="CL40" s="29" t="s">
        <v>2129</v>
      </c>
      <c r="CM40" s="29" t="s">
        <v>2129</v>
      </c>
      <c r="CN40" s="29" t="s">
        <v>2129</v>
      </c>
      <c r="CO40" s="29" t="s">
        <v>2129</v>
      </c>
      <c r="CP40" s="29" t="s">
        <v>2129</v>
      </c>
      <c r="CQ40" s="29" t="s">
        <v>2129</v>
      </c>
      <c r="CR40" s="29" t="s">
        <v>2129</v>
      </c>
      <c r="CS40" s="29">
        <v>30</v>
      </c>
      <c r="CT40" s="29" t="s">
        <v>2129</v>
      </c>
      <c r="CU40" s="29" t="s">
        <v>2129</v>
      </c>
      <c r="CV40" s="29" t="s">
        <v>3260</v>
      </c>
      <c r="CW40" s="29" t="s">
        <v>2129</v>
      </c>
      <c r="CX40" s="29" t="s">
        <v>2129</v>
      </c>
      <c r="CY40" s="29" t="s">
        <v>2129</v>
      </c>
      <c r="CZ40" s="29" t="s">
        <v>2129</v>
      </c>
      <c r="DA40" s="29" t="s">
        <v>2129</v>
      </c>
      <c r="DB40" s="29" t="s">
        <v>2129</v>
      </c>
      <c r="DC40" s="29" t="s">
        <v>2129</v>
      </c>
      <c r="DD40" s="29" t="s">
        <v>2129</v>
      </c>
      <c r="DE40" s="29" t="s">
        <v>2129</v>
      </c>
      <c r="DF40" s="29" t="s">
        <v>2129</v>
      </c>
      <c r="DG40" s="29" t="s">
        <v>2129</v>
      </c>
      <c r="DH40" s="29" t="s">
        <v>2129</v>
      </c>
      <c r="DI40" s="29" t="s">
        <v>2129</v>
      </c>
      <c r="DJ40" s="29" t="s">
        <v>2129</v>
      </c>
      <c r="DK40" s="29" t="s">
        <v>2129</v>
      </c>
      <c r="DL40" s="29" t="s">
        <v>2129</v>
      </c>
      <c r="DM40" s="29" t="s">
        <v>2129</v>
      </c>
      <c r="DN40" s="29" t="s">
        <v>2129</v>
      </c>
      <c r="DO40" s="29" t="s">
        <v>2129</v>
      </c>
      <c r="DP40" s="29" t="s">
        <v>2129</v>
      </c>
      <c r="DQ40" s="42" t="s">
        <v>2129</v>
      </c>
    </row>
    <row r="41" spans="1:121" x14ac:dyDescent="0.25">
      <c r="A41" s="36" t="s">
        <v>2777</v>
      </c>
      <c r="B41" s="30" t="s">
        <v>2771</v>
      </c>
      <c r="C41" s="30">
        <v>22990</v>
      </c>
      <c r="D41" s="30"/>
      <c r="E41" s="30" t="s">
        <v>77</v>
      </c>
      <c r="F41" s="30" t="s">
        <v>16</v>
      </c>
      <c r="G41" s="30" t="s">
        <v>2163</v>
      </c>
      <c r="H41" s="30" t="s">
        <v>56</v>
      </c>
      <c r="I41" s="30" t="s">
        <v>2127</v>
      </c>
      <c r="J41" s="30" t="s">
        <v>2156</v>
      </c>
      <c r="K41" s="30" t="s">
        <v>2129</v>
      </c>
      <c r="L41" s="30" t="s">
        <v>2129</v>
      </c>
      <c r="M41" s="30" t="s">
        <v>2130</v>
      </c>
      <c r="N41" s="30" t="s">
        <v>2153</v>
      </c>
      <c r="O41" s="30" t="s">
        <v>2150</v>
      </c>
      <c r="P41" s="30" t="s">
        <v>2156</v>
      </c>
      <c r="Q41" s="30" t="s">
        <v>2156</v>
      </c>
      <c r="R41" s="46">
        <v>46072.593055555553</v>
      </c>
      <c r="S41" s="46">
        <v>46084.546527777777</v>
      </c>
      <c r="T41" s="46">
        <v>46087.717361111114</v>
      </c>
      <c r="U41" s="46">
        <v>46084.546527777777</v>
      </c>
      <c r="V41" s="30" t="s">
        <v>2129</v>
      </c>
      <c r="W41" s="30" t="s">
        <v>2129</v>
      </c>
      <c r="X41" s="30" t="s">
        <v>2129</v>
      </c>
      <c r="Y41" s="30">
        <v>0</v>
      </c>
      <c r="Z41" s="30" t="s">
        <v>2129</v>
      </c>
      <c r="AA41" s="30" t="s">
        <v>2129</v>
      </c>
      <c r="AB41" s="30" t="s">
        <v>3261</v>
      </c>
      <c r="AC41" s="30" t="s">
        <v>2129</v>
      </c>
      <c r="AD41" s="30" t="s">
        <v>2150</v>
      </c>
      <c r="AE41" s="30" t="s">
        <v>2156</v>
      </c>
      <c r="AF41" s="30" t="s">
        <v>2129</v>
      </c>
      <c r="AG41" s="30" t="s">
        <v>2129</v>
      </c>
      <c r="AH41" s="30" t="s">
        <v>2129</v>
      </c>
      <c r="AI41" s="30" t="s">
        <v>3262</v>
      </c>
      <c r="AJ41" s="30" t="s">
        <v>3263</v>
      </c>
      <c r="AK41" s="30" t="s">
        <v>3264</v>
      </c>
      <c r="AL41" s="30" t="s">
        <v>3265</v>
      </c>
      <c r="AM41" s="30" t="s">
        <v>3266</v>
      </c>
      <c r="AN41" s="30" t="s">
        <v>2129</v>
      </c>
      <c r="AO41" s="30" t="s">
        <v>2129</v>
      </c>
      <c r="AP41" s="30" t="s">
        <v>2129</v>
      </c>
      <c r="AQ41" s="30" t="s">
        <v>2129</v>
      </c>
      <c r="AR41" s="30" t="s">
        <v>2129</v>
      </c>
      <c r="AS41" s="30" t="s">
        <v>2129</v>
      </c>
      <c r="AT41" s="30" t="s">
        <v>2129</v>
      </c>
      <c r="AU41" s="30" t="s">
        <v>2129</v>
      </c>
      <c r="AV41" s="30" t="s">
        <v>2129</v>
      </c>
      <c r="AW41" s="30" t="s">
        <v>2129</v>
      </c>
      <c r="AX41" s="30">
        <v>0</v>
      </c>
      <c r="AY41" s="30">
        <v>48600</v>
      </c>
      <c r="AZ41" s="30" t="s">
        <v>2129</v>
      </c>
      <c r="BA41" s="30" t="s">
        <v>2129</v>
      </c>
      <c r="BB41" s="30">
        <v>0</v>
      </c>
      <c r="BC41" s="30">
        <v>48600</v>
      </c>
      <c r="BD41" s="30" t="s">
        <v>2129</v>
      </c>
      <c r="BE41" s="30" t="s">
        <v>2129</v>
      </c>
      <c r="BF41" s="30" t="s">
        <v>2129</v>
      </c>
      <c r="BG41" s="30" t="s">
        <v>2129</v>
      </c>
      <c r="BH41" s="30" t="s">
        <v>2129</v>
      </c>
      <c r="BI41" s="30" t="s">
        <v>2129</v>
      </c>
      <c r="BJ41" s="30" t="s">
        <v>2129</v>
      </c>
      <c r="BK41" s="30" t="s">
        <v>2129</v>
      </c>
      <c r="BL41" s="30" t="s">
        <v>2129</v>
      </c>
      <c r="BM41" s="30" t="s">
        <v>2129</v>
      </c>
      <c r="BN41" s="30" t="s">
        <v>2129</v>
      </c>
      <c r="BO41" s="30" t="s">
        <v>2129</v>
      </c>
      <c r="BP41" s="30" t="s">
        <v>2129</v>
      </c>
      <c r="BQ41" s="30" t="s">
        <v>2129</v>
      </c>
      <c r="BR41" s="30" t="s">
        <v>2129</v>
      </c>
      <c r="BS41" s="30" t="s">
        <v>2129</v>
      </c>
      <c r="BT41" s="30" t="s">
        <v>2129</v>
      </c>
      <c r="BU41" s="30" t="s">
        <v>2129</v>
      </c>
      <c r="BV41" s="30" t="s">
        <v>2129</v>
      </c>
      <c r="BW41" s="30" t="s">
        <v>2129</v>
      </c>
      <c r="BX41" s="30" t="s">
        <v>2129</v>
      </c>
      <c r="BY41" s="30" t="s">
        <v>2129</v>
      </c>
      <c r="BZ41" s="30" t="s">
        <v>2129</v>
      </c>
      <c r="CA41" s="30" t="s">
        <v>2129</v>
      </c>
      <c r="CB41" s="30" t="s">
        <v>2129</v>
      </c>
      <c r="CC41" s="30" t="s">
        <v>2129</v>
      </c>
      <c r="CD41" s="30" t="s">
        <v>2129</v>
      </c>
      <c r="CE41" s="30" t="s">
        <v>3267</v>
      </c>
      <c r="CF41" s="30" t="s">
        <v>3252</v>
      </c>
      <c r="CG41" s="30" t="s">
        <v>2129</v>
      </c>
      <c r="CH41" s="30" t="s">
        <v>2129</v>
      </c>
      <c r="CI41" s="30" t="s">
        <v>2129</v>
      </c>
      <c r="CJ41" s="30" t="s">
        <v>2129</v>
      </c>
      <c r="CK41" s="30" t="s">
        <v>2129</v>
      </c>
      <c r="CL41" s="30" t="s">
        <v>2129</v>
      </c>
      <c r="CM41" s="30" t="s">
        <v>2129</v>
      </c>
      <c r="CN41" s="30" t="s">
        <v>2129</v>
      </c>
      <c r="CO41" s="30" t="s">
        <v>2129</v>
      </c>
      <c r="CP41" s="30" t="s">
        <v>2129</v>
      </c>
      <c r="CQ41" s="30" t="s">
        <v>2129</v>
      </c>
      <c r="CR41" s="30" t="s">
        <v>2129</v>
      </c>
      <c r="CS41" s="30">
        <v>30</v>
      </c>
      <c r="CT41" s="30" t="s">
        <v>2129</v>
      </c>
      <c r="CU41" s="30" t="s">
        <v>2129</v>
      </c>
      <c r="CV41" s="30" t="s">
        <v>3268</v>
      </c>
      <c r="CW41" s="30" t="s">
        <v>3269</v>
      </c>
      <c r="CX41" s="30" t="s">
        <v>2129</v>
      </c>
      <c r="CY41" s="30" t="s">
        <v>2129</v>
      </c>
      <c r="CZ41" s="30" t="s">
        <v>2129</v>
      </c>
      <c r="DA41" s="30" t="s">
        <v>2129</v>
      </c>
      <c r="DB41" s="30" t="s">
        <v>2129</v>
      </c>
      <c r="DC41" s="30" t="s">
        <v>2129</v>
      </c>
      <c r="DD41" s="30" t="s">
        <v>2129</v>
      </c>
      <c r="DE41" s="30" t="s">
        <v>2129</v>
      </c>
      <c r="DF41" s="30" t="s">
        <v>2129</v>
      </c>
      <c r="DG41" s="30" t="s">
        <v>2129</v>
      </c>
      <c r="DH41" s="30" t="s">
        <v>2129</v>
      </c>
      <c r="DI41" s="30" t="s">
        <v>2129</v>
      </c>
      <c r="DJ41" s="30" t="s">
        <v>2129</v>
      </c>
      <c r="DK41" s="30" t="s">
        <v>2129</v>
      </c>
      <c r="DL41" s="30" t="s">
        <v>2129</v>
      </c>
      <c r="DM41" s="30" t="s">
        <v>2129</v>
      </c>
      <c r="DN41" s="30" t="s">
        <v>2129</v>
      </c>
      <c r="DO41" s="30" t="s">
        <v>2129</v>
      </c>
      <c r="DP41" s="30" t="s">
        <v>2129</v>
      </c>
      <c r="DQ41" s="43" t="s">
        <v>2129</v>
      </c>
    </row>
    <row r="42" spans="1:121" x14ac:dyDescent="0.25">
      <c r="A42" s="39" t="s">
        <v>2768</v>
      </c>
      <c r="B42" s="29" t="s">
        <v>2766</v>
      </c>
      <c r="C42" s="29">
        <v>22970</v>
      </c>
      <c r="D42" s="29"/>
      <c r="E42" s="29" t="s">
        <v>14</v>
      </c>
      <c r="F42" s="29" t="s">
        <v>16</v>
      </c>
      <c r="G42" s="29" t="s">
        <v>2163</v>
      </c>
      <c r="H42" s="29" t="s">
        <v>56</v>
      </c>
      <c r="I42" s="29" t="s">
        <v>2127</v>
      </c>
      <c r="J42" s="29" t="s">
        <v>2156</v>
      </c>
      <c r="K42" s="29" t="s">
        <v>2129</v>
      </c>
      <c r="L42" s="29" t="s">
        <v>2129</v>
      </c>
      <c r="M42" s="29" t="s">
        <v>2130</v>
      </c>
      <c r="N42" s="29" t="s">
        <v>2153</v>
      </c>
      <c r="O42" s="29" t="s">
        <v>2150</v>
      </c>
      <c r="P42" s="29" t="s">
        <v>2145</v>
      </c>
      <c r="Q42" s="29" t="s">
        <v>2145</v>
      </c>
      <c r="R42" s="45">
        <v>46064.61041666667</v>
      </c>
      <c r="S42" s="45">
        <v>46083.658333333333</v>
      </c>
      <c r="T42" s="45">
        <v>46087.717361111114</v>
      </c>
      <c r="U42" s="45">
        <v>46083.658333333333</v>
      </c>
      <c r="V42" s="29" t="s">
        <v>2129</v>
      </c>
      <c r="W42" s="29" t="s">
        <v>2129</v>
      </c>
      <c r="X42" s="29" t="s">
        <v>2129</v>
      </c>
      <c r="Y42" s="29">
        <v>0</v>
      </c>
      <c r="Z42" s="29" t="s">
        <v>2887</v>
      </c>
      <c r="AA42" s="29" t="s">
        <v>2129</v>
      </c>
      <c r="AB42" s="29" t="s">
        <v>3270</v>
      </c>
      <c r="AC42" s="29" t="s">
        <v>2129</v>
      </c>
      <c r="AD42" s="29" t="s">
        <v>2145</v>
      </c>
      <c r="AE42" s="29" t="s">
        <v>2150</v>
      </c>
      <c r="AF42" s="29" t="s">
        <v>2129</v>
      </c>
      <c r="AG42" s="29" t="s">
        <v>2129</v>
      </c>
      <c r="AH42" s="29" t="s">
        <v>2129</v>
      </c>
      <c r="AI42" s="29" t="s">
        <v>2888</v>
      </c>
      <c r="AJ42" s="29" t="s">
        <v>2889</v>
      </c>
      <c r="AK42" s="29" t="s">
        <v>2890</v>
      </c>
      <c r="AL42" s="29" t="s">
        <v>3271</v>
      </c>
      <c r="AM42" s="29" t="s">
        <v>3272</v>
      </c>
      <c r="AN42" s="29" t="s">
        <v>3273</v>
      </c>
      <c r="AO42" s="29" t="s">
        <v>2129</v>
      </c>
      <c r="AP42" s="29" t="s">
        <v>2129</v>
      </c>
      <c r="AQ42" s="29" t="s">
        <v>2129</v>
      </c>
      <c r="AR42" s="29" t="s">
        <v>2129</v>
      </c>
      <c r="AS42" s="29" t="s">
        <v>2129</v>
      </c>
      <c r="AT42" s="29" t="s">
        <v>2129</v>
      </c>
      <c r="AU42" s="29" t="s">
        <v>2129</v>
      </c>
      <c r="AV42" s="29" t="s">
        <v>2129</v>
      </c>
      <c r="AW42" s="29" t="s">
        <v>2129</v>
      </c>
      <c r="AX42" s="29">
        <v>0</v>
      </c>
      <c r="AY42" s="29">
        <v>151200</v>
      </c>
      <c r="AZ42" s="29" t="s">
        <v>2129</v>
      </c>
      <c r="BA42" s="29" t="s">
        <v>2129</v>
      </c>
      <c r="BB42" s="29">
        <v>0</v>
      </c>
      <c r="BC42" s="29">
        <v>151200</v>
      </c>
      <c r="BD42" s="29" t="s">
        <v>2129</v>
      </c>
      <c r="BE42" s="29" t="s">
        <v>2129</v>
      </c>
      <c r="BF42" s="29" t="s">
        <v>2129</v>
      </c>
      <c r="BG42" s="29" t="s">
        <v>1586</v>
      </c>
      <c r="BH42" s="29" t="s">
        <v>2129</v>
      </c>
      <c r="BI42" s="29" t="s">
        <v>2129</v>
      </c>
      <c r="BJ42" s="29" t="s">
        <v>2129</v>
      </c>
      <c r="BK42" s="29" t="s">
        <v>2891</v>
      </c>
      <c r="BL42" s="29" t="s">
        <v>2892</v>
      </c>
      <c r="BM42" s="29" t="s">
        <v>2893</v>
      </c>
      <c r="BN42" s="29" t="s">
        <v>2894</v>
      </c>
      <c r="BO42" s="29" t="s">
        <v>2895</v>
      </c>
      <c r="BP42" s="29" t="s">
        <v>2896</v>
      </c>
      <c r="BQ42" s="29" t="s">
        <v>2897</v>
      </c>
      <c r="BR42" s="29" t="s">
        <v>2898</v>
      </c>
      <c r="BS42" s="29" t="s">
        <v>2899</v>
      </c>
      <c r="BT42" s="29" t="s">
        <v>2900</v>
      </c>
      <c r="BU42" s="29" t="s">
        <v>2129</v>
      </c>
      <c r="BV42" s="29" t="s">
        <v>2129</v>
      </c>
      <c r="BW42" s="29" t="s">
        <v>2129</v>
      </c>
      <c r="BX42" s="29" t="s">
        <v>2129</v>
      </c>
      <c r="BY42" s="29" t="s">
        <v>2129</v>
      </c>
      <c r="BZ42" s="29" t="s">
        <v>2129</v>
      </c>
      <c r="CA42" s="29" t="s">
        <v>2129</v>
      </c>
      <c r="CB42" s="29" t="s">
        <v>2129</v>
      </c>
      <c r="CC42" s="29" t="s">
        <v>2129</v>
      </c>
      <c r="CD42" s="29" t="s">
        <v>2129</v>
      </c>
      <c r="CE42" s="29" t="s">
        <v>2901</v>
      </c>
      <c r="CF42" s="29" t="s">
        <v>2902</v>
      </c>
      <c r="CG42" s="29" t="s">
        <v>3252</v>
      </c>
      <c r="CH42" s="29" t="s">
        <v>2129</v>
      </c>
      <c r="CI42" s="29" t="s">
        <v>2129</v>
      </c>
      <c r="CJ42" s="29" t="s">
        <v>2129</v>
      </c>
      <c r="CK42" s="29" t="s">
        <v>2129</v>
      </c>
      <c r="CL42" s="29" t="s">
        <v>2129</v>
      </c>
      <c r="CM42" s="29" t="s">
        <v>2129</v>
      </c>
      <c r="CN42" s="29" t="s">
        <v>2129</v>
      </c>
      <c r="CO42" s="29" t="s">
        <v>2129</v>
      </c>
      <c r="CP42" s="29" t="s">
        <v>2129</v>
      </c>
      <c r="CQ42" s="29" t="s">
        <v>2129</v>
      </c>
      <c r="CR42" s="29" t="s">
        <v>2129</v>
      </c>
      <c r="CS42" s="29">
        <v>30</v>
      </c>
      <c r="CT42" s="29" t="s">
        <v>2129</v>
      </c>
      <c r="CU42" s="29" t="s">
        <v>2129</v>
      </c>
      <c r="CV42" s="29" t="s">
        <v>3274</v>
      </c>
      <c r="CW42" s="29" t="s">
        <v>2129</v>
      </c>
      <c r="CX42" s="29" t="s">
        <v>2129</v>
      </c>
      <c r="CY42" s="29" t="s">
        <v>2129</v>
      </c>
      <c r="CZ42" s="29" t="s">
        <v>2129</v>
      </c>
      <c r="DA42" s="29" t="s">
        <v>2129</v>
      </c>
      <c r="DB42" s="29" t="s">
        <v>2129</v>
      </c>
      <c r="DC42" s="29" t="s">
        <v>2129</v>
      </c>
      <c r="DD42" s="29" t="s">
        <v>2129</v>
      </c>
      <c r="DE42" s="29" t="s">
        <v>2129</v>
      </c>
      <c r="DF42" s="29" t="s">
        <v>2129</v>
      </c>
      <c r="DG42" s="29" t="s">
        <v>2129</v>
      </c>
      <c r="DH42" s="29" t="s">
        <v>2129</v>
      </c>
      <c r="DI42" s="29" t="s">
        <v>2129</v>
      </c>
      <c r="DJ42" s="29" t="s">
        <v>2129</v>
      </c>
      <c r="DK42" s="29" t="s">
        <v>2129</v>
      </c>
      <c r="DL42" s="29" t="s">
        <v>2129</v>
      </c>
      <c r="DM42" s="29" t="s">
        <v>2129</v>
      </c>
      <c r="DN42" s="29" t="s">
        <v>2129</v>
      </c>
      <c r="DO42" s="29" t="s">
        <v>2129</v>
      </c>
      <c r="DP42" s="29" t="s">
        <v>2129</v>
      </c>
      <c r="DQ42" s="42" t="s">
        <v>2129</v>
      </c>
    </row>
    <row r="43" spans="1:121" x14ac:dyDescent="0.25">
      <c r="A43" s="36" t="s">
        <v>2159</v>
      </c>
      <c r="B43" s="30" t="s">
        <v>2903</v>
      </c>
      <c r="C43" s="30">
        <v>22944</v>
      </c>
      <c r="D43" s="30"/>
      <c r="E43" s="30" t="s">
        <v>2136</v>
      </c>
      <c r="F43" s="30" t="s">
        <v>16</v>
      </c>
      <c r="G43" s="30" t="s">
        <v>2163</v>
      </c>
      <c r="H43" s="30" t="s">
        <v>56</v>
      </c>
      <c r="I43" s="30" t="s">
        <v>2127</v>
      </c>
      <c r="J43" s="30" t="s">
        <v>2156</v>
      </c>
      <c r="K43" s="30" t="s">
        <v>2129</v>
      </c>
      <c r="L43" s="30" t="s">
        <v>2129</v>
      </c>
      <c r="M43" s="30" t="s">
        <v>2130</v>
      </c>
      <c r="N43" s="30" t="s">
        <v>16</v>
      </c>
      <c r="O43" s="30" t="s">
        <v>2156</v>
      </c>
      <c r="P43" s="30" t="s">
        <v>2156</v>
      </c>
      <c r="Q43" s="30" t="s">
        <v>2156</v>
      </c>
      <c r="R43" s="46">
        <v>46062.325694444444</v>
      </c>
      <c r="S43" s="46">
        <v>46076.32916666667</v>
      </c>
      <c r="T43" s="46">
        <v>46087.717361111114</v>
      </c>
      <c r="U43" s="46">
        <v>46076.32916666667</v>
      </c>
      <c r="V43" s="30" t="s">
        <v>2129</v>
      </c>
      <c r="W43" s="30" t="s">
        <v>2129</v>
      </c>
      <c r="X43" s="30" t="s">
        <v>2129</v>
      </c>
      <c r="Y43" s="30">
        <v>0</v>
      </c>
      <c r="Z43" s="30" t="s">
        <v>2129</v>
      </c>
      <c r="AA43" s="30" t="s">
        <v>2129</v>
      </c>
      <c r="AB43" s="30" t="s">
        <v>2129</v>
      </c>
      <c r="AC43" s="30" t="s">
        <v>2129</v>
      </c>
      <c r="AD43" s="30" t="s">
        <v>2156</v>
      </c>
      <c r="AE43" s="30" t="s">
        <v>2129</v>
      </c>
      <c r="AF43" s="30" t="s">
        <v>2129</v>
      </c>
      <c r="AG43" s="30" t="s">
        <v>2129</v>
      </c>
      <c r="AH43" s="30" t="s">
        <v>2129</v>
      </c>
      <c r="AI43" s="30" t="s">
        <v>2904</v>
      </c>
      <c r="AJ43" s="30" t="s">
        <v>2905</v>
      </c>
      <c r="AK43" s="30" t="s">
        <v>3275</v>
      </c>
      <c r="AL43" s="30" t="s">
        <v>3276</v>
      </c>
      <c r="AM43" s="30" t="s">
        <v>2129</v>
      </c>
      <c r="AN43" s="30" t="s">
        <v>2129</v>
      </c>
      <c r="AO43" s="30" t="s">
        <v>2129</v>
      </c>
      <c r="AP43" s="30" t="s">
        <v>2129</v>
      </c>
      <c r="AQ43" s="30" t="s">
        <v>2129</v>
      </c>
      <c r="AR43" s="30" t="s">
        <v>2129</v>
      </c>
      <c r="AS43" s="30" t="s">
        <v>2129</v>
      </c>
      <c r="AT43" s="30" t="s">
        <v>2129</v>
      </c>
      <c r="AU43" s="30" t="s">
        <v>2129</v>
      </c>
      <c r="AV43" s="30" t="s">
        <v>2129</v>
      </c>
      <c r="AW43" s="30" t="s">
        <v>2129</v>
      </c>
      <c r="AX43" s="30">
        <v>0</v>
      </c>
      <c r="AY43" s="30">
        <v>45000</v>
      </c>
      <c r="AZ43" s="30" t="s">
        <v>2129</v>
      </c>
      <c r="BA43" s="30" t="s">
        <v>2129</v>
      </c>
      <c r="BB43" s="30">
        <v>0</v>
      </c>
      <c r="BC43" s="30">
        <v>45000</v>
      </c>
      <c r="BD43" s="30" t="s">
        <v>2129</v>
      </c>
      <c r="BE43" s="30" t="s">
        <v>2129</v>
      </c>
      <c r="BF43" s="30" t="s">
        <v>2129</v>
      </c>
      <c r="BG43" s="30" t="s">
        <v>2129</v>
      </c>
      <c r="BH43" s="30" t="s">
        <v>2129</v>
      </c>
      <c r="BI43" s="30" t="s">
        <v>2129</v>
      </c>
      <c r="BJ43" s="30" t="s">
        <v>2129</v>
      </c>
      <c r="BK43" s="30" t="s">
        <v>2129</v>
      </c>
      <c r="BL43" s="30" t="s">
        <v>2129</v>
      </c>
      <c r="BM43" s="30" t="s">
        <v>2129</v>
      </c>
      <c r="BN43" s="30" t="s">
        <v>2129</v>
      </c>
      <c r="BO43" s="30" t="s">
        <v>2129</v>
      </c>
      <c r="BP43" s="30" t="s">
        <v>2129</v>
      </c>
      <c r="BQ43" s="30" t="s">
        <v>2129</v>
      </c>
      <c r="BR43" s="30" t="s">
        <v>2129</v>
      </c>
      <c r="BS43" s="30" t="s">
        <v>2129</v>
      </c>
      <c r="BT43" s="30" t="s">
        <v>2129</v>
      </c>
      <c r="BU43" s="30" t="s">
        <v>2129</v>
      </c>
      <c r="BV43" s="30" t="s">
        <v>2129</v>
      </c>
      <c r="BW43" s="30" t="s">
        <v>2129</v>
      </c>
      <c r="BX43" s="30" t="s">
        <v>2129</v>
      </c>
      <c r="BY43" s="30" t="s">
        <v>2129</v>
      </c>
      <c r="BZ43" s="30" t="s">
        <v>2129</v>
      </c>
      <c r="CA43" s="30" t="s">
        <v>2129</v>
      </c>
      <c r="CB43" s="30" t="s">
        <v>2129</v>
      </c>
      <c r="CC43" s="30" t="s">
        <v>2129</v>
      </c>
      <c r="CD43" s="30" t="s">
        <v>2129</v>
      </c>
      <c r="CE43" s="30" t="s">
        <v>2906</v>
      </c>
      <c r="CF43" s="30" t="s">
        <v>2902</v>
      </c>
      <c r="CG43" s="30" t="s">
        <v>2129</v>
      </c>
      <c r="CH43" s="30" t="s">
        <v>2129</v>
      </c>
      <c r="CI43" s="30" t="s">
        <v>2129</v>
      </c>
      <c r="CJ43" s="30" t="s">
        <v>2129</v>
      </c>
      <c r="CK43" s="30" t="s">
        <v>2129</v>
      </c>
      <c r="CL43" s="30" t="s">
        <v>2129</v>
      </c>
      <c r="CM43" s="30" t="s">
        <v>2129</v>
      </c>
      <c r="CN43" s="30" t="s">
        <v>2129</v>
      </c>
      <c r="CO43" s="30" t="s">
        <v>2129</v>
      </c>
      <c r="CP43" s="30" t="s">
        <v>2129</v>
      </c>
      <c r="CQ43" s="30" t="s">
        <v>2129</v>
      </c>
      <c r="CR43" s="30" t="s">
        <v>2129</v>
      </c>
      <c r="CS43" s="30"/>
      <c r="CT43" s="30" t="s">
        <v>2129</v>
      </c>
      <c r="CU43" s="30" t="s">
        <v>2129</v>
      </c>
      <c r="CV43" s="30" t="s">
        <v>2129</v>
      </c>
      <c r="CW43" s="30" t="s">
        <v>2129</v>
      </c>
      <c r="CX43" s="30" t="s">
        <v>2129</v>
      </c>
      <c r="CY43" s="30" t="s">
        <v>2129</v>
      </c>
      <c r="CZ43" s="30" t="s">
        <v>2129</v>
      </c>
      <c r="DA43" s="30" t="s">
        <v>2129</v>
      </c>
      <c r="DB43" s="30" t="s">
        <v>2129</v>
      </c>
      <c r="DC43" s="30" t="s">
        <v>2129</v>
      </c>
      <c r="DD43" s="30" t="s">
        <v>2129</v>
      </c>
      <c r="DE43" s="30" t="s">
        <v>2129</v>
      </c>
      <c r="DF43" s="30" t="s">
        <v>2129</v>
      </c>
      <c r="DG43" s="30" t="s">
        <v>2129</v>
      </c>
      <c r="DH43" s="30" t="s">
        <v>2129</v>
      </c>
      <c r="DI43" s="30" t="s">
        <v>2129</v>
      </c>
      <c r="DJ43" s="30" t="s">
        <v>2129</v>
      </c>
      <c r="DK43" s="30" t="s">
        <v>2129</v>
      </c>
      <c r="DL43" s="30" t="s">
        <v>2129</v>
      </c>
      <c r="DM43" s="30" t="s">
        <v>2129</v>
      </c>
      <c r="DN43" s="30" t="s">
        <v>2129</v>
      </c>
      <c r="DO43" s="30" t="s">
        <v>2129</v>
      </c>
      <c r="DP43" s="30" t="s">
        <v>2129</v>
      </c>
      <c r="DQ43" s="43" t="s">
        <v>2129</v>
      </c>
    </row>
    <row r="44" spans="1:121" x14ac:dyDescent="0.25">
      <c r="A44" s="39" t="s">
        <v>2525</v>
      </c>
      <c r="B44" s="29" t="s">
        <v>2526</v>
      </c>
      <c r="C44" s="29">
        <v>22774</v>
      </c>
      <c r="D44" s="29"/>
      <c r="E44" s="29" t="s">
        <v>77</v>
      </c>
      <c r="F44" s="29" t="s">
        <v>16</v>
      </c>
      <c r="G44" s="29" t="s">
        <v>2163</v>
      </c>
      <c r="H44" s="29" t="s">
        <v>56</v>
      </c>
      <c r="I44" s="29" t="s">
        <v>2127</v>
      </c>
      <c r="J44" s="29" t="s">
        <v>2156</v>
      </c>
      <c r="K44" s="29" t="s">
        <v>2129</v>
      </c>
      <c r="L44" s="29" t="s">
        <v>2129</v>
      </c>
      <c r="M44" s="29" t="s">
        <v>2130</v>
      </c>
      <c r="N44" s="29" t="s">
        <v>2153</v>
      </c>
      <c r="O44" s="29" t="s">
        <v>2150</v>
      </c>
      <c r="P44" s="29" t="s">
        <v>2156</v>
      </c>
      <c r="Q44" s="29" t="s">
        <v>2156</v>
      </c>
      <c r="R44" s="45">
        <v>46030.568055555559</v>
      </c>
      <c r="S44" s="45">
        <v>46083.6875</v>
      </c>
      <c r="T44" s="45">
        <v>46087.717361111114</v>
      </c>
      <c r="U44" s="45">
        <v>46083.6875</v>
      </c>
      <c r="V44" s="29" t="s">
        <v>2129</v>
      </c>
      <c r="W44" s="29" t="s">
        <v>2129</v>
      </c>
      <c r="X44" s="29" t="s">
        <v>2129</v>
      </c>
      <c r="Y44" s="29">
        <v>0</v>
      </c>
      <c r="Z44" s="29" t="s">
        <v>2129</v>
      </c>
      <c r="AA44" s="29" t="s">
        <v>2129</v>
      </c>
      <c r="AB44" s="29" t="s">
        <v>2907</v>
      </c>
      <c r="AC44" s="29" t="s">
        <v>2129</v>
      </c>
      <c r="AD44" s="29" t="s">
        <v>2150</v>
      </c>
      <c r="AE44" s="29" t="s">
        <v>2156</v>
      </c>
      <c r="AF44" s="29" t="s">
        <v>2129</v>
      </c>
      <c r="AG44" s="29" t="s">
        <v>2129</v>
      </c>
      <c r="AH44" s="29" t="s">
        <v>2129</v>
      </c>
      <c r="AI44" s="29" t="s">
        <v>3277</v>
      </c>
      <c r="AJ44" s="29" t="s">
        <v>2129</v>
      </c>
      <c r="AK44" s="29" t="s">
        <v>2129</v>
      </c>
      <c r="AL44" s="29" t="s">
        <v>2129</v>
      </c>
      <c r="AM44" s="29" t="s">
        <v>2129</v>
      </c>
      <c r="AN44" s="29" t="s">
        <v>2129</v>
      </c>
      <c r="AO44" s="29" t="s">
        <v>2129</v>
      </c>
      <c r="AP44" s="29" t="s">
        <v>2129</v>
      </c>
      <c r="AQ44" s="29" t="s">
        <v>2129</v>
      </c>
      <c r="AR44" s="29" t="s">
        <v>2129</v>
      </c>
      <c r="AS44" s="29" t="s">
        <v>2129</v>
      </c>
      <c r="AT44" s="29" t="s">
        <v>2129</v>
      </c>
      <c r="AU44" s="29" t="s">
        <v>2129</v>
      </c>
      <c r="AV44" s="29" t="s">
        <v>2129</v>
      </c>
      <c r="AW44" s="29" t="s">
        <v>2129</v>
      </c>
      <c r="AX44" s="29">
        <v>0</v>
      </c>
      <c r="AY44" s="29">
        <v>10800</v>
      </c>
      <c r="AZ44" s="29" t="s">
        <v>2129</v>
      </c>
      <c r="BA44" s="29" t="s">
        <v>2129</v>
      </c>
      <c r="BB44" s="29">
        <v>0</v>
      </c>
      <c r="BC44" s="29">
        <v>10800</v>
      </c>
      <c r="BD44" s="29" t="s">
        <v>2129</v>
      </c>
      <c r="BE44" s="29" t="s">
        <v>2129</v>
      </c>
      <c r="BF44" s="29" t="s">
        <v>2129</v>
      </c>
      <c r="BG44" s="29" t="s">
        <v>2129</v>
      </c>
      <c r="BH44" s="29" t="s">
        <v>2129</v>
      </c>
      <c r="BI44" s="29" t="s">
        <v>2129</v>
      </c>
      <c r="BJ44" s="29" t="s">
        <v>2129</v>
      </c>
      <c r="BK44" s="29" t="s">
        <v>2129</v>
      </c>
      <c r="BL44" s="29" t="s">
        <v>2129</v>
      </c>
      <c r="BM44" s="29" t="s">
        <v>2129</v>
      </c>
      <c r="BN44" s="29" t="s">
        <v>2129</v>
      </c>
      <c r="BO44" s="29" t="s">
        <v>2129</v>
      </c>
      <c r="BP44" s="29" t="s">
        <v>2129</v>
      </c>
      <c r="BQ44" s="29" t="s">
        <v>2129</v>
      </c>
      <c r="BR44" s="29" t="s">
        <v>2129</v>
      </c>
      <c r="BS44" s="29" t="s">
        <v>2129</v>
      </c>
      <c r="BT44" s="29" t="s">
        <v>2129</v>
      </c>
      <c r="BU44" s="29" t="s">
        <v>2129</v>
      </c>
      <c r="BV44" s="29" t="s">
        <v>2129</v>
      </c>
      <c r="BW44" s="29" t="s">
        <v>2129</v>
      </c>
      <c r="BX44" s="29" t="s">
        <v>2129</v>
      </c>
      <c r="BY44" s="29" t="s">
        <v>2129</v>
      </c>
      <c r="BZ44" s="29" t="s">
        <v>2129</v>
      </c>
      <c r="CA44" s="29" t="s">
        <v>2129</v>
      </c>
      <c r="CB44" s="29" t="s">
        <v>2129</v>
      </c>
      <c r="CC44" s="29" t="s">
        <v>2129</v>
      </c>
      <c r="CD44" s="29" t="s">
        <v>2129</v>
      </c>
      <c r="CE44" s="29" t="s">
        <v>2908</v>
      </c>
      <c r="CF44" s="29" t="s">
        <v>2902</v>
      </c>
      <c r="CG44" s="29" t="s">
        <v>3252</v>
      </c>
      <c r="CH44" s="29" t="s">
        <v>2129</v>
      </c>
      <c r="CI44" s="29" t="s">
        <v>2129</v>
      </c>
      <c r="CJ44" s="29" t="s">
        <v>2129</v>
      </c>
      <c r="CK44" s="29" t="s">
        <v>2129</v>
      </c>
      <c r="CL44" s="29" t="s">
        <v>2129</v>
      </c>
      <c r="CM44" s="29" t="s">
        <v>2129</v>
      </c>
      <c r="CN44" s="29" t="s">
        <v>2129</v>
      </c>
      <c r="CO44" s="29" t="s">
        <v>2129</v>
      </c>
      <c r="CP44" s="29" t="s">
        <v>2129</v>
      </c>
      <c r="CQ44" s="29" t="s">
        <v>2129</v>
      </c>
      <c r="CR44" s="29" t="s">
        <v>2129</v>
      </c>
      <c r="CS44" s="29"/>
      <c r="CT44" s="29" t="s">
        <v>2129</v>
      </c>
      <c r="CU44" s="29" t="s">
        <v>2129</v>
      </c>
      <c r="CV44" s="29" t="s">
        <v>2909</v>
      </c>
      <c r="CW44" s="29" t="s">
        <v>3278</v>
      </c>
      <c r="CX44" s="29" t="s">
        <v>2129</v>
      </c>
      <c r="CY44" s="29" t="s">
        <v>2129</v>
      </c>
      <c r="CZ44" s="29" t="s">
        <v>2129</v>
      </c>
      <c r="DA44" s="29" t="s">
        <v>2129</v>
      </c>
      <c r="DB44" s="29" t="s">
        <v>2129</v>
      </c>
      <c r="DC44" s="29" t="s">
        <v>2129</v>
      </c>
      <c r="DD44" s="29" t="s">
        <v>2129</v>
      </c>
      <c r="DE44" s="29" t="s">
        <v>2129</v>
      </c>
      <c r="DF44" s="29" t="s">
        <v>2129</v>
      </c>
      <c r="DG44" s="29" t="s">
        <v>2129</v>
      </c>
      <c r="DH44" s="29" t="s">
        <v>2129</v>
      </c>
      <c r="DI44" s="29" t="s">
        <v>2129</v>
      </c>
      <c r="DJ44" s="29" t="s">
        <v>2129</v>
      </c>
      <c r="DK44" s="29" t="s">
        <v>2129</v>
      </c>
      <c r="DL44" s="29" t="s">
        <v>2129</v>
      </c>
      <c r="DM44" s="29" t="s">
        <v>2129</v>
      </c>
      <c r="DN44" s="29" t="s">
        <v>2129</v>
      </c>
      <c r="DO44" s="29" t="s">
        <v>2129</v>
      </c>
      <c r="DP44" s="29" t="s">
        <v>2129</v>
      </c>
      <c r="DQ44" s="42" t="s">
        <v>2129</v>
      </c>
    </row>
    <row r="45" spans="1:121" x14ac:dyDescent="0.25">
      <c r="A45" s="36" t="s">
        <v>1657</v>
      </c>
      <c r="B45" s="30" t="s">
        <v>1656</v>
      </c>
      <c r="C45" s="30">
        <v>22130</v>
      </c>
      <c r="D45" s="30"/>
      <c r="E45" s="30" t="s">
        <v>14</v>
      </c>
      <c r="F45" s="30" t="s">
        <v>16</v>
      </c>
      <c r="G45" s="30" t="s">
        <v>2163</v>
      </c>
      <c r="H45" s="30" t="s">
        <v>56</v>
      </c>
      <c r="I45" s="30" t="s">
        <v>2127</v>
      </c>
      <c r="J45" s="30" t="s">
        <v>2156</v>
      </c>
      <c r="K45" s="30" t="s">
        <v>2129</v>
      </c>
      <c r="L45" s="30" t="s">
        <v>2129</v>
      </c>
      <c r="M45" s="30" t="s">
        <v>2130</v>
      </c>
      <c r="N45" s="30" t="s">
        <v>16</v>
      </c>
      <c r="O45" s="30" t="s">
        <v>2145</v>
      </c>
      <c r="P45" s="30" t="s">
        <v>2145</v>
      </c>
      <c r="Q45" s="30" t="s">
        <v>2145</v>
      </c>
      <c r="R45" s="46">
        <v>45903.036805555559</v>
      </c>
      <c r="S45" s="46">
        <v>46085.540972222225</v>
      </c>
      <c r="T45" s="46">
        <v>46087.717361111114</v>
      </c>
      <c r="U45" s="46">
        <v>46085.540972222225</v>
      </c>
      <c r="V45" s="30" t="s">
        <v>2129</v>
      </c>
      <c r="W45" s="30" t="s">
        <v>2129</v>
      </c>
      <c r="X45" s="30" t="s">
        <v>2129</v>
      </c>
      <c r="Y45" s="30">
        <v>0</v>
      </c>
      <c r="Z45" s="30" t="s">
        <v>2129</v>
      </c>
      <c r="AA45" s="30" t="s">
        <v>2129</v>
      </c>
      <c r="AB45" s="30" t="s">
        <v>3279</v>
      </c>
      <c r="AC45" s="30" t="s">
        <v>2129</v>
      </c>
      <c r="AD45" s="30" t="s">
        <v>2145</v>
      </c>
      <c r="AE45" s="30" t="s">
        <v>2129</v>
      </c>
      <c r="AF45" s="30" t="s">
        <v>2129</v>
      </c>
      <c r="AG45" s="30" t="s">
        <v>2129</v>
      </c>
      <c r="AH45" s="30" t="s">
        <v>2129</v>
      </c>
      <c r="AI45" s="30" t="s">
        <v>3280</v>
      </c>
      <c r="AJ45" s="30" t="s">
        <v>2129</v>
      </c>
      <c r="AK45" s="30" t="s">
        <v>2129</v>
      </c>
      <c r="AL45" s="30" t="s">
        <v>2129</v>
      </c>
      <c r="AM45" s="30" t="s">
        <v>2129</v>
      </c>
      <c r="AN45" s="30" t="s">
        <v>2129</v>
      </c>
      <c r="AO45" s="30" t="s">
        <v>2129</v>
      </c>
      <c r="AP45" s="30" t="s">
        <v>2129</v>
      </c>
      <c r="AQ45" s="30" t="s">
        <v>2129</v>
      </c>
      <c r="AR45" s="30" t="s">
        <v>2129</v>
      </c>
      <c r="AS45" s="30" t="s">
        <v>2129</v>
      </c>
      <c r="AT45" s="30" t="s">
        <v>2129</v>
      </c>
      <c r="AU45" s="30" t="s">
        <v>2129</v>
      </c>
      <c r="AV45" s="30" t="s">
        <v>2129</v>
      </c>
      <c r="AW45" s="30" t="s">
        <v>2129</v>
      </c>
      <c r="AX45" s="30">
        <v>0</v>
      </c>
      <c r="AY45" s="30">
        <v>7200</v>
      </c>
      <c r="AZ45" s="30" t="s">
        <v>2129</v>
      </c>
      <c r="BA45" s="30" t="s">
        <v>2129</v>
      </c>
      <c r="BB45" s="30">
        <v>0</v>
      </c>
      <c r="BC45" s="30">
        <v>7200</v>
      </c>
      <c r="BD45" s="30" t="s">
        <v>2129</v>
      </c>
      <c r="BE45" s="30" t="s">
        <v>2129</v>
      </c>
      <c r="BF45" s="30" t="s">
        <v>2129</v>
      </c>
      <c r="BG45" s="30" t="s">
        <v>2129</v>
      </c>
      <c r="BH45" s="30" t="s">
        <v>2129</v>
      </c>
      <c r="BI45" s="30" t="s">
        <v>2129</v>
      </c>
      <c r="BJ45" s="30" t="s">
        <v>2129</v>
      </c>
      <c r="BK45" s="30" t="s">
        <v>2129</v>
      </c>
      <c r="BL45" s="30" t="s">
        <v>2129</v>
      </c>
      <c r="BM45" s="30" t="s">
        <v>2129</v>
      </c>
      <c r="BN45" s="30" t="s">
        <v>2129</v>
      </c>
      <c r="BO45" s="30" t="s">
        <v>2129</v>
      </c>
      <c r="BP45" s="30" t="s">
        <v>2129</v>
      </c>
      <c r="BQ45" s="30" t="s">
        <v>2129</v>
      </c>
      <c r="BR45" s="30" t="s">
        <v>2129</v>
      </c>
      <c r="BS45" s="30" t="s">
        <v>2129</v>
      </c>
      <c r="BT45" s="30" t="s">
        <v>2129</v>
      </c>
      <c r="BU45" s="30" t="s">
        <v>2129</v>
      </c>
      <c r="BV45" s="30" t="s">
        <v>2129</v>
      </c>
      <c r="BW45" s="30" t="s">
        <v>2129</v>
      </c>
      <c r="BX45" s="30" t="s">
        <v>2129</v>
      </c>
      <c r="BY45" s="30" t="s">
        <v>2129</v>
      </c>
      <c r="BZ45" s="30" t="s">
        <v>2129</v>
      </c>
      <c r="CA45" s="30" t="s">
        <v>2129</v>
      </c>
      <c r="CB45" s="30" t="s">
        <v>2129</v>
      </c>
      <c r="CC45" s="30" t="s">
        <v>2129</v>
      </c>
      <c r="CD45" s="30" t="s">
        <v>2129</v>
      </c>
      <c r="CE45" s="30" t="s">
        <v>3281</v>
      </c>
      <c r="CF45" s="30" t="s">
        <v>3252</v>
      </c>
      <c r="CG45" s="30" t="s">
        <v>2129</v>
      </c>
      <c r="CH45" s="30" t="s">
        <v>2129</v>
      </c>
      <c r="CI45" s="30" t="s">
        <v>2129</v>
      </c>
      <c r="CJ45" s="30" t="s">
        <v>2129</v>
      </c>
      <c r="CK45" s="30" t="s">
        <v>2129</v>
      </c>
      <c r="CL45" s="30" t="s">
        <v>2129</v>
      </c>
      <c r="CM45" s="30" t="s">
        <v>2129</v>
      </c>
      <c r="CN45" s="30" t="s">
        <v>2129</v>
      </c>
      <c r="CO45" s="30" t="s">
        <v>2129</v>
      </c>
      <c r="CP45" s="30" t="s">
        <v>2129</v>
      </c>
      <c r="CQ45" s="30" t="s">
        <v>2129</v>
      </c>
      <c r="CR45" s="30" t="s">
        <v>2129</v>
      </c>
      <c r="CS45" s="30">
        <v>30</v>
      </c>
      <c r="CT45" s="30" t="s">
        <v>2129</v>
      </c>
      <c r="CU45" s="30" t="s">
        <v>2129</v>
      </c>
      <c r="CV45" s="30" t="s">
        <v>2129</v>
      </c>
      <c r="CW45" s="30" t="s">
        <v>2129</v>
      </c>
      <c r="CX45" s="30" t="s">
        <v>2129</v>
      </c>
      <c r="CY45" s="30" t="s">
        <v>2129</v>
      </c>
      <c r="CZ45" s="30" t="s">
        <v>2129</v>
      </c>
      <c r="DA45" s="30" t="s">
        <v>2129</v>
      </c>
      <c r="DB45" s="30" t="s">
        <v>2129</v>
      </c>
      <c r="DC45" s="30" t="s">
        <v>2129</v>
      </c>
      <c r="DD45" s="30" t="s">
        <v>2129</v>
      </c>
      <c r="DE45" s="30" t="s">
        <v>2129</v>
      </c>
      <c r="DF45" s="30" t="s">
        <v>2129</v>
      </c>
      <c r="DG45" s="30" t="s">
        <v>2129</v>
      </c>
      <c r="DH45" s="30" t="s">
        <v>2129</v>
      </c>
      <c r="DI45" s="30" t="s">
        <v>2129</v>
      </c>
      <c r="DJ45" s="30" t="s">
        <v>2129</v>
      </c>
      <c r="DK45" s="30" t="s">
        <v>2129</v>
      </c>
      <c r="DL45" s="30" t="s">
        <v>2129</v>
      </c>
      <c r="DM45" s="30" t="s">
        <v>2129</v>
      </c>
      <c r="DN45" s="30" t="s">
        <v>2129</v>
      </c>
      <c r="DO45" s="30" t="s">
        <v>2129</v>
      </c>
      <c r="DP45" s="30" t="s">
        <v>2129</v>
      </c>
      <c r="DQ45" s="43" t="s">
        <v>2129</v>
      </c>
    </row>
    <row r="46" spans="1:121" x14ac:dyDescent="0.25">
      <c r="A46" s="39" t="s">
        <v>1946</v>
      </c>
      <c r="B46" s="29" t="s">
        <v>1884</v>
      </c>
      <c r="C46" s="29">
        <v>22010</v>
      </c>
      <c r="D46" s="29"/>
      <c r="E46" s="29" t="s">
        <v>77</v>
      </c>
      <c r="F46" s="29" t="s">
        <v>16</v>
      </c>
      <c r="G46" s="29" t="s">
        <v>2163</v>
      </c>
      <c r="H46" s="29" t="s">
        <v>56</v>
      </c>
      <c r="I46" s="29" t="s">
        <v>2127</v>
      </c>
      <c r="J46" s="29" t="s">
        <v>2156</v>
      </c>
      <c r="K46" s="29" t="s">
        <v>2129</v>
      </c>
      <c r="L46" s="29" t="s">
        <v>2129</v>
      </c>
      <c r="M46" s="29" t="s">
        <v>2130</v>
      </c>
      <c r="N46" s="29" t="s">
        <v>16</v>
      </c>
      <c r="O46" s="29" t="s">
        <v>2150</v>
      </c>
      <c r="P46" s="29" t="s">
        <v>2150</v>
      </c>
      <c r="Q46" s="29" t="s">
        <v>2150</v>
      </c>
      <c r="R46" s="45">
        <v>45890.515972222223</v>
      </c>
      <c r="S46" s="45">
        <v>46085.542361111111</v>
      </c>
      <c r="T46" s="45">
        <v>46087.717361111114</v>
      </c>
      <c r="U46" s="45">
        <v>46085.542361111111</v>
      </c>
      <c r="V46" s="29" t="s">
        <v>2129</v>
      </c>
      <c r="W46" s="29" t="s">
        <v>2129</v>
      </c>
      <c r="X46" s="29" t="s">
        <v>2129</v>
      </c>
      <c r="Y46" s="29">
        <v>0</v>
      </c>
      <c r="Z46" s="29" t="s">
        <v>2129</v>
      </c>
      <c r="AA46" s="29" t="s">
        <v>2129</v>
      </c>
      <c r="AB46" s="29" t="s">
        <v>3282</v>
      </c>
      <c r="AC46" s="29" t="s">
        <v>2129</v>
      </c>
      <c r="AD46" s="29" t="s">
        <v>2150</v>
      </c>
      <c r="AE46" s="29" t="s">
        <v>2129</v>
      </c>
      <c r="AF46" s="29" t="s">
        <v>2129</v>
      </c>
      <c r="AG46" s="29" t="s">
        <v>2129</v>
      </c>
      <c r="AH46" s="29" t="s">
        <v>2129</v>
      </c>
      <c r="AI46" s="29" t="s">
        <v>3283</v>
      </c>
      <c r="AJ46" s="29" t="s">
        <v>2129</v>
      </c>
      <c r="AK46" s="29" t="s">
        <v>2129</v>
      </c>
      <c r="AL46" s="29" t="s">
        <v>2129</v>
      </c>
      <c r="AM46" s="29" t="s">
        <v>2129</v>
      </c>
      <c r="AN46" s="29" t="s">
        <v>2129</v>
      </c>
      <c r="AO46" s="29" t="s">
        <v>2129</v>
      </c>
      <c r="AP46" s="29" t="s">
        <v>2129</v>
      </c>
      <c r="AQ46" s="29" t="s">
        <v>2129</v>
      </c>
      <c r="AR46" s="29" t="s">
        <v>2129</v>
      </c>
      <c r="AS46" s="29" t="s">
        <v>2129</v>
      </c>
      <c r="AT46" s="29" t="s">
        <v>2129</v>
      </c>
      <c r="AU46" s="29" t="s">
        <v>2129</v>
      </c>
      <c r="AV46" s="29" t="s">
        <v>2129</v>
      </c>
      <c r="AW46" s="29" t="s">
        <v>2129</v>
      </c>
      <c r="AX46" s="29">
        <v>0</v>
      </c>
      <c r="AY46" s="29">
        <v>7200</v>
      </c>
      <c r="AZ46" s="29" t="s">
        <v>2129</v>
      </c>
      <c r="BA46" s="29" t="s">
        <v>2129</v>
      </c>
      <c r="BB46" s="29">
        <v>0</v>
      </c>
      <c r="BC46" s="29">
        <v>7200</v>
      </c>
      <c r="BD46" s="29" t="s">
        <v>2129</v>
      </c>
      <c r="BE46" s="29" t="s">
        <v>2129</v>
      </c>
      <c r="BF46" s="29" t="s">
        <v>2129</v>
      </c>
      <c r="BG46" s="29" t="s">
        <v>1656</v>
      </c>
      <c r="BH46" s="29" t="s">
        <v>2129</v>
      </c>
      <c r="BI46" s="29" t="s">
        <v>2129</v>
      </c>
      <c r="BJ46" s="29" t="s">
        <v>2129</v>
      </c>
      <c r="BK46" s="29" t="s">
        <v>2129</v>
      </c>
      <c r="BL46" s="29" t="s">
        <v>2129</v>
      </c>
      <c r="BM46" s="29" t="s">
        <v>2129</v>
      </c>
      <c r="BN46" s="29" t="s">
        <v>2129</v>
      </c>
      <c r="BO46" s="29" t="s">
        <v>2129</v>
      </c>
      <c r="BP46" s="29" t="s">
        <v>2129</v>
      </c>
      <c r="BQ46" s="29" t="s">
        <v>2129</v>
      </c>
      <c r="BR46" s="29" t="s">
        <v>2129</v>
      </c>
      <c r="BS46" s="29" t="s">
        <v>2129</v>
      </c>
      <c r="BT46" s="29" t="s">
        <v>2129</v>
      </c>
      <c r="BU46" s="29" t="s">
        <v>2129</v>
      </c>
      <c r="BV46" s="29" t="s">
        <v>2129</v>
      </c>
      <c r="BW46" s="29" t="s">
        <v>2129</v>
      </c>
      <c r="BX46" s="29" t="s">
        <v>2129</v>
      </c>
      <c r="BY46" s="29" t="s">
        <v>2129</v>
      </c>
      <c r="BZ46" s="29" t="s">
        <v>2129</v>
      </c>
      <c r="CA46" s="29" t="s">
        <v>2129</v>
      </c>
      <c r="CB46" s="29" t="s">
        <v>2129</v>
      </c>
      <c r="CC46" s="29" t="s">
        <v>2129</v>
      </c>
      <c r="CD46" s="29" t="s">
        <v>2129</v>
      </c>
      <c r="CE46" s="29" t="s">
        <v>3284</v>
      </c>
      <c r="CF46" s="29" t="s">
        <v>3252</v>
      </c>
      <c r="CG46" s="29" t="s">
        <v>2129</v>
      </c>
      <c r="CH46" s="29" t="s">
        <v>2129</v>
      </c>
      <c r="CI46" s="29" t="s">
        <v>2129</v>
      </c>
      <c r="CJ46" s="29" t="s">
        <v>2129</v>
      </c>
      <c r="CK46" s="29" t="s">
        <v>2129</v>
      </c>
      <c r="CL46" s="29" t="s">
        <v>2129</v>
      </c>
      <c r="CM46" s="29" t="s">
        <v>2129</v>
      </c>
      <c r="CN46" s="29" t="s">
        <v>2129</v>
      </c>
      <c r="CO46" s="29" t="s">
        <v>2129</v>
      </c>
      <c r="CP46" s="29" t="s">
        <v>2129</v>
      </c>
      <c r="CQ46" s="29" t="s">
        <v>2129</v>
      </c>
      <c r="CR46" s="29" t="s">
        <v>2129</v>
      </c>
      <c r="CS46" s="29">
        <v>30</v>
      </c>
      <c r="CT46" s="29" t="s">
        <v>2129</v>
      </c>
      <c r="CU46" s="29" t="s">
        <v>2129</v>
      </c>
      <c r="CV46" s="29" t="s">
        <v>2129</v>
      </c>
      <c r="CW46" s="29" t="s">
        <v>2129</v>
      </c>
      <c r="CX46" s="29" t="s">
        <v>2129</v>
      </c>
      <c r="CY46" s="29" t="s">
        <v>2129</v>
      </c>
      <c r="CZ46" s="29" t="s">
        <v>2129</v>
      </c>
      <c r="DA46" s="29" t="s">
        <v>2129</v>
      </c>
      <c r="DB46" s="29" t="s">
        <v>2129</v>
      </c>
      <c r="DC46" s="29" t="s">
        <v>2129</v>
      </c>
      <c r="DD46" s="29" t="s">
        <v>2129</v>
      </c>
      <c r="DE46" s="29" t="s">
        <v>2129</v>
      </c>
      <c r="DF46" s="29" t="s">
        <v>2129</v>
      </c>
      <c r="DG46" s="29" t="s">
        <v>2129</v>
      </c>
      <c r="DH46" s="29" t="s">
        <v>2129</v>
      </c>
      <c r="DI46" s="29" t="s">
        <v>2129</v>
      </c>
      <c r="DJ46" s="29" t="s">
        <v>2129</v>
      </c>
      <c r="DK46" s="29" t="s">
        <v>2129</v>
      </c>
      <c r="DL46" s="29" t="s">
        <v>2129</v>
      </c>
      <c r="DM46" s="29" t="s">
        <v>2129</v>
      </c>
      <c r="DN46" s="29" t="s">
        <v>2129</v>
      </c>
      <c r="DO46" s="29" t="s">
        <v>2129</v>
      </c>
      <c r="DP46" s="29" t="s">
        <v>2129</v>
      </c>
      <c r="DQ46" s="42" t="s">
        <v>2129</v>
      </c>
    </row>
    <row r="47" spans="1:121" x14ac:dyDescent="0.25">
      <c r="A47" s="36" t="s">
        <v>3285</v>
      </c>
      <c r="B47" s="30" t="s">
        <v>3286</v>
      </c>
      <c r="C47" s="30">
        <v>22870</v>
      </c>
      <c r="D47" s="30"/>
      <c r="E47" s="30" t="s">
        <v>14</v>
      </c>
      <c r="F47" s="30" t="s">
        <v>10</v>
      </c>
      <c r="G47" s="30" t="s">
        <v>3287</v>
      </c>
      <c r="H47" s="30" t="s">
        <v>3288</v>
      </c>
      <c r="I47" s="30" t="s">
        <v>2127</v>
      </c>
      <c r="J47" s="30" t="s">
        <v>2152</v>
      </c>
      <c r="K47" s="30" t="s">
        <v>2129</v>
      </c>
      <c r="L47" s="30" t="s">
        <v>2129</v>
      </c>
      <c r="M47" s="30" t="s">
        <v>2130</v>
      </c>
      <c r="N47" s="30" t="s">
        <v>2129</v>
      </c>
      <c r="O47" s="30" t="s">
        <v>2145</v>
      </c>
      <c r="P47" s="30" t="s">
        <v>2145</v>
      </c>
      <c r="Q47" s="30" t="s">
        <v>2145</v>
      </c>
      <c r="R47" s="46">
        <v>46045.388888888891</v>
      </c>
      <c r="S47" s="46">
        <v>46077.545138888891</v>
      </c>
      <c r="T47" s="46">
        <v>46078.637499999997</v>
      </c>
      <c r="U47" s="46"/>
      <c r="V47" s="30" t="s">
        <v>2129</v>
      </c>
      <c r="W47" s="30" t="s">
        <v>2129</v>
      </c>
      <c r="X47" s="30" t="s">
        <v>2129</v>
      </c>
      <c r="Y47" s="30">
        <v>0</v>
      </c>
      <c r="Z47" s="30" t="s">
        <v>2129</v>
      </c>
      <c r="AA47" s="30" t="s">
        <v>2129</v>
      </c>
      <c r="AB47" s="30" t="s">
        <v>3289</v>
      </c>
      <c r="AC47" s="30" t="s">
        <v>2129</v>
      </c>
      <c r="AD47" s="30" t="s">
        <v>2141</v>
      </c>
      <c r="AE47" s="30" t="s">
        <v>2145</v>
      </c>
      <c r="AF47" s="30" t="s">
        <v>2129</v>
      </c>
      <c r="AG47" s="30" t="s">
        <v>2129</v>
      </c>
      <c r="AH47" s="30" t="s">
        <v>2129</v>
      </c>
      <c r="AI47" s="30" t="s">
        <v>2129</v>
      </c>
      <c r="AJ47" s="30" t="s">
        <v>2129</v>
      </c>
      <c r="AK47" s="30" t="s">
        <v>2129</v>
      </c>
      <c r="AL47" s="30" t="s">
        <v>2129</v>
      </c>
      <c r="AM47" s="30" t="s">
        <v>2129</v>
      </c>
      <c r="AN47" s="30" t="s">
        <v>2129</v>
      </c>
      <c r="AO47" s="30" t="s">
        <v>2129</v>
      </c>
      <c r="AP47" s="30" t="s">
        <v>2129</v>
      </c>
      <c r="AQ47" s="30" t="s">
        <v>2129</v>
      </c>
      <c r="AR47" s="30" t="s">
        <v>2129</v>
      </c>
      <c r="AS47" s="30" t="s">
        <v>2129</v>
      </c>
      <c r="AT47" s="30" t="s">
        <v>2129</v>
      </c>
      <c r="AU47" s="30" t="s">
        <v>2129</v>
      </c>
      <c r="AV47" s="30" t="s">
        <v>2129</v>
      </c>
      <c r="AW47" s="30" t="s">
        <v>2129</v>
      </c>
      <c r="AX47" s="30"/>
      <c r="AY47" s="30"/>
      <c r="AZ47" s="30" t="s">
        <v>2129</v>
      </c>
      <c r="BA47" s="30" t="s">
        <v>2129</v>
      </c>
      <c r="BB47" s="30"/>
      <c r="BC47" s="30"/>
      <c r="BD47" s="30" t="s">
        <v>2129</v>
      </c>
      <c r="BE47" s="30" t="s">
        <v>2129</v>
      </c>
      <c r="BF47" s="30" t="s">
        <v>2129</v>
      </c>
      <c r="BG47" s="30" t="s">
        <v>2129</v>
      </c>
      <c r="BH47" s="30" t="s">
        <v>2129</v>
      </c>
      <c r="BI47" s="30" t="s">
        <v>2129</v>
      </c>
      <c r="BJ47" s="30" t="s">
        <v>2129</v>
      </c>
      <c r="BK47" s="30" t="s">
        <v>2129</v>
      </c>
      <c r="BL47" s="30" t="s">
        <v>2129</v>
      </c>
      <c r="BM47" s="30" t="s">
        <v>2129</v>
      </c>
      <c r="BN47" s="30" t="s">
        <v>2129</v>
      </c>
      <c r="BO47" s="30" t="s">
        <v>2129</v>
      </c>
      <c r="BP47" s="30" t="s">
        <v>2129</v>
      </c>
      <c r="BQ47" s="30" t="s">
        <v>2129</v>
      </c>
      <c r="BR47" s="30" t="s">
        <v>2129</v>
      </c>
      <c r="BS47" s="30" t="s">
        <v>2129</v>
      </c>
      <c r="BT47" s="30" t="s">
        <v>2129</v>
      </c>
      <c r="BU47" s="30" t="s">
        <v>2129</v>
      </c>
      <c r="BV47" s="30" t="s">
        <v>2129</v>
      </c>
      <c r="BW47" s="30" t="s">
        <v>2129</v>
      </c>
      <c r="BX47" s="30" t="s">
        <v>2532</v>
      </c>
      <c r="BY47" s="30" t="s">
        <v>2129</v>
      </c>
      <c r="BZ47" s="30" t="s">
        <v>2129</v>
      </c>
      <c r="CA47" s="30" t="s">
        <v>2129</v>
      </c>
      <c r="CB47" s="30" t="s">
        <v>2129</v>
      </c>
      <c r="CC47" s="30" t="s">
        <v>2129</v>
      </c>
      <c r="CD47" s="30" t="s">
        <v>2129</v>
      </c>
      <c r="CE47" s="30" t="s">
        <v>3290</v>
      </c>
      <c r="CF47" s="30" t="s">
        <v>2129</v>
      </c>
      <c r="CG47" s="30" t="s">
        <v>2129</v>
      </c>
      <c r="CH47" s="30" t="s">
        <v>2129</v>
      </c>
      <c r="CI47" s="30" t="s">
        <v>2129</v>
      </c>
      <c r="CJ47" s="30" t="s">
        <v>2129</v>
      </c>
      <c r="CK47" s="30" t="s">
        <v>2129</v>
      </c>
      <c r="CL47" s="30" t="s">
        <v>2129</v>
      </c>
      <c r="CM47" s="30" t="s">
        <v>2129</v>
      </c>
      <c r="CN47" s="30" t="s">
        <v>2129</v>
      </c>
      <c r="CO47" s="30" t="s">
        <v>2129</v>
      </c>
      <c r="CP47" s="30" t="s">
        <v>2129</v>
      </c>
      <c r="CQ47" s="30" t="s">
        <v>2129</v>
      </c>
      <c r="CR47" s="30" t="s">
        <v>2129</v>
      </c>
      <c r="CS47" s="30"/>
      <c r="CT47" s="30" t="s">
        <v>2129</v>
      </c>
      <c r="CU47" s="30" t="s">
        <v>2129</v>
      </c>
      <c r="CV47" s="30" t="s">
        <v>3291</v>
      </c>
      <c r="CW47" s="30" t="s">
        <v>3292</v>
      </c>
      <c r="CX47" s="30" t="s">
        <v>2129</v>
      </c>
      <c r="CY47" s="30" t="s">
        <v>2129</v>
      </c>
      <c r="CZ47" s="30" t="s">
        <v>2129</v>
      </c>
      <c r="DA47" s="30" t="s">
        <v>2129</v>
      </c>
      <c r="DB47" s="30" t="s">
        <v>2129</v>
      </c>
      <c r="DC47" s="30" t="s">
        <v>2129</v>
      </c>
      <c r="DD47" s="30" t="s">
        <v>2129</v>
      </c>
      <c r="DE47" s="30" t="s">
        <v>2129</v>
      </c>
      <c r="DF47" s="30" t="s">
        <v>2129</v>
      </c>
      <c r="DG47" s="30" t="s">
        <v>2129</v>
      </c>
      <c r="DH47" s="30" t="s">
        <v>2129</v>
      </c>
      <c r="DI47" s="30" t="s">
        <v>2129</v>
      </c>
      <c r="DJ47" s="30" t="s">
        <v>2129</v>
      </c>
      <c r="DK47" s="30" t="s">
        <v>2129</v>
      </c>
      <c r="DL47" s="30" t="s">
        <v>2129</v>
      </c>
      <c r="DM47" s="30" t="s">
        <v>2129</v>
      </c>
      <c r="DN47" s="30" t="s">
        <v>2129</v>
      </c>
      <c r="DO47" s="30" t="s">
        <v>2129</v>
      </c>
      <c r="DP47" s="30" t="s">
        <v>2129</v>
      </c>
      <c r="DQ47" s="43" t="s">
        <v>2129</v>
      </c>
    </row>
    <row r="48" spans="1:121" x14ac:dyDescent="0.25">
      <c r="A48" s="39" t="s">
        <v>3293</v>
      </c>
      <c r="B48" s="29" t="s">
        <v>3294</v>
      </c>
      <c r="C48" s="29">
        <v>23068</v>
      </c>
      <c r="D48" s="29"/>
      <c r="E48" s="29" t="s">
        <v>14</v>
      </c>
      <c r="F48" s="29" t="s">
        <v>10</v>
      </c>
      <c r="G48" s="29" t="s">
        <v>3295</v>
      </c>
      <c r="H48" s="29" t="s">
        <v>3296</v>
      </c>
      <c r="I48" s="29" t="s">
        <v>2127</v>
      </c>
      <c r="J48" s="29" t="s">
        <v>2141</v>
      </c>
      <c r="K48" s="29" t="s">
        <v>3297</v>
      </c>
      <c r="L48" s="29" t="s">
        <v>2129</v>
      </c>
      <c r="M48" s="29" t="s">
        <v>2130</v>
      </c>
      <c r="N48" s="29" t="s">
        <v>2129</v>
      </c>
      <c r="O48" s="29" t="s">
        <v>2141</v>
      </c>
      <c r="P48" s="29" t="s">
        <v>2145</v>
      </c>
      <c r="Q48" s="29" t="s">
        <v>2145</v>
      </c>
      <c r="R48" s="45">
        <v>46083.413888888892</v>
      </c>
      <c r="S48" s="45">
        <v>46083.413888888892</v>
      </c>
      <c r="T48" s="45">
        <v>46087.717361111114</v>
      </c>
      <c r="U48" s="45"/>
      <c r="V48" s="29" t="s">
        <v>2129</v>
      </c>
      <c r="W48" s="29" t="s">
        <v>2129</v>
      </c>
      <c r="X48" s="29" t="s">
        <v>2129</v>
      </c>
      <c r="Y48" s="29">
        <v>0</v>
      </c>
      <c r="Z48" s="29" t="s">
        <v>2129</v>
      </c>
      <c r="AA48" s="29" t="s">
        <v>2129</v>
      </c>
      <c r="AB48" s="29" t="s">
        <v>3298</v>
      </c>
      <c r="AC48" s="29" t="s">
        <v>2129</v>
      </c>
      <c r="AD48" s="29" t="s">
        <v>2145</v>
      </c>
      <c r="AE48" s="29" t="s">
        <v>2129</v>
      </c>
      <c r="AF48" s="29" t="s">
        <v>2129</v>
      </c>
      <c r="AG48" s="29" t="s">
        <v>2129</v>
      </c>
      <c r="AH48" s="29" t="s">
        <v>2129</v>
      </c>
      <c r="AI48" s="29" t="s">
        <v>2129</v>
      </c>
      <c r="AJ48" s="29" t="s">
        <v>2129</v>
      </c>
      <c r="AK48" s="29" t="s">
        <v>2129</v>
      </c>
      <c r="AL48" s="29" t="s">
        <v>2129</v>
      </c>
      <c r="AM48" s="29" t="s">
        <v>2129</v>
      </c>
      <c r="AN48" s="29" t="s">
        <v>2129</v>
      </c>
      <c r="AO48" s="29" t="s">
        <v>2129</v>
      </c>
      <c r="AP48" s="29" t="s">
        <v>2129</v>
      </c>
      <c r="AQ48" s="29" t="s">
        <v>2129</v>
      </c>
      <c r="AR48" s="29" t="s">
        <v>2129</v>
      </c>
      <c r="AS48" s="29" t="s">
        <v>2129</v>
      </c>
      <c r="AT48" s="29" t="s">
        <v>2129</v>
      </c>
      <c r="AU48" s="29" t="s">
        <v>2129</v>
      </c>
      <c r="AV48" s="29" t="s">
        <v>2129</v>
      </c>
      <c r="AW48" s="29" t="s">
        <v>2129</v>
      </c>
      <c r="AX48" s="29"/>
      <c r="AY48" s="29"/>
      <c r="AZ48" s="29" t="s">
        <v>2129</v>
      </c>
      <c r="BA48" s="29" t="s">
        <v>2129</v>
      </c>
      <c r="BB48" s="29"/>
      <c r="BC48" s="29"/>
      <c r="BD48" s="29" t="s">
        <v>2129</v>
      </c>
      <c r="BE48" s="29" t="s">
        <v>2129</v>
      </c>
      <c r="BF48" s="29" t="s">
        <v>2129</v>
      </c>
      <c r="BG48" s="29" t="s">
        <v>2129</v>
      </c>
      <c r="BH48" s="29" t="s">
        <v>2129</v>
      </c>
      <c r="BI48" s="29" t="s">
        <v>2129</v>
      </c>
      <c r="BJ48" s="29" t="s">
        <v>2129</v>
      </c>
      <c r="BK48" s="29" t="s">
        <v>2129</v>
      </c>
      <c r="BL48" s="29" t="s">
        <v>2129</v>
      </c>
      <c r="BM48" s="29" t="s">
        <v>2129</v>
      </c>
      <c r="BN48" s="29" t="s">
        <v>2129</v>
      </c>
      <c r="BO48" s="29" t="s">
        <v>2129</v>
      </c>
      <c r="BP48" s="29" t="s">
        <v>2129</v>
      </c>
      <c r="BQ48" s="29" t="s">
        <v>2129</v>
      </c>
      <c r="BR48" s="29" t="s">
        <v>2129</v>
      </c>
      <c r="BS48" s="29" t="s">
        <v>2129</v>
      </c>
      <c r="BT48" s="29" t="s">
        <v>2129</v>
      </c>
      <c r="BU48" s="29" t="s">
        <v>2129</v>
      </c>
      <c r="BV48" s="29" t="s">
        <v>2129</v>
      </c>
      <c r="BW48" s="29" t="s">
        <v>2129</v>
      </c>
      <c r="BX48" s="29" t="s">
        <v>2129</v>
      </c>
      <c r="BY48" s="29" t="s">
        <v>2129</v>
      </c>
      <c r="BZ48" s="29" t="s">
        <v>2129</v>
      </c>
      <c r="CA48" s="29" t="s">
        <v>2129</v>
      </c>
      <c r="CB48" s="29" t="s">
        <v>2129</v>
      </c>
      <c r="CC48" s="29" t="s">
        <v>2129</v>
      </c>
      <c r="CD48" s="29" t="s">
        <v>2129</v>
      </c>
      <c r="CE48" s="29" t="s">
        <v>3299</v>
      </c>
      <c r="CF48" s="29" t="s">
        <v>2129</v>
      </c>
      <c r="CG48" s="29" t="s">
        <v>2129</v>
      </c>
      <c r="CH48" s="29" t="s">
        <v>2129</v>
      </c>
      <c r="CI48" s="29" t="s">
        <v>2129</v>
      </c>
      <c r="CJ48" s="29" t="s">
        <v>2129</v>
      </c>
      <c r="CK48" s="29" t="s">
        <v>2129</v>
      </c>
      <c r="CL48" s="29" t="s">
        <v>2129</v>
      </c>
      <c r="CM48" s="29" t="s">
        <v>2129</v>
      </c>
      <c r="CN48" s="29" t="s">
        <v>2129</v>
      </c>
      <c r="CO48" s="29" t="s">
        <v>2129</v>
      </c>
      <c r="CP48" s="29" t="s">
        <v>2129</v>
      </c>
      <c r="CQ48" s="29" t="s">
        <v>2129</v>
      </c>
      <c r="CR48" s="29" t="s">
        <v>2129</v>
      </c>
      <c r="CS48" s="29"/>
      <c r="CT48" s="29" t="s">
        <v>2129</v>
      </c>
      <c r="CU48" s="29" t="s">
        <v>2129</v>
      </c>
      <c r="CV48" s="29" t="s">
        <v>2129</v>
      </c>
      <c r="CW48" s="29" t="s">
        <v>2129</v>
      </c>
      <c r="CX48" s="29" t="s">
        <v>2129</v>
      </c>
      <c r="CY48" s="29" t="s">
        <v>2129</v>
      </c>
      <c r="CZ48" s="29" t="s">
        <v>2129</v>
      </c>
      <c r="DA48" s="29" t="s">
        <v>2129</v>
      </c>
      <c r="DB48" s="29" t="s">
        <v>2129</v>
      </c>
      <c r="DC48" s="29" t="s">
        <v>2129</v>
      </c>
      <c r="DD48" s="29" t="s">
        <v>2129</v>
      </c>
      <c r="DE48" s="29" t="s">
        <v>2129</v>
      </c>
      <c r="DF48" s="29" t="s">
        <v>2129</v>
      </c>
      <c r="DG48" s="29" t="s">
        <v>2129</v>
      </c>
      <c r="DH48" s="29" t="s">
        <v>2129</v>
      </c>
      <c r="DI48" s="29" t="s">
        <v>2129</v>
      </c>
      <c r="DJ48" s="29" t="s">
        <v>2129</v>
      </c>
      <c r="DK48" s="29" t="s">
        <v>2129</v>
      </c>
      <c r="DL48" s="29" t="s">
        <v>2129</v>
      </c>
      <c r="DM48" s="29" t="s">
        <v>2129</v>
      </c>
      <c r="DN48" s="29" t="s">
        <v>2129</v>
      </c>
      <c r="DO48" s="29" t="s">
        <v>2129</v>
      </c>
      <c r="DP48" s="29" t="s">
        <v>2129</v>
      </c>
      <c r="DQ48" s="42" t="s">
        <v>2129</v>
      </c>
    </row>
    <row r="49" spans="1:121" x14ac:dyDescent="0.25">
      <c r="A49" s="36" t="s">
        <v>3050</v>
      </c>
      <c r="B49" s="30" t="s">
        <v>3300</v>
      </c>
      <c r="C49" s="30">
        <v>23073</v>
      </c>
      <c r="D49" s="30"/>
      <c r="E49" s="30" t="s">
        <v>14</v>
      </c>
      <c r="F49" s="30" t="s">
        <v>10</v>
      </c>
      <c r="G49" s="30" t="s">
        <v>47</v>
      </c>
      <c r="H49" s="30" t="s">
        <v>47</v>
      </c>
      <c r="I49" s="30" t="s">
        <v>2127</v>
      </c>
      <c r="J49" s="30" t="s">
        <v>2141</v>
      </c>
      <c r="K49" s="30" t="s">
        <v>2164</v>
      </c>
      <c r="L49" s="30" t="s">
        <v>2129</v>
      </c>
      <c r="M49" s="30" t="s">
        <v>2130</v>
      </c>
      <c r="N49" s="30" t="s">
        <v>2129</v>
      </c>
      <c r="O49" s="30" t="s">
        <v>2141</v>
      </c>
      <c r="P49" s="30" t="s">
        <v>2145</v>
      </c>
      <c r="Q49" s="30" t="s">
        <v>2145</v>
      </c>
      <c r="R49" s="46">
        <v>46083.422222222223</v>
      </c>
      <c r="S49" s="46">
        <v>46083.422222222223</v>
      </c>
      <c r="T49" s="46">
        <v>46087.717361111114</v>
      </c>
      <c r="U49" s="46"/>
      <c r="V49" s="30" t="s">
        <v>2129</v>
      </c>
      <c r="W49" s="30" t="s">
        <v>2129</v>
      </c>
      <c r="X49" s="30" t="s">
        <v>2129</v>
      </c>
      <c r="Y49" s="30">
        <v>0</v>
      </c>
      <c r="Z49" s="30" t="s">
        <v>2129</v>
      </c>
      <c r="AA49" s="30" t="s">
        <v>2129</v>
      </c>
      <c r="AB49" s="30" t="s">
        <v>3228</v>
      </c>
      <c r="AC49" s="30" t="s">
        <v>2129</v>
      </c>
      <c r="AD49" s="30" t="s">
        <v>2145</v>
      </c>
      <c r="AE49" s="30" t="s">
        <v>2129</v>
      </c>
      <c r="AF49" s="30" t="s">
        <v>2129</v>
      </c>
      <c r="AG49" s="30" t="s">
        <v>2129</v>
      </c>
      <c r="AH49" s="30" t="s">
        <v>2129</v>
      </c>
      <c r="AI49" s="30" t="s">
        <v>2129</v>
      </c>
      <c r="AJ49" s="30" t="s">
        <v>2129</v>
      </c>
      <c r="AK49" s="30" t="s">
        <v>2129</v>
      </c>
      <c r="AL49" s="30" t="s">
        <v>2129</v>
      </c>
      <c r="AM49" s="30" t="s">
        <v>2129</v>
      </c>
      <c r="AN49" s="30" t="s">
        <v>2129</v>
      </c>
      <c r="AO49" s="30" t="s">
        <v>2129</v>
      </c>
      <c r="AP49" s="30" t="s">
        <v>2129</v>
      </c>
      <c r="AQ49" s="30" t="s">
        <v>2129</v>
      </c>
      <c r="AR49" s="30" t="s">
        <v>2129</v>
      </c>
      <c r="AS49" s="30" t="s">
        <v>2129</v>
      </c>
      <c r="AT49" s="30" t="s">
        <v>2129</v>
      </c>
      <c r="AU49" s="30" t="s">
        <v>2129</v>
      </c>
      <c r="AV49" s="30" t="s">
        <v>2129</v>
      </c>
      <c r="AW49" s="30" t="s">
        <v>2129</v>
      </c>
      <c r="AX49" s="30"/>
      <c r="AY49" s="30"/>
      <c r="AZ49" s="30" t="s">
        <v>2129</v>
      </c>
      <c r="BA49" s="30" t="s">
        <v>2129</v>
      </c>
      <c r="BB49" s="30"/>
      <c r="BC49" s="30"/>
      <c r="BD49" s="30" t="s">
        <v>2129</v>
      </c>
      <c r="BE49" s="30" t="s">
        <v>2129</v>
      </c>
      <c r="BF49" s="30" t="s">
        <v>2129</v>
      </c>
      <c r="BG49" s="30" t="s">
        <v>2129</v>
      </c>
      <c r="BH49" s="30" t="s">
        <v>2129</v>
      </c>
      <c r="BI49" s="30" t="s">
        <v>2129</v>
      </c>
      <c r="BJ49" s="30" t="s">
        <v>2129</v>
      </c>
      <c r="BK49" s="30" t="s">
        <v>2129</v>
      </c>
      <c r="BL49" s="30" t="s">
        <v>2129</v>
      </c>
      <c r="BM49" s="30" t="s">
        <v>2129</v>
      </c>
      <c r="BN49" s="30" t="s">
        <v>2129</v>
      </c>
      <c r="BO49" s="30" t="s">
        <v>2129</v>
      </c>
      <c r="BP49" s="30" t="s">
        <v>2129</v>
      </c>
      <c r="BQ49" s="30" t="s">
        <v>2129</v>
      </c>
      <c r="BR49" s="30" t="s">
        <v>2129</v>
      </c>
      <c r="BS49" s="30" t="s">
        <v>2129</v>
      </c>
      <c r="BT49" s="30" t="s">
        <v>2129</v>
      </c>
      <c r="BU49" s="30" t="s">
        <v>2129</v>
      </c>
      <c r="BV49" s="30" t="s">
        <v>2129</v>
      </c>
      <c r="BW49" s="30" t="s">
        <v>2129</v>
      </c>
      <c r="BX49" s="30" t="s">
        <v>3149</v>
      </c>
      <c r="BY49" s="30" t="s">
        <v>2129</v>
      </c>
      <c r="BZ49" s="30" t="s">
        <v>2129</v>
      </c>
      <c r="CA49" s="30" t="s">
        <v>2129</v>
      </c>
      <c r="CB49" s="30" t="s">
        <v>2129</v>
      </c>
      <c r="CC49" s="30" t="s">
        <v>2129</v>
      </c>
      <c r="CD49" s="30" t="s">
        <v>2129</v>
      </c>
      <c r="CE49" s="30" t="s">
        <v>3301</v>
      </c>
      <c r="CF49" s="30" t="s">
        <v>2129</v>
      </c>
      <c r="CG49" s="30" t="s">
        <v>2129</v>
      </c>
      <c r="CH49" s="30" t="s">
        <v>2129</v>
      </c>
      <c r="CI49" s="30" t="s">
        <v>2129</v>
      </c>
      <c r="CJ49" s="30" t="s">
        <v>2129</v>
      </c>
      <c r="CK49" s="30" t="s">
        <v>2129</v>
      </c>
      <c r="CL49" s="30" t="s">
        <v>2129</v>
      </c>
      <c r="CM49" s="30" t="s">
        <v>2129</v>
      </c>
      <c r="CN49" s="30" t="s">
        <v>2129</v>
      </c>
      <c r="CO49" s="30" t="s">
        <v>2129</v>
      </c>
      <c r="CP49" s="30" t="s">
        <v>2129</v>
      </c>
      <c r="CQ49" s="30" t="s">
        <v>2129</v>
      </c>
      <c r="CR49" s="30" t="s">
        <v>2129</v>
      </c>
      <c r="CS49" s="30"/>
      <c r="CT49" s="30" t="s">
        <v>2129</v>
      </c>
      <c r="CU49" s="30" t="s">
        <v>2129</v>
      </c>
      <c r="CV49" s="30" t="s">
        <v>2129</v>
      </c>
      <c r="CW49" s="30" t="s">
        <v>2129</v>
      </c>
      <c r="CX49" s="30" t="s">
        <v>2129</v>
      </c>
      <c r="CY49" s="30" t="s">
        <v>2129</v>
      </c>
      <c r="CZ49" s="30" t="s">
        <v>2129</v>
      </c>
      <c r="DA49" s="30" t="s">
        <v>2129</v>
      </c>
      <c r="DB49" s="30" t="s">
        <v>2129</v>
      </c>
      <c r="DC49" s="30" t="s">
        <v>2129</v>
      </c>
      <c r="DD49" s="30" t="s">
        <v>2129</v>
      </c>
      <c r="DE49" s="30" t="s">
        <v>2129</v>
      </c>
      <c r="DF49" s="30" t="s">
        <v>2129</v>
      </c>
      <c r="DG49" s="30" t="s">
        <v>2129</v>
      </c>
      <c r="DH49" s="30" t="s">
        <v>2129</v>
      </c>
      <c r="DI49" s="30" t="s">
        <v>2129</v>
      </c>
      <c r="DJ49" s="30" t="s">
        <v>2129</v>
      </c>
      <c r="DK49" s="30" t="s">
        <v>2129</v>
      </c>
      <c r="DL49" s="30" t="s">
        <v>2129</v>
      </c>
      <c r="DM49" s="30" t="s">
        <v>2129</v>
      </c>
      <c r="DN49" s="30" t="s">
        <v>2129</v>
      </c>
      <c r="DO49" s="30" t="s">
        <v>2129</v>
      </c>
      <c r="DP49" s="30" t="s">
        <v>2129</v>
      </c>
      <c r="DQ49" s="43" t="s">
        <v>2129</v>
      </c>
    </row>
    <row r="50" spans="1:121" x14ac:dyDescent="0.25">
      <c r="A50" s="39" t="s">
        <v>2461</v>
      </c>
      <c r="B50" s="29" t="s">
        <v>2534</v>
      </c>
      <c r="C50" s="29">
        <v>22784</v>
      </c>
      <c r="D50" s="29"/>
      <c r="E50" s="29" t="s">
        <v>14</v>
      </c>
      <c r="F50" s="29" t="s">
        <v>1820</v>
      </c>
      <c r="G50" s="29" t="s">
        <v>47</v>
      </c>
      <c r="H50" s="29" t="s">
        <v>47</v>
      </c>
      <c r="I50" s="29" t="s">
        <v>2127</v>
      </c>
      <c r="J50" s="29" t="s">
        <v>2141</v>
      </c>
      <c r="K50" s="29" t="s">
        <v>2164</v>
      </c>
      <c r="L50" s="29" t="s">
        <v>2129</v>
      </c>
      <c r="M50" s="29" t="s">
        <v>2130</v>
      </c>
      <c r="N50" s="29" t="s">
        <v>2129</v>
      </c>
      <c r="O50" s="29" t="s">
        <v>2165</v>
      </c>
      <c r="P50" s="29" t="s">
        <v>2145</v>
      </c>
      <c r="Q50" s="29" t="s">
        <v>2145</v>
      </c>
      <c r="R50" s="45">
        <v>46031.009722222225</v>
      </c>
      <c r="S50" s="45">
        <v>46076.380555555559</v>
      </c>
      <c r="T50" s="45">
        <v>46087.717361111114</v>
      </c>
      <c r="U50" s="45"/>
      <c r="V50" s="29" t="s">
        <v>2129</v>
      </c>
      <c r="W50" s="29" t="s">
        <v>2129</v>
      </c>
      <c r="X50" s="29" t="s">
        <v>2129</v>
      </c>
      <c r="Y50" s="29">
        <v>0</v>
      </c>
      <c r="Z50" s="29" t="s">
        <v>2129</v>
      </c>
      <c r="AA50" s="29" t="s">
        <v>2129</v>
      </c>
      <c r="AB50" s="29" t="s">
        <v>2484</v>
      </c>
      <c r="AC50" s="29" t="s">
        <v>2129</v>
      </c>
      <c r="AD50" s="29" t="s">
        <v>2145</v>
      </c>
      <c r="AE50" s="29" t="s">
        <v>2129</v>
      </c>
      <c r="AF50" s="29" t="s">
        <v>2129</v>
      </c>
      <c r="AG50" s="29" t="s">
        <v>2129</v>
      </c>
      <c r="AH50" s="29" t="s">
        <v>2129</v>
      </c>
      <c r="AI50" s="29" t="s">
        <v>2129</v>
      </c>
      <c r="AJ50" s="29" t="s">
        <v>2129</v>
      </c>
      <c r="AK50" s="29" t="s">
        <v>2129</v>
      </c>
      <c r="AL50" s="29" t="s">
        <v>2129</v>
      </c>
      <c r="AM50" s="29" t="s">
        <v>2129</v>
      </c>
      <c r="AN50" s="29" t="s">
        <v>2129</v>
      </c>
      <c r="AO50" s="29" t="s">
        <v>2129</v>
      </c>
      <c r="AP50" s="29" t="s">
        <v>2129</v>
      </c>
      <c r="AQ50" s="29" t="s">
        <v>2129</v>
      </c>
      <c r="AR50" s="29" t="s">
        <v>2129</v>
      </c>
      <c r="AS50" s="29" t="s">
        <v>2129</v>
      </c>
      <c r="AT50" s="29" t="s">
        <v>2129</v>
      </c>
      <c r="AU50" s="29" t="s">
        <v>2129</v>
      </c>
      <c r="AV50" s="29" t="s">
        <v>2129</v>
      </c>
      <c r="AW50" s="29" t="s">
        <v>2129</v>
      </c>
      <c r="AX50" s="29"/>
      <c r="AY50" s="29"/>
      <c r="AZ50" s="29" t="s">
        <v>2129</v>
      </c>
      <c r="BA50" s="29" t="s">
        <v>2129</v>
      </c>
      <c r="BB50" s="29"/>
      <c r="BC50" s="29"/>
      <c r="BD50" s="29" t="s">
        <v>2129</v>
      </c>
      <c r="BE50" s="29" t="s">
        <v>2129</v>
      </c>
      <c r="BF50" s="29" t="s">
        <v>2129</v>
      </c>
      <c r="BG50" s="29" t="s">
        <v>2129</v>
      </c>
      <c r="BH50" s="29" t="s">
        <v>2129</v>
      </c>
      <c r="BI50" s="29" t="s">
        <v>2129</v>
      </c>
      <c r="BJ50" s="29" t="s">
        <v>2129</v>
      </c>
      <c r="BK50" s="29" t="s">
        <v>2535</v>
      </c>
      <c r="BL50" s="29" t="s">
        <v>2129</v>
      </c>
      <c r="BM50" s="29" t="s">
        <v>2129</v>
      </c>
      <c r="BN50" s="29" t="s">
        <v>2129</v>
      </c>
      <c r="BO50" s="29" t="s">
        <v>2129</v>
      </c>
      <c r="BP50" s="29" t="s">
        <v>2129</v>
      </c>
      <c r="BQ50" s="29" t="s">
        <v>2129</v>
      </c>
      <c r="BR50" s="29" t="s">
        <v>2129</v>
      </c>
      <c r="BS50" s="29" t="s">
        <v>2129</v>
      </c>
      <c r="BT50" s="29" t="s">
        <v>2129</v>
      </c>
      <c r="BU50" s="29" t="s">
        <v>2129</v>
      </c>
      <c r="BV50" s="29" t="s">
        <v>2129</v>
      </c>
      <c r="BW50" s="29" t="s">
        <v>2129</v>
      </c>
      <c r="BX50" s="29" t="s">
        <v>2485</v>
      </c>
      <c r="BY50" s="29" t="s">
        <v>2129</v>
      </c>
      <c r="BZ50" s="29" t="s">
        <v>2129</v>
      </c>
      <c r="CA50" s="29" t="s">
        <v>2129</v>
      </c>
      <c r="CB50" s="29" t="s">
        <v>2129</v>
      </c>
      <c r="CC50" s="29" t="s">
        <v>2129</v>
      </c>
      <c r="CD50" s="29" t="s">
        <v>2129</v>
      </c>
      <c r="CE50" s="29" t="s">
        <v>2387</v>
      </c>
      <c r="CF50" s="29" t="s">
        <v>2619</v>
      </c>
      <c r="CG50" s="29" t="s">
        <v>2709</v>
      </c>
      <c r="CH50" s="29" t="s">
        <v>2910</v>
      </c>
      <c r="CI50" s="29" t="s">
        <v>3302</v>
      </c>
      <c r="CJ50" s="29" t="s">
        <v>2129</v>
      </c>
      <c r="CK50" s="29" t="s">
        <v>2129</v>
      </c>
      <c r="CL50" s="29" t="s">
        <v>2129</v>
      </c>
      <c r="CM50" s="29" t="s">
        <v>2129</v>
      </c>
      <c r="CN50" s="29" t="s">
        <v>2129</v>
      </c>
      <c r="CO50" s="29" t="s">
        <v>2129</v>
      </c>
      <c r="CP50" s="29" t="s">
        <v>2129</v>
      </c>
      <c r="CQ50" s="29" t="s">
        <v>2129</v>
      </c>
      <c r="CR50" s="29" t="s">
        <v>2129</v>
      </c>
      <c r="CS50" s="29"/>
      <c r="CT50" s="29" t="s">
        <v>2129</v>
      </c>
      <c r="CU50" s="29" t="s">
        <v>2129</v>
      </c>
      <c r="CV50" s="29" t="s">
        <v>2129</v>
      </c>
      <c r="CW50" s="29" t="s">
        <v>2129</v>
      </c>
      <c r="CX50" s="29" t="s">
        <v>2129</v>
      </c>
      <c r="CY50" s="29" t="s">
        <v>2129</v>
      </c>
      <c r="CZ50" s="29" t="s">
        <v>2129</v>
      </c>
      <c r="DA50" s="29" t="s">
        <v>2129</v>
      </c>
      <c r="DB50" s="29" t="s">
        <v>2129</v>
      </c>
      <c r="DC50" s="29" t="s">
        <v>2129</v>
      </c>
      <c r="DD50" s="29" t="s">
        <v>2129</v>
      </c>
      <c r="DE50" s="29" t="s">
        <v>2129</v>
      </c>
      <c r="DF50" s="29" t="s">
        <v>2129</v>
      </c>
      <c r="DG50" s="29" t="s">
        <v>2129</v>
      </c>
      <c r="DH50" s="29" t="s">
        <v>2129</v>
      </c>
      <c r="DI50" s="29" t="s">
        <v>2129</v>
      </c>
      <c r="DJ50" s="29" t="s">
        <v>2129</v>
      </c>
      <c r="DK50" s="29" t="s">
        <v>2129</v>
      </c>
      <c r="DL50" s="29" t="s">
        <v>2129</v>
      </c>
      <c r="DM50" s="29" t="s">
        <v>2129</v>
      </c>
      <c r="DN50" s="29" t="s">
        <v>2129</v>
      </c>
      <c r="DO50" s="29" t="s">
        <v>2129</v>
      </c>
      <c r="DP50" s="29" t="s">
        <v>2129</v>
      </c>
      <c r="DQ50" s="42" t="s">
        <v>2129</v>
      </c>
    </row>
    <row r="51" spans="1:121" x14ac:dyDescent="0.25">
      <c r="A51" s="36" t="s">
        <v>1814</v>
      </c>
      <c r="B51" s="30" t="s">
        <v>1813</v>
      </c>
      <c r="C51" s="30">
        <v>22140</v>
      </c>
      <c r="D51" s="30"/>
      <c r="E51" s="30" t="s">
        <v>14</v>
      </c>
      <c r="F51" s="30" t="s">
        <v>1820</v>
      </c>
      <c r="G51" s="30" t="s">
        <v>47</v>
      </c>
      <c r="H51" s="30" t="s">
        <v>47</v>
      </c>
      <c r="I51" s="30" t="s">
        <v>2127</v>
      </c>
      <c r="J51" s="30" t="s">
        <v>2141</v>
      </c>
      <c r="K51" s="30" t="s">
        <v>2164</v>
      </c>
      <c r="L51" s="30" t="s">
        <v>2129</v>
      </c>
      <c r="M51" s="30" t="s">
        <v>2130</v>
      </c>
      <c r="N51" s="30" t="s">
        <v>2129</v>
      </c>
      <c r="O51" s="30" t="s">
        <v>2165</v>
      </c>
      <c r="P51" s="30" t="s">
        <v>2145</v>
      </c>
      <c r="Q51" s="30" t="s">
        <v>2145</v>
      </c>
      <c r="R51" s="46">
        <v>45904.470138888886</v>
      </c>
      <c r="S51" s="46">
        <v>46076.380555555559</v>
      </c>
      <c r="T51" s="46">
        <v>46087.717361111114</v>
      </c>
      <c r="U51" s="46"/>
      <c r="V51" s="30" t="s">
        <v>2129</v>
      </c>
      <c r="W51" s="30" t="s">
        <v>2129</v>
      </c>
      <c r="X51" s="30" t="s">
        <v>2129</v>
      </c>
      <c r="Y51" s="30">
        <v>0</v>
      </c>
      <c r="Z51" s="30" t="s">
        <v>2129</v>
      </c>
      <c r="AA51" s="30" t="s">
        <v>2129</v>
      </c>
      <c r="AB51" s="30" t="s">
        <v>2129</v>
      </c>
      <c r="AC51" s="30" t="s">
        <v>2129</v>
      </c>
      <c r="AD51" s="30" t="s">
        <v>2145</v>
      </c>
      <c r="AE51" s="30" t="s">
        <v>2129</v>
      </c>
      <c r="AF51" s="30" t="s">
        <v>2129</v>
      </c>
      <c r="AG51" s="30" t="s">
        <v>2129</v>
      </c>
      <c r="AH51" s="30" t="s">
        <v>2129</v>
      </c>
      <c r="AI51" s="30" t="s">
        <v>2129</v>
      </c>
      <c r="AJ51" s="30" t="s">
        <v>2129</v>
      </c>
      <c r="AK51" s="30" t="s">
        <v>2129</v>
      </c>
      <c r="AL51" s="30" t="s">
        <v>2129</v>
      </c>
      <c r="AM51" s="30" t="s">
        <v>2129</v>
      </c>
      <c r="AN51" s="30" t="s">
        <v>2129</v>
      </c>
      <c r="AO51" s="30" t="s">
        <v>2129</v>
      </c>
      <c r="AP51" s="30" t="s">
        <v>2129</v>
      </c>
      <c r="AQ51" s="30" t="s">
        <v>2129</v>
      </c>
      <c r="AR51" s="30" t="s">
        <v>2129</v>
      </c>
      <c r="AS51" s="30" t="s">
        <v>2129</v>
      </c>
      <c r="AT51" s="30" t="s">
        <v>2129</v>
      </c>
      <c r="AU51" s="30" t="s">
        <v>2129</v>
      </c>
      <c r="AV51" s="30" t="s">
        <v>2129</v>
      </c>
      <c r="AW51" s="30" t="s">
        <v>2129</v>
      </c>
      <c r="AX51" s="30"/>
      <c r="AY51" s="30"/>
      <c r="AZ51" s="30" t="s">
        <v>2129</v>
      </c>
      <c r="BA51" s="30" t="s">
        <v>2129</v>
      </c>
      <c r="BB51" s="30"/>
      <c r="BC51" s="30"/>
      <c r="BD51" s="30" t="s">
        <v>2129</v>
      </c>
      <c r="BE51" s="30" t="s">
        <v>2129</v>
      </c>
      <c r="BF51" s="30" t="s">
        <v>2129</v>
      </c>
      <c r="BG51" s="30" t="s">
        <v>2129</v>
      </c>
      <c r="BH51" s="30" t="s">
        <v>2129</v>
      </c>
      <c r="BI51" s="30" t="s">
        <v>2129</v>
      </c>
      <c r="BJ51" s="30" t="s">
        <v>2129</v>
      </c>
      <c r="BK51" s="30" t="s">
        <v>2129</v>
      </c>
      <c r="BL51" s="30" t="s">
        <v>2129</v>
      </c>
      <c r="BM51" s="30" t="s">
        <v>2129</v>
      </c>
      <c r="BN51" s="30" t="s">
        <v>2129</v>
      </c>
      <c r="BO51" s="30" t="s">
        <v>2129</v>
      </c>
      <c r="BP51" s="30" t="s">
        <v>2129</v>
      </c>
      <c r="BQ51" s="30" t="s">
        <v>2129</v>
      </c>
      <c r="BR51" s="30" t="s">
        <v>2129</v>
      </c>
      <c r="BS51" s="30" t="s">
        <v>2129</v>
      </c>
      <c r="BT51" s="30" t="s">
        <v>2129</v>
      </c>
      <c r="BU51" s="30" t="s">
        <v>2129</v>
      </c>
      <c r="BV51" s="30" t="s">
        <v>2129</v>
      </c>
      <c r="BW51" s="30" t="s">
        <v>2129</v>
      </c>
      <c r="BX51" s="30" t="s">
        <v>2129</v>
      </c>
      <c r="BY51" s="30" t="s">
        <v>2129</v>
      </c>
      <c r="BZ51" s="30" t="s">
        <v>2129</v>
      </c>
      <c r="CA51" s="30" t="s">
        <v>2129</v>
      </c>
      <c r="CB51" s="30" t="s">
        <v>2129</v>
      </c>
      <c r="CC51" s="30" t="s">
        <v>2129</v>
      </c>
      <c r="CD51" s="30" t="s">
        <v>2129</v>
      </c>
      <c r="CE51" s="30" t="s">
        <v>2618</v>
      </c>
      <c r="CF51" s="30" t="s">
        <v>2169</v>
      </c>
      <c r="CG51" s="30" t="s">
        <v>2170</v>
      </c>
      <c r="CH51" s="30" t="s">
        <v>2171</v>
      </c>
      <c r="CI51" s="30" t="s">
        <v>2166</v>
      </c>
      <c r="CJ51" s="30" t="s">
        <v>2167</v>
      </c>
      <c r="CK51" s="30" t="s">
        <v>2168</v>
      </c>
      <c r="CL51" s="30" t="s">
        <v>2310</v>
      </c>
      <c r="CM51" s="30" t="s">
        <v>2384</v>
      </c>
      <c r="CN51" s="30" t="s">
        <v>2536</v>
      </c>
      <c r="CO51" s="30" t="s">
        <v>2619</v>
      </c>
      <c r="CP51" s="30" t="s">
        <v>2709</v>
      </c>
      <c r="CQ51" s="30" t="s">
        <v>2910</v>
      </c>
      <c r="CR51" s="30" t="s">
        <v>3302</v>
      </c>
      <c r="CS51" s="30"/>
      <c r="CT51" s="30" t="s">
        <v>2129</v>
      </c>
      <c r="CU51" s="30" t="s">
        <v>2129</v>
      </c>
      <c r="CV51" s="30" t="s">
        <v>2172</v>
      </c>
      <c r="CW51" s="30" t="s">
        <v>2129</v>
      </c>
      <c r="CX51" s="30" t="s">
        <v>2129</v>
      </c>
      <c r="CY51" s="30" t="s">
        <v>2129</v>
      </c>
      <c r="CZ51" s="30" t="s">
        <v>2129</v>
      </c>
      <c r="DA51" s="30" t="s">
        <v>2129</v>
      </c>
      <c r="DB51" s="30" t="s">
        <v>2129</v>
      </c>
      <c r="DC51" s="30" t="s">
        <v>2129</v>
      </c>
      <c r="DD51" s="30" t="s">
        <v>2129</v>
      </c>
      <c r="DE51" s="30" t="s">
        <v>2129</v>
      </c>
      <c r="DF51" s="30" t="s">
        <v>2129</v>
      </c>
      <c r="DG51" s="30" t="s">
        <v>2129</v>
      </c>
      <c r="DH51" s="30" t="s">
        <v>2129</v>
      </c>
      <c r="DI51" s="30" t="s">
        <v>2129</v>
      </c>
      <c r="DJ51" s="30" t="s">
        <v>2129</v>
      </c>
      <c r="DK51" s="30" t="s">
        <v>2129</v>
      </c>
      <c r="DL51" s="30" t="s">
        <v>2129</v>
      </c>
      <c r="DM51" s="30" t="s">
        <v>2129</v>
      </c>
      <c r="DN51" s="30" t="s">
        <v>2129</v>
      </c>
      <c r="DO51" s="30" t="s">
        <v>2129</v>
      </c>
      <c r="DP51" s="30" t="s">
        <v>2129</v>
      </c>
      <c r="DQ51" s="43" t="s">
        <v>2129</v>
      </c>
    </row>
    <row r="52" spans="1:121" x14ac:dyDescent="0.25">
      <c r="A52" s="39" t="s">
        <v>2159</v>
      </c>
      <c r="B52" s="29" t="s">
        <v>3303</v>
      </c>
      <c r="C52" s="29">
        <v>23095</v>
      </c>
      <c r="D52" s="29"/>
      <c r="E52" s="29" t="s">
        <v>2136</v>
      </c>
      <c r="F52" s="29" t="s">
        <v>10</v>
      </c>
      <c r="G52" s="29" t="s">
        <v>2173</v>
      </c>
      <c r="H52" s="29" t="s">
        <v>50</v>
      </c>
      <c r="I52" s="29" t="s">
        <v>2127</v>
      </c>
      <c r="J52" s="29" t="s">
        <v>2156</v>
      </c>
      <c r="K52" s="29" t="s">
        <v>2129</v>
      </c>
      <c r="L52" s="29" t="s">
        <v>2174</v>
      </c>
      <c r="M52" s="29" t="s">
        <v>2130</v>
      </c>
      <c r="N52" s="29" t="s">
        <v>2129</v>
      </c>
      <c r="O52" s="29" t="s">
        <v>2156</v>
      </c>
      <c r="P52" s="29" t="s">
        <v>2156</v>
      </c>
      <c r="Q52" s="29" t="s">
        <v>2156</v>
      </c>
      <c r="R52" s="45">
        <v>46084.540277777778</v>
      </c>
      <c r="S52" s="45">
        <v>46084.540277777778</v>
      </c>
      <c r="T52" s="45">
        <v>46087.717361111114</v>
      </c>
      <c r="U52" s="45"/>
      <c r="V52" s="29" t="s">
        <v>2129</v>
      </c>
      <c r="W52" s="29" t="s">
        <v>2129</v>
      </c>
      <c r="X52" s="29" t="s">
        <v>2129</v>
      </c>
      <c r="Y52" s="29">
        <v>0</v>
      </c>
      <c r="Z52" s="29" t="s">
        <v>2129</v>
      </c>
      <c r="AA52" s="29" t="s">
        <v>2129</v>
      </c>
      <c r="AB52" s="29" t="s">
        <v>2129</v>
      </c>
      <c r="AC52" s="29" t="s">
        <v>2129</v>
      </c>
      <c r="AD52" s="29" t="s">
        <v>2156</v>
      </c>
      <c r="AE52" s="29" t="s">
        <v>2129</v>
      </c>
      <c r="AF52" s="29" t="s">
        <v>2129</v>
      </c>
      <c r="AG52" s="29" t="s">
        <v>2129</v>
      </c>
      <c r="AH52" s="29" t="s">
        <v>2129</v>
      </c>
      <c r="AI52" s="29" t="s">
        <v>2129</v>
      </c>
      <c r="AJ52" s="29" t="s">
        <v>2129</v>
      </c>
      <c r="AK52" s="29" t="s">
        <v>2129</v>
      </c>
      <c r="AL52" s="29" t="s">
        <v>2129</v>
      </c>
      <c r="AM52" s="29" t="s">
        <v>2129</v>
      </c>
      <c r="AN52" s="29" t="s">
        <v>2129</v>
      </c>
      <c r="AO52" s="29" t="s">
        <v>2129</v>
      </c>
      <c r="AP52" s="29" t="s">
        <v>2129</v>
      </c>
      <c r="AQ52" s="29" t="s">
        <v>2129</v>
      </c>
      <c r="AR52" s="29" t="s">
        <v>2129</v>
      </c>
      <c r="AS52" s="29" t="s">
        <v>2129</v>
      </c>
      <c r="AT52" s="29" t="s">
        <v>2129</v>
      </c>
      <c r="AU52" s="29" t="s">
        <v>2129</v>
      </c>
      <c r="AV52" s="29" t="s">
        <v>2129</v>
      </c>
      <c r="AW52" s="29" t="s">
        <v>2129</v>
      </c>
      <c r="AX52" s="29"/>
      <c r="AY52" s="29"/>
      <c r="AZ52" s="29" t="s">
        <v>2129</v>
      </c>
      <c r="BA52" s="29" t="s">
        <v>2129</v>
      </c>
      <c r="BB52" s="29"/>
      <c r="BC52" s="29"/>
      <c r="BD52" s="29" t="s">
        <v>2129</v>
      </c>
      <c r="BE52" s="29" t="s">
        <v>2129</v>
      </c>
      <c r="BF52" s="29" t="s">
        <v>2129</v>
      </c>
      <c r="BG52" s="29" t="s">
        <v>2129</v>
      </c>
      <c r="BH52" s="29" t="s">
        <v>2129</v>
      </c>
      <c r="BI52" s="29" t="s">
        <v>2129</v>
      </c>
      <c r="BJ52" s="29" t="s">
        <v>2129</v>
      </c>
      <c r="BK52" s="29" t="s">
        <v>2129</v>
      </c>
      <c r="BL52" s="29" t="s">
        <v>2129</v>
      </c>
      <c r="BM52" s="29" t="s">
        <v>2129</v>
      </c>
      <c r="BN52" s="29" t="s">
        <v>2129</v>
      </c>
      <c r="BO52" s="29" t="s">
        <v>2129</v>
      </c>
      <c r="BP52" s="29" t="s">
        <v>2129</v>
      </c>
      <c r="BQ52" s="29" t="s">
        <v>2129</v>
      </c>
      <c r="BR52" s="29" t="s">
        <v>2129</v>
      </c>
      <c r="BS52" s="29" t="s">
        <v>2129</v>
      </c>
      <c r="BT52" s="29" t="s">
        <v>2129</v>
      </c>
      <c r="BU52" s="29" t="s">
        <v>2129</v>
      </c>
      <c r="BV52" s="29" t="s">
        <v>2129</v>
      </c>
      <c r="BW52" s="29" t="s">
        <v>2129</v>
      </c>
      <c r="BX52" s="29" t="s">
        <v>2129</v>
      </c>
      <c r="BY52" s="29" t="s">
        <v>2129</v>
      </c>
      <c r="BZ52" s="29" t="s">
        <v>2129</v>
      </c>
      <c r="CA52" s="29" t="s">
        <v>2129</v>
      </c>
      <c r="CB52" s="29" t="s">
        <v>2129</v>
      </c>
      <c r="CC52" s="29" t="s">
        <v>2129</v>
      </c>
      <c r="CD52" s="29" t="s">
        <v>2129</v>
      </c>
      <c r="CE52" s="29" t="s">
        <v>3304</v>
      </c>
      <c r="CF52" s="29" t="s">
        <v>3305</v>
      </c>
      <c r="CG52" s="29" t="s">
        <v>2129</v>
      </c>
      <c r="CH52" s="29" t="s">
        <v>2129</v>
      </c>
      <c r="CI52" s="29" t="s">
        <v>2129</v>
      </c>
      <c r="CJ52" s="29" t="s">
        <v>2129</v>
      </c>
      <c r="CK52" s="29" t="s">
        <v>2129</v>
      </c>
      <c r="CL52" s="29" t="s">
        <v>2129</v>
      </c>
      <c r="CM52" s="29" t="s">
        <v>2129</v>
      </c>
      <c r="CN52" s="29" t="s">
        <v>2129</v>
      </c>
      <c r="CO52" s="29" t="s">
        <v>2129</v>
      </c>
      <c r="CP52" s="29" t="s">
        <v>2129</v>
      </c>
      <c r="CQ52" s="29" t="s">
        <v>2129</v>
      </c>
      <c r="CR52" s="29" t="s">
        <v>2129</v>
      </c>
      <c r="CS52" s="29"/>
      <c r="CT52" s="29" t="s">
        <v>2129</v>
      </c>
      <c r="CU52" s="29" t="s">
        <v>2129</v>
      </c>
      <c r="CV52" s="29" t="s">
        <v>2129</v>
      </c>
      <c r="CW52" s="29" t="s">
        <v>2129</v>
      </c>
      <c r="CX52" s="29" t="s">
        <v>2129</v>
      </c>
      <c r="CY52" s="29" t="s">
        <v>2129</v>
      </c>
      <c r="CZ52" s="29" t="s">
        <v>2129</v>
      </c>
      <c r="DA52" s="29" t="s">
        <v>2129</v>
      </c>
      <c r="DB52" s="29" t="s">
        <v>2129</v>
      </c>
      <c r="DC52" s="29" t="s">
        <v>2129</v>
      </c>
      <c r="DD52" s="29" t="s">
        <v>2129</v>
      </c>
      <c r="DE52" s="29" t="s">
        <v>2129</v>
      </c>
      <c r="DF52" s="29" t="s">
        <v>2129</v>
      </c>
      <c r="DG52" s="29" t="s">
        <v>2129</v>
      </c>
      <c r="DH52" s="29" t="s">
        <v>2129</v>
      </c>
      <c r="DI52" s="29" t="s">
        <v>2129</v>
      </c>
      <c r="DJ52" s="29" t="s">
        <v>2129</v>
      </c>
      <c r="DK52" s="29" t="s">
        <v>2129</v>
      </c>
      <c r="DL52" s="29" t="s">
        <v>2129</v>
      </c>
      <c r="DM52" s="29" t="s">
        <v>2129</v>
      </c>
      <c r="DN52" s="29" t="s">
        <v>2129</v>
      </c>
      <c r="DO52" s="29" t="s">
        <v>2129</v>
      </c>
      <c r="DP52" s="29" t="s">
        <v>2129</v>
      </c>
      <c r="DQ52" s="42" t="s">
        <v>2129</v>
      </c>
    </row>
    <row r="53" spans="1:121" x14ac:dyDescent="0.25">
      <c r="A53" s="36" t="s">
        <v>3306</v>
      </c>
      <c r="B53" s="30" t="s">
        <v>3307</v>
      </c>
      <c r="C53" s="30">
        <v>23094</v>
      </c>
      <c r="D53" s="30"/>
      <c r="E53" s="30" t="s">
        <v>2136</v>
      </c>
      <c r="F53" s="30" t="s">
        <v>10</v>
      </c>
      <c r="G53" s="30" t="s">
        <v>2173</v>
      </c>
      <c r="H53" s="30" t="s">
        <v>50</v>
      </c>
      <c r="I53" s="30" t="s">
        <v>2127</v>
      </c>
      <c r="J53" s="30" t="s">
        <v>2156</v>
      </c>
      <c r="K53" s="30" t="s">
        <v>2129</v>
      </c>
      <c r="L53" s="30" t="s">
        <v>2174</v>
      </c>
      <c r="M53" s="30" t="s">
        <v>2130</v>
      </c>
      <c r="N53" s="30" t="s">
        <v>2129</v>
      </c>
      <c r="O53" s="30" t="s">
        <v>2156</v>
      </c>
      <c r="P53" s="30" t="s">
        <v>2156</v>
      </c>
      <c r="Q53" s="30" t="s">
        <v>2156</v>
      </c>
      <c r="R53" s="46">
        <v>46084.540277777778</v>
      </c>
      <c r="S53" s="46">
        <v>46084.540277777778</v>
      </c>
      <c r="T53" s="46">
        <v>46087.717361111114</v>
      </c>
      <c r="U53" s="46"/>
      <c r="V53" s="30" t="s">
        <v>2129</v>
      </c>
      <c r="W53" s="30" t="s">
        <v>2129</v>
      </c>
      <c r="X53" s="30" t="s">
        <v>2129</v>
      </c>
      <c r="Y53" s="30">
        <v>0</v>
      </c>
      <c r="Z53" s="30" t="s">
        <v>2129</v>
      </c>
      <c r="AA53" s="30" t="s">
        <v>2129</v>
      </c>
      <c r="AB53" s="30" t="s">
        <v>2129</v>
      </c>
      <c r="AC53" s="30" t="s">
        <v>2129</v>
      </c>
      <c r="AD53" s="30" t="s">
        <v>2156</v>
      </c>
      <c r="AE53" s="30" t="s">
        <v>2129</v>
      </c>
      <c r="AF53" s="30" t="s">
        <v>2129</v>
      </c>
      <c r="AG53" s="30" t="s">
        <v>2129</v>
      </c>
      <c r="AH53" s="30" t="s">
        <v>2129</v>
      </c>
      <c r="AI53" s="30" t="s">
        <v>2129</v>
      </c>
      <c r="AJ53" s="30" t="s">
        <v>2129</v>
      </c>
      <c r="AK53" s="30" t="s">
        <v>2129</v>
      </c>
      <c r="AL53" s="30" t="s">
        <v>2129</v>
      </c>
      <c r="AM53" s="30" t="s">
        <v>2129</v>
      </c>
      <c r="AN53" s="30" t="s">
        <v>2129</v>
      </c>
      <c r="AO53" s="30" t="s">
        <v>2129</v>
      </c>
      <c r="AP53" s="30" t="s">
        <v>2129</v>
      </c>
      <c r="AQ53" s="30" t="s">
        <v>2129</v>
      </c>
      <c r="AR53" s="30" t="s">
        <v>2129</v>
      </c>
      <c r="AS53" s="30" t="s">
        <v>2129</v>
      </c>
      <c r="AT53" s="30" t="s">
        <v>2129</v>
      </c>
      <c r="AU53" s="30" t="s">
        <v>2129</v>
      </c>
      <c r="AV53" s="30" t="s">
        <v>2129</v>
      </c>
      <c r="AW53" s="30" t="s">
        <v>2129</v>
      </c>
      <c r="AX53" s="30"/>
      <c r="AY53" s="30"/>
      <c r="AZ53" s="30" t="s">
        <v>2129</v>
      </c>
      <c r="BA53" s="30" t="s">
        <v>2129</v>
      </c>
      <c r="BB53" s="30"/>
      <c r="BC53" s="30"/>
      <c r="BD53" s="30" t="s">
        <v>2129</v>
      </c>
      <c r="BE53" s="30" t="s">
        <v>2129</v>
      </c>
      <c r="BF53" s="30" t="s">
        <v>2129</v>
      </c>
      <c r="BG53" s="30" t="s">
        <v>2129</v>
      </c>
      <c r="BH53" s="30" t="s">
        <v>2129</v>
      </c>
      <c r="BI53" s="30" t="s">
        <v>2129</v>
      </c>
      <c r="BJ53" s="30" t="s">
        <v>2129</v>
      </c>
      <c r="BK53" s="30" t="s">
        <v>2129</v>
      </c>
      <c r="BL53" s="30" t="s">
        <v>2129</v>
      </c>
      <c r="BM53" s="30" t="s">
        <v>2129</v>
      </c>
      <c r="BN53" s="30" t="s">
        <v>2129</v>
      </c>
      <c r="BO53" s="30" t="s">
        <v>2129</v>
      </c>
      <c r="BP53" s="30" t="s">
        <v>2129</v>
      </c>
      <c r="BQ53" s="30" t="s">
        <v>2129</v>
      </c>
      <c r="BR53" s="30" t="s">
        <v>2129</v>
      </c>
      <c r="BS53" s="30" t="s">
        <v>2129</v>
      </c>
      <c r="BT53" s="30" t="s">
        <v>2129</v>
      </c>
      <c r="BU53" s="30" t="s">
        <v>2129</v>
      </c>
      <c r="BV53" s="30" t="s">
        <v>2129</v>
      </c>
      <c r="BW53" s="30" t="s">
        <v>2129</v>
      </c>
      <c r="BX53" s="30" t="s">
        <v>2129</v>
      </c>
      <c r="BY53" s="30" t="s">
        <v>2129</v>
      </c>
      <c r="BZ53" s="30" t="s">
        <v>2129</v>
      </c>
      <c r="CA53" s="30" t="s">
        <v>2129</v>
      </c>
      <c r="CB53" s="30" t="s">
        <v>2129</v>
      </c>
      <c r="CC53" s="30" t="s">
        <v>2129</v>
      </c>
      <c r="CD53" s="30" t="s">
        <v>2129</v>
      </c>
      <c r="CE53" s="30" t="s">
        <v>3308</v>
      </c>
      <c r="CF53" s="30" t="s">
        <v>3305</v>
      </c>
      <c r="CG53" s="30" t="s">
        <v>2129</v>
      </c>
      <c r="CH53" s="30" t="s">
        <v>2129</v>
      </c>
      <c r="CI53" s="30" t="s">
        <v>2129</v>
      </c>
      <c r="CJ53" s="30" t="s">
        <v>2129</v>
      </c>
      <c r="CK53" s="30" t="s">
        <v>2129</v>
      </c>
      <c r="CL53" s="30" t="s">
        <v>2129</v>
      </c>
      <c r="CM53" s="30" t="s">
        <v>2129</v>
      </c>
      <c r="CN53" s="30" t="s">
        <v>2129</v>
      </c>
      <c r="CO53" s="30" t="s">
        <v>2129</v>
      </c>
      <c r="CP53" s="30" t="s">
        <v>2129</v>
      </c>
      <c r="CQ53" s="30" t="s">
        <v>2129</v>
      </c>
      <c r="CR53" s="30" t="s">
        <v>2129</v>
      </c>
      <c r="CS53" s="30"/>
      <c r="CT53" s="30" t="s">
        <v>2129</v>
      </c>
      <c r="CU53" s="30" t="s">
        <v>2129</v>
      </c>
      <c r="CV53" s="30" t="s">
        <v>2129</v>
      </c>
      <c r="CW53" s="30" t="s">
        <v>2129</v>
      </c>
      <c r="CX53" s="30" t="s">
        <v>2129</v>
      </c>
      <c r="CY53" s="30" t="s">
        <v>2129</v>
      </c>
      <c r="CZ53" s="30" t="s">
        <v>2129</v>
      </c>
      <c r="DA53" s="30" t="s">
        <v>2129</v>
      </c>
      <c r="DB53" s="30" t="s">
        <v>2129</v>
      </c>
      <c r="DC53" s="30" t="s">
        <v>2129</v>
      </c>
      <c r="DD53" s="30" t="s">
        <v>2129</v>
      </c>
      <c r="DE53" s="30" t="s">
        <v>2129</v>
      </c>
      <c r="DF53" s="30" t="s">
        <v>2129</v>
      </c>
      <c r="DG53" s="30" t="s">
        <v>2129</v>
      </c>
      <c r="DH53" s="30" t="s">
        <v>2129</v>
      </c>
      <c r="DI53" s="30" t="s">
        <v>2129</v>
      </c>
      <c r="DJ53" s="30" t="s">
        <v>2129</v>
      </c>
      <c r="DK53" s="30" t="s">
        <v>2129</v>
      </c>
      <c r="DL53" s="30" t="s">
        <v>2129</v>
      </c>
      <c r="DM53" s="30" t="s">
        <v>2129</v>
      </c>
      <c r="DN53" s="30" t="s">
        <v>2129</v>
      </c>
      <c r="DO53" s="30" t="s">
        <v>2129</v>
      </c>
      <c r="DP53" s="30" t="s">
        <v>2129</v>
      </c>
      <c r="DQ53" s="43" t="s">
        <v>2129</v>
      </c>
    </row>
    <row r="54" spans="1:121" x14ac:dyDescent="0.25">
      <c r="A54" s="39" t="s">
        <v>3050</v>
      </c>
      <c r="B54" s="29" t="s">
        <v>3309</v>
      </c>
      <c r="C54" s="29">
        <v>23075</v>
      </c>
      <c r="D54" s="29"/>
      <c r="E54" s="29" t="s">
        <v>14</v>
      </c>
      <c r="F54" s="29" t="s">
        <v>10</v>
      </c>
      <c r="G54" s="29" t="s">
        <v>2173</v>
      </c>
      <c r="H54" s="29" t="s">
        <v>50</v>
      </c>
      <c r="I54" s="29" t="s">
        <v>2127</v>
      </c>
      <c r="J54" s="29" t="s">
        <v>2156</v>
      </c>
      <c r="K54" s="29" t="s">
        <v>2129</v>
      </c>
      <c r="L54" s="29" t="s">
        <v>2174</v>
      </c>
      <c r="M54" s="29" t="s">
        <v>2130</v>
      </c>
      <c r="N54" s="29" t="s">
        <v>2129</v>
      </c>
      <c r="O54" s="29" t="s">
        <v>2156</v>
      </c>
      <c r="P54" s="29" t="s">
        <v>2145</v>
      </c>
      <c r="Q54" s="29" t="s">
        <v>2145</v>
      </c>
      <c r="R54" s="45">
        <v>46083.425000000003</v>
      </c>
      <c r="S54" s="45">
        <v>46083.425000000003</v>
      </c>
      <c r="T54" s="45">
        <v>46083.663888888892</v>
      </c>
      <c r="U54" s="45"/>
      <c r="V54" s="29" t="s">
        <v>2129</v>
      </c>
      <c r="W54" s="29" t="s">
        <v>2129</v>
      </c>
      <c r="X54" s="29" t="s">
        <v>2129</v>
      </c>
      <c r="Y54" s="29">
        <v>0</v>
      </c>
      <c r="Z54" s="29" t="s">
        <v>2129</v>
      </c>
      <c r="AA54" s="29" t="s">
        <v>2129</v>
      </c>
      <c r="AB54" s="29" t="s">
        <v>3310</v>
      </c>
      <c r="AC54" s="29" t="s">
        <v>2129</v>
      </c>
      <c r="AD54" s="29" t="s">
        <v>2145</v>
      </c>
      <c r="AE54" s="29" t="s">
        <v>2129</v>
      </c>
      <c r="AF54" s="29" t="s">
        <v>2129</v>
      </c>
      <c r="AG54" s="29" t="s">
        <v>2129</v>
      </c>
      <c r="AH54" s="29" t="s">
        <v>2129</v>
      </c>
      <c r="AI54" s="29" t="s">
        <v>2129</v>
      </c>
      <c r="AJ54" s="29" t="s">
        <v>2129</v>
      </c>
      <c r="AK54" s="29" t="s">
        <v>2129</v>
      </c>
      <c r="AL54" s="29" t="s">
        <v>2129</v>
      </c>
      <c r="AM54" s="29" t="s">
        <v>2129</v>
      </c>
      <c r="AN54" s="29" t="s">
        <v>2129</v>
      </c>
      <c r="AO54" s="29" t="s">
        <v>2129</v>
      </c>
      <c r="AP54" s="29" t="s">
        <v>2129</v>
      </c>
      <c r="AQ54" s="29" t="s">
        <v>2129</v>
      </c>
      <c r="AR54" s="29" t="s">
        <v>2129</v>
      </c>
      <c r="AS54" s="29" t="s">
        <v>2129</v>
      </c>
      <c r="AT54" s="29" t="s">
        <v>2129</v>
      </c>
      <c r="AU54" s="29" t="s">
        <v>2129</v>
      </c>
      <c r="AV54" s="29" t="s">
        <v>2129</v>
      </c>
      <c r="AW54" s="29" t="s">
        <v>2129</v>
      </c>
      <c r="AX54" s="29"/>
      <c r="AY54" s="29"/>
      <c r="AZ54" s="29" t="s">
        <v>2129</v>
      </c>
      <c r="BA54" s="29" t="s">
        <v>2129</v>
      </c>
      <c r="BB54" s="29"/>
      <c r="BC54" s="29"/>
      <c r="BD54" s="29" t="s">
        <v>2129</v>
      </c>
      <c r="BE54" s="29" t="s">
        <v>2129</v>
      </c>
      <c r="BF54" s="29" t="s">
        <v>2129</v>
      </c>
      <c r="BG54" s="29" t="s">
        <v>2129</v>
      </c>
      <c r="BH54" s="29" t="s">
        <v>2129</v>
      </c>
      <c r="BI54" s="29" t="s">
        <v>2129</v>
      </c>
      <c r="BJ54" s="29" t="s">
        <v>2129</v>
      </c>
      <c r="BK54" s="29" t="s">
        <v>2129</v>
      </c>
      <c r="BL54" s="29" t="s">
        <v>2129</v>
      </c>
      <c r="BM54" s="29" t="s">
        <v>2129</v>
      </c>
      <c r="BN54" s="29" t="s">
        <v>2129</v>
      </c>
      <c r="BO54" s="29" t="s">
        <v>2129</v>
      </c>
      <c r="BP54" s="29" t="s">
        <v>2129</v>
      </c>
      <c r="BQ54" s="29" t="s">
        <v>2129</v>
      </c>
      <c r="BR54" s="29" t="s">
        <v>2129</v>
      </c>
      <c r="BS54" s="29" t="s">
        <v>2129</v>
      </c>
      <c r="BT54" s="29" t="s">
        <v>2129</v>
      </c>
      <c r="BU54" s="29" t="s">
        <v>2129</v>
      </c>
      <c r="BV54" s="29" t="s">
        <v>2129</v>
      </c>
      <c r="BW54" s="29" t="s">
        <v>2129</v>
      </c>
      <c r="BX54" s="29" t="s">
        <v>3149</v>
      </c>
      <c r="BY54" s="29" t="s">
        <v>2129</v>
      </c>
      <c r="BZ54" s="29" t="s">
        <v>2129</v>
      </c>
      <c r="CA54" s="29" t="s">
        <v>2129</v>
      </c>
      <c r="CB54" s="29" t="s">
        <v>2129</v>
      </c>
      <c r="CC54" s="29" t="s">
        <v>2129</v>
      </c>
      <c r="CD54" s="29" t="s">
        <v>2129</v>
      </c>
      <c r="CE54" s="29" t="s">
        <v>3311</v>
      </c>
      <c r="CF54" s="29" t="s">
        <v>2129</v>
      </c>
      <c r="CG54" s="29" t="s">
        <v>2129</v>
      </c>
      <c r="CH54" s="29" t="s">
        <v>2129</v>
      </c>
      <c r="CI54" s="29" t="s">
        <v>2129</v>
      </c>
      <c r="CJ54" s="29" t="s">
        <v>2129</v>
      </c>
      <c r="CK54" s="29" t="s">
        <v>2129</v>
      </c>
      <c r="CL54" s="29" t="s">
        <v>2129</v>
      </c>
      <c r="CM54" s="29" t="s">
        <v>2129</v>
      </c>
      <c r="CN54" s="29" t="s">
        <v>2129</v>
      </c>
      <c r="CO54" s="29" t="s">
        <v>2129</v>
      </c>
      <c r="CP54" s="29" t="s">
        <v>2129</v>
      </c>
      <c r="CQ54" s="29" t="s">
        <v>2129</v>
      </c>
      <c r="CR54" s="29" t="s">
        <v>2129</v>
      </c>
      <c r="CS54" s="29"/>
      <c r="CT54" s="29" t="s">
        <v>2129</v>
      </c>
      <c r="CU54" s="29" t="s">
        <v>2129</v>
      </c>
      <c r="CV54" s="29" t="s">
        <v>2129</v>
      </c>
      <c r="CW54" s="29" t="s">
        <v>2129</v>
      </c>
      <c r="CX54" s="29" t="s">
        <v>2129</v>
      </c>
      <c r="CY54" s="29" t="s">
        <v>2129</v>
      </c>
      <c r="CZ54" s="29" t="s">
        <v>2129</v>
      </c>
      <c r="DA54" s="29" t="s">
        <v>2129</v>
      </c>
      <c r="DB54" s="29" t="s">
        <v>2129</v>
      </c>
      <c r="DC54" s="29" t="s">
        <v>2129</v>
      </c>
      <c r="DD54" s="29" t="s">
        <v>2129</v>
      </c>
      <c r="DE54" s="29" t="s">
        <v>2129</v>
      </c>
      <c r="DF54" s="29" t="s">
        <v>2129</v>
      </c>
      <c r="DG54" s="29" t="s">
        <v>2129</v>
      </c>
      <c r="DH54" s="29" t="s">
        <v>2129</v>
      </c>
      <c r="DI54" s="29" t="s">
        <v>2129</v>
      </c>
      <c r="DJ54" s="29" t="s">
        <v>2129</v>
      </c>
      <c r="DK54" s="29" t="s">
        <v>2129</v>
      </c>
      <c r="DL54" s="29" t="s">
        <v>2129</v>
      </c>
      <c r="DM54" s="29" t="s">
        <v>2129</v>
      </c>
      <c r="DN54" s="29" t="s">
        <v>2129</v>
      </c>
      <c r="DO54" s="29" t="s">
        <v>2129</v>
      </c>
      <c r="DP54" s="29" t="s">
        <v>2129</v>
      </c>
      <c r="DQ54" s="42" t="s">
        <v>2129</v>
      </c>
    </row>
    <row r="55" spans="1:121" x14ac:dyDescent="0.25">
      <c r="A55" s="36" t="s">
        <v>3312</v>
      </c>
      <c r="B55" s="30" t="s">
        <v>3313</v>
      </c>
      <c r="C55" s="30">
        <v>23041</v>
      </c>
      <c r="D55" s="30">
        <v>23038</v>
      </c>
      <c r="E55" s="30" t="s">
        <v>1379</v>
      </c>
      <c r="F55" s="30" t="s">
        <v>16</v>
      </c>
      <c r="G55" s="30" t="s">
        <v>2173</v>
      </c>
      <c r="H55" s="30" t="s">
        <v>50</v>
      </c>
      <c r="I55" s="30" t="s">
        <v>2127</v>
      </c>
      <c r="J55" s="30" t="s">
        <v>2156</v>
      </c>
      <c r="K55" s="30" t="s">
        <v>2129</v>
      </c>
      <c r="L55" s="30" t="s">
        <v>2174</v>
      </c>
      <c r="M55" s="30" t="s">
        <v>2130</v>
      </c>
      <c r="N55" s="30" t="s">
        <v>16</v>
      </c>
      <c r="O55" s="30" t="s">
        <v>2160</v>
      </c>
      <c r="P55" s="30" t="s">
        <v>2160</v>
      </c>
      <c r="Q55" s="30" t="s">
        <v>2160</v>
      </c>
      <c r="R55" s="46">
        <v>46078.541666666664</v>
      </c>
      <c r="S55" s="46">
        <v>46080.468055555553</v>
      </c>
      <c r="T55" s="46">
        <v>46087.717361111114</v>
      </c>
      <c r="U55" s="46">
        <v>46080.468055555553</v>
      </c>
      <c r="V55" s="30" t="s">
        <v>2129</v>
      </c>
      <c r="W55" s="30" t="s">
        <v>2129</v>
      </c>
      <c r="X55" s="30" t="s">
        <v>2129</v>
      </c>
      <c r="Y55" s="30">
        <v>0</v>
      </c>
      <c r="Z55" s="30" t="s">
        <v>2129</v>
      </c>
      <c r="AA55" s="30" t="s">
        <v>2129</v>
      </c>
      <c r="AB55" s="30" t="s">
        <v>2129</v>
      </c>
      <c r="AC55" s="30" t="s">
        <v>2129</v>
      </c>
      <c r="AD55" s="30" t="s">
        <v>2160</v>
      </c>
      <c r="AE55" s="30" t="s">
        <v>2129</v>
      </c>
      <c r="AF55" s="30" t="s">
        <v>2129</v>
      </c>
      <c r="AG55" s="30" t="s">
        <v>2129</v>
      </c>
      <c r="AH55" s="30" t="s">
        <v>2129</v>
      </c>
      <c r="AI55" s="30" t="s">
        <v>3314</v>
      </c>
      <c r="AJ55" s="30" t="s">
        <v>3315</v>
      </c>
      <c r="AK55" s="30" t="s">
        <v>2129</v>
      </c>
      <c r="AL55" s="30" t="s">
        <v>2129</v>
      </c>
      <c r="AM55" s="30" t="s">
        <v>2129</v>
      </c>
      <c r="AN55" s="30" t="s">
        <v>2129</v>
      </c>
      <c r="AO55" s="30" t="s">
        <v>2129</v>
      </c>
      <c r="AP55" s="30" t="s">
        <v>2129</v>
      </c>
      <c r="AQ55" s="30" t="s">
        <v>2129</v>
      </c>
      <c r="AR55" s="30" t="s">
        <v>2129</v>
      </c>
      <c r="AS55" s="30" t="s">
        <v>2129</v>
      </c>
      <c r="AT55" s="30" t="s">
        <v>2129</v>
      </c>
      <c r="AU55" s="30" t="s">
        <v>2129</v>
      </c>
      <c r="AV55" s="30" t="s">
        <v>2129</v>
      </c>
      <c r="AW55" s="30" t="s">
        <v>2129</v>
      </c>
      <c r="AX55" s="30">
        <v>0</v>
      </c>
      <c r="AY55" s="30">
        <v>46800</v>
      </c>
      <c r="AZ55" s="30" t="s">
        <v>2129</v>
      </c>
      <c r="BA55" s="30" t="s">
        <v>2129</v>
      </c>
      <c r="BB55" s="30">
        <v>0</v>
      </c>
      <c r="BC55" s="30">
        <v>46800</v>
      </c>
      <c r="BD55" s="30" t="s">
        <v>2129</v>
      </c>
      <c r="BE55" s="30" t="s">
        <v>2129</v>
      </c>
      <c r="BF55" s="30" t="s">
        <v>2129</v>
      </c>
      <c r="BG55" s="30" t="s">
        <v>2129</v>
      </c>
      <c r="BH55" s="30" t="s">
        <v>2129</v>
      </c>
      <c r="BI55" s="30" t="s">
        <v>2129</v>
      </c>
      <c r="BJ55" s="30" t="s">
        <v>2129</v>
      </c>
      <c r="BK55" s="30" t="s">
        <v>2129</v>
      </c>
      <c r="BL55" s="30" t="s">
        <v>2129</v>
      </c>
      <c r="BM55" s="30" t="s">
        <v>2129</v>
      </c>
      <c r="BN55" s="30" t="s">
        <v>2129</v>
      </c>
      <c r="BO55" s="30" t="s">
        <v>2129</v>
      </c>
      <c r="BP55" s="30" t="s">
        <v>2129</v>
      </c>
      <c r="BQ55" s="30" t="s">
        <v>2129</v>
      </c>
      <c r="BR55" s="30" t="s">
        <v>2129</v>
      </c>
      <c r="BS55" s="30" t="s">
        <v>2129</v>
      </c>
      <c r="BT55" s="30" t="s">
        <v>2129</v>
      </c>
      <c r="BU55" s="30" t="s">
        <v>2129</v>
      </c>
      <c r="BV55" s="30" t="s">
        <v>2129</v>
      </c>
      <c r="BW55" s="30" t="s">
        <v>2129</v>
      </c>
      <c r="BX55" s="30" t="s">
        <v>2129</v>
      </c>
      <c r="BY55" s="30" t="s">
        <v>2129</v>
      </c>
      <c r="BZ55" s="30" t="s">
        <v>2129</v>
      </c>
      <c r="CA55" s="30" t="s">
        <v>2129</v>
      </c>
      <c r="CB55" s="30" t="s">
        <v>2129</v>
      </c>
      <c r="CC55" s="30" t="s">
        <v>2129</v>
      </c>
      <c r="CD55" s="30" t="s">
        <v>2129</v>
      </c>
      <c r="CE55" s="30" t="s">
        <v>3316</v>
      </c>
      <c r="CF55" s="30" t="s">
        <v>3317</v>
      </c>
      <c r="CG55" s="30" t="s">
        <v>2129</v>
      </c>
      <c r="CH55" s="30" t="s">
        <v>2129</v>
      </c>
      <c r="CI55" s="30" t="s">
        <v>2129</v>
      </c>
      <c r="CJ55" s="30" t="s">
        <v>2129</v>
      </c>
      <c r="CK55" s="30" t="s">
        <v>2129</v>
      </c>
      <c r="CL55" s="30" t="s">
        <v>2129</v>
      </c>
      <c r="CM55" s="30" t="s">
        <v>2129</v>
      </c>
      <c r="CN55" s="30" t="s">
        <v>2129</v>
      </c>
      <c r="CO55" s="30" t="s">
        <v>2129</v>
      </c>
      <c r="CP55" s="30" t="s">
        <v>2129</v>
      </c>
      <c r="CQ55" s="30" t="s">
        <v>2129</v>
      </c>
      <c r="CR55" s="30" t="s">
        <v>2129</v>
      </c>
      <c r="CS55" s="30"/>
      <c r="CT55" s="30" t="s">
        <v>2129</v>
      </c>
      <c r="CU55" s="30" t="s">
        <v>2129</v>
      </c>
      <c r="CV55" s="30" t="s">
        <v>2129</v>
      </c>
      <c r="CW55" s="30" t="s">
        <v>2129</v>
      </c>
      <c r="CX55" s="30" t="s">
        <v>2129</v>
      </c>
      <c r="CY55" s="30" t="s">
        <v>2129</v>
      </c>
      <c r="CZ55" s="30" t="s">
        <v>2129</v>
      </c>
      <c r="DA55" s="30" t="s">
        <v>2129</v>
      </c>
      <c r="DB55" s="30" t="s">
        <v>2129</v>
      </c>
      <c r="DC55" s="30" t="s">
        <v>2129</v>
      </c>
      <c r="DD55" s="30" t="s">
        <v>2129</v>
      </c>
      <c r="DE55" s="30" t="s">
        <v>2129</v>
      </c>
      <c r="DF55" s="30" t="s">
        <v>2129</v>
      </c>
      <c r="DG55" s="30" t="s">
        <v>2129</v>
      </c>
      <c r="DH55" s="30" t="s">
        <v>2129</v>
      </c>
      <c r="DI55" s="30" t="s">
        <v>2129</v>
      </c>
      <c r="DJ55" s="30" t="s">
        <v>2129</v>
      </c>
      <c r="DK55" s="30" t="s">
        <v>2129</v>
      </c>
      <c r="DL55" s="30" t="s">
        <v>2129</v>
      </c>
      <c r="DM55" s="30" t="s">
        <v>2129</v>
      </c>
      <c r="DN55" s="30" t="s">
        <v>2129</v>
      </c>
      <c r="DO55" s="30" t="s">
        <v>2129</v>
      </c>
      <c r="DP55" s="30" t="s">
        <v>2129</v>
      </c>
      <c r="DQ55" s="43" t="s">
        <v>2129</v>
      </c>
    </row>
    <row r="56" spans="1:121" x14ac:dyDescent="0.25">
      <c r="A56" s="39" t="s">
        <v>1298</v>
      </c>
      <c r="B56" s="29" t="s">
        <v>3022</v>
      </c>
      <c r="C56" s="29">
        <v>23040</v>
      </c>
      <c r="D56" s="29"/>
      <c r="E56" s="29" t="s">
        <v>14</v>
      </c>
      <c r="F56" s="29" t="s">
        <v>10</v>
      </c>
      <c r="G56" s="29" t="s">
        <v>2173</v>
      </c>
      <c r="H56" s="29" t="s">
        <v>50</v>
      </c>
      <c r="I56" s="29" t="s">
        <v>2127</v>
      </c>
      <c r="J56" s="29" t="s">
        <v>2156</v>
      </c>
      <c r="K56" s="29" t="s">
        <v>2129</v>
      </c>
      <c r="L56" s="29" t="s">
        <v>2174</v>
      </c>
      <c r="M56" s="29" t="s">
        <v>2130</v>
      </c>
      <c r="N56" s="29" t="s">
        <v>2129</v>
      </c>
      <c r="O56" s="29" t="s">
        <v>2175</v>
      </c>
      <c r="P56" s="29" t="s">
        <v>2145</v>
      </c>
      <c r="Q56" s="29" t="s">
        <v>2145</v>
      </c>
      <c r="R56" s="45">
        <v>46078.527083333334</v>
      </c>
      <c r="S56" s="45">
        <v>46080.390972222223</v>
      </c>
      <c r="T56" s="45">
        <v>46087.717361111114</v>
      </c>
      <c r="U56" s="45"/>
      <c r="V56" s="29" t="s">
        <v>3318</v>
      </c>
      <c r="W56" s="29" t="s">
        <v>2129</v>
      </c>
      <c r="X56" s="29" t="s">
        <v>2129</v>
      </c>
      <c r="Y56" s="29">
        <v>0</v>
      </c>
      <c r="Z56" s="29" t="s">
        <v>2129</v>
      </c>
      <c r="AA56" s="29" t="s">
        <v>2129</v>
      </c>
      <c r="AB56" s="29" t="s">
        <v>3319</v>
      </c>
      <c r="AC56" s="29" t="s">
        <v>2129</v>
      </c>
      <c r="AD56" s="29" t="s">
        <v>2145</v>
      </c>
      <c r="AE56" s="29" t="s">
        <v>2129</v>
      </c>
      <c r="AF56" s="29" t="s">
        <v>2129</v>
      </c>
      <c r="AG56" s="29" t="s">
        <v>2129</v>
      </c>
      <c r="AH56" s="29" t="s">
        <v>2129</v>
      </c>
      <c r="AI56" s="29" t="s">
        <v>2129</v>
      </c>
      <c r="AJ56" s="29" t="s">
        <v>2129</v>
      </c>
      <c r="AK56" s="29" t="s">
        <v>2129</v>
      </c>
      <c r="AL56" s="29" t="s">
        <v>2129</v>
      </c>
      <c r="AM56" s="29" t="s">
        <v>2129</v>
      </c>
      <c r="AN56" s="29" t="s">
        <v>2129</v>
      </c>
      <c r="AO56" s="29" t="s">
        <v>2129</v>
      </c>
      <c r="AP56" s="29" t="s">
        <v>2129</v>
      </c>
      <c r="AQ56" s="29" t="s">
        <v>2129</v>
      </c>
      <c r="AR56" s="29" t="s">
        <v>2129</v>
      </c>
      <c r="AS56" s="29" t="s">
        <v>2129</v>
      </c>
      <c r="AT56" s="29" t="s">
        <v>2129</v>
      </c>
      <c r="AU56" s="29" t="s">
        <v>2129</v>
      </c>
      <c r="AV56" s="29" t="s">
        <v>2129</v>
      </c>
      <c r="AW56" s="29" t="s">
        <v>2129</v>
      </c>
      <c r="AX56" s="29"/>
      <c r="AY56" s="29"/>
      <c r="AZ56" s="29" t="s">
        <v>2129</v>
      </c>
      <c r="BA56" s="29" t="s">
        <v>2129</v>
      </c>
      <c r="BB56" s="29"/>
      <c r="BC56" s="29"/>
      <c r="BD56" s="29" t="s">
        <v>2129</v>
      </c>
      <c r="BE56" s="29" t="s">
        <v>2129</v>
      </c>
      <c r="BF56" s="29" t="s">
        <v>2129</v>
      </c>
      <c r="BG56" s="29" t="s">
        <v>2129</v>
      </c>
      <c r="BH56" s="29" t="s">
        <v>2129</v>
      </c>
      <c r="BI56" s="29" t="s">
        <v>2129</v>
      </c>
      <c r="BJ56" s="29" t="s">
        <v>2129</v>
      </c>
      <c r="BK56" s="29" t="s">
        <v>2129</v>
      </c>
      <c r="BL56" s="29" t="s">
        <v>2129</v>
      </c>
      <c r="BM56" s="29" t="s">
        <v>2129</v>
      </c>
      <c r="BN56" s="29" t="s">
        <v>2129</v>
      </c>
      <c r="BO56" s="29" t="s">
        <v>2129</v>
      </c>
      <c r="BP56" s="29" t="s">
        <v>2129</v>
      </c>
      <c r="BQ56" s="29" t="s">
        <v>2129</v>
      </c>
      <c r="BR56" s="29" t="s">
        <v>2129</v>
      </c>
      <c r="BS56" s="29" t="s">
        <v>2129</v>
      </c>
      <c r="BT56" s="29" t="s">
        <v>2129</v>
      </c>
      <c r="BU56" s="29" t="s">
        <v>2129</v>
      </c>
      <c r="BV56" s="29" t="s">
        <v>2129</v>
      </c>
      <c r="BW56" s="29" t="s">
        <v>2129</v>
      </c>
      <c r="BX56" s="29" t="s">
        <v>2129</v>
      </c>
      <c r="BY56" s="29" t="s">
        <v>2129</v>
      </c>
      <c r="BZ56" s="29" t="s">
        <v>2129</v>
      </c>
      <c r="CA56" s="29" t="s">
        <v>2129</v>
      </c>
      <c r="CB56" s="29" t="s">
        <v>2129</v>
      </c>
      <c r="CC56" s="29" t="s">
        <v>2129</v>
      </c>
      <c r="CD56" s="29" t="s">
        <v>2129</v>
      </c>
      <c r="CE56" s="29" t="s">
        <v>3320</v>
      </c>
      <c r="CF56" s="29" t="s">
        <v>3317</v>
      </c>
      <c r="CG56" s="29" t="s">
        <v>2129</v>
      </c>
      <c r="CH56" s="29" t="s">
        <v>2129</v>
      </c>
      <c r="CI56" s="29" t="s">
        <v>2129</v>
      </c>
      <c r="CJ56" s="29" t="s">
        <v>2129</v>
      </c>
      <c r="CK56" s="29" t="s">
        <v>2129</v>
      </c>
      <c r="CL56" s="29" t="s">
        <v>2129</v>
      </c>
      <c r="CM56" s="29" t="s">
        <v>2129</v>
      </c>
      <c r="CN56" s="29" t="s">
        <v>2129</v>
      </c>
      <c r="CO56" s="29" t="s">
        <v>2129</v>
      </c>
      <c r="CP56" s="29" t="s">
        <v>2129</v>
      </c>
      <c r="CQ56" s="29" t="s">
        <v>2129</v>
      </c>
      <c r="CR56" s="29" t="s">
        <v>2129</v>
      </c>
      <c r="CS56" s="29">
        <v>30</v>
      </c>
      <c r="CT56" s="29" t="s">
        <v>2129</v>
      </c>
      <c r="CU56" s="29" t="s">
        <v>2129</v>
      </c>
      <c r="CV56" s="29" t="s">
        <v>3321</v>
      </c>
      <c r="CW56" s="29" t="s">
        <v>2129</v>
      </c>
      <c r="CX56" s="29" t="s">
        <v>2129</v>
      </c>
      <c r="CY56" s="29" t="s">
        <v>2129</v>
      </c>
      <c r="CZ56" s="29" t="s">
        <v>2129</v>
      </c>
      <c r="DA56" s="29" t="s">
        <v>2129</v>
      </c>
      <c r="DB56" s="29" t="s">
        <v>2129</v>
      </c>
      <c r="DC56" s="29" t="s">
        <v>2129</v>
      </c>
      <c r="DD56" s="29" t="s">
        <v>2129</v>
      </c>
      <c r="DE56" s="29" t="s">
        <v>2129</v>
      </c>
      <c r="DF56" s="29" t="s">
        <v>2129</v>
      </c>
      <c r="DG56" s="29" t="s">
        <v>2129</v>
      </c>
      <c r="DH56" s="29" t="s">
        <v>2129</v>
      </c>
      <c r="DI56" s="29" t="s">
        <v>2129</v>
      </c>
      <c r="DJ56" s="29" t="s">
        <v>2129</v>
      </c>
      <c r="DK56" s="29" t="s">
        <v>2129</v>
      </c>
      <c r="DL56" s="29" t="s">
        <v>2129</v>
      </c>
      <c r="DM56" s="29" t="s">
        <v>2129</v>
      </c>
      <c r="DN56" s="29" t="s">
        <v>2129</v>
      </c>
      <c r="DO56" s="29" t="s">
        <v>2129</v>
      </c>
      <c r="DP56" s="29" t="s">
        <v>2129</v>
      </c>
      <c r="DQ56" s="42" t="s">
        <v>2129</v>
      </c>
    </row>
    <row r="57" spans="1:121" x14ac:dyDescent="0.25">
      <c r="A57" s="36" t="s">
        <v>3021</v>
      </c>
      <c r="B57" s="30" t="s">
        <v>3020</v>
      </c>
      <c r="C57" s="30">
        <v>23038</v>
      </c>
      <c r="D57" s="30"/>
      <c r="E57" s="30" t="s">
        <v>14</v>
      </c>
      <c r="F57" s="30" t="s">
        <v>27</v>
      </c>
      <c r="G57" s="30" t="s">
        <v>2173</v>
      </c>
      <c r="H57" s="30" t="s">
        <v>50</v>
      </c>
      <c r="I57" s="30" t="s">
        <v>2127</v>
      </c>
      <c r="J57" s="30" t="s">
        <v>2156</v>
      </c>
      <c r="K57" s="30" t="s">
        <v>2129</v>
      </c>
      <c r="L57" s="30" t="s">
        <v>2174</v>
      </c>
      <c r="M57" s="30" t="s">
        <v>2130</v>
      </c>
      <c r="N57" s="30" t="s">
        <v>2129</v>
      </c>
      <c r="O57" s="30" t="s">
        <v>2150</v>
      </c>
      <c r="P57" s="30" t="s">
        <v>2145</v>
      </c>
      <c r="Q57" s="30" t="s">
        <v>2145</v>
      </c>
      <c r="R57" s="46">
        <v>46078.525694444441</v>
      </c>
      <c r="S57" s="46">
        <v>46083.418055555558</v>
      </c>
      <c r="T57" s="46">
        <v>46087.717361111114</v>
      </c>
      <c r="U57" s="46"/>
      <c r="V57" s="30" t="s">
        <v>2129</v>
      </c>
      <c r="W57" s="30" t="s">
        <v>2129</v>
      </c>
      <c r="X57" s="30" t="s">
        <v>2129</v>
      </c>
      <c r="Y57" s="30">
        <v>0</v>
      </c>
      <c r="Z57" s="30" t="s">
        <v>2129</v>
      </c>
      <c r="AA57" s="30" t="s">
        <v>2129</v>
      </c>
      <c r="AB57" s="30" t="s">
        <v>3322</v>
      </c>
      <c r="AC57" s="30" t="s">
        <v>2129</v>
      </c>
      <c r="AD57" s="30" t="s">
        <v>2158</v>
      </c>
      <c r="AE57" s="30" t="s">
        <v>2145</v>
      </c>
      <c r="AF57" s="30" t="s">
        <v>2156</v>
      </c>
      <c r="AG57" s="30" t="s">
        <v>2129</v>
      </c>
      <c r="AH57" s="30" t="s">
        <v>2129</v>
      </c>
      <c r="AI57" s="30" t="s">
        <v>3323</v>
      </c>
      <c r="AJ57" s="30" t="s">
        <v>3324</v>
      </c>
      <c r="AK57" s="30" t="s">
        <v>2129</v>
      </c>
      <c r="AL57" s="30" t="s">
        <v>2129</v>
      </c>
      <c r="AM57" s="30" t="s">
        <v>2129</v>
      </c>
      <c r="AN57" s="30" t="s">
        <v>2129</v>
      </c>
      <c r="AO57" s="30" t="s">
        <v>2129</v>
      </c>
      <c r="AP57" s="30" t="s">
        <v>2129</v>
      </c>
      <c r="AQ57" s="30" t="s">
        <v>2129</v>
      </c>
      <c r="AR57" s="30" t="s">
        <v>2129</v>
      </c>
      <c r="AS57" s="30" t="s">
        <v>2129</v>
      </c>
      <c r="AT57" s="30" t="s">
        <v>2129</v>
      </c>
      <c r="AU57" s="30" t="s">
        <v>2129</v>
      </c>
      <c r="AV57" s="30" t="s">
        <v>2129</v>
      </c>
      <c r="AW57" s="30" t="s">
        <v>2129</v>
      </c>
      <c r="AX57" s="30">
        <v>0</v>
      </c>
      <c r="AY57" s="30">
        <v>46800</v>
      </c>
      <c r="AZ57" s="30" t="s">
        <v>2129</v>
      </c>
      <c r="BA57" s="30" t="s">
        <v>2129</v>
      </c>
      <c r="BB57" s="30">
        <v>0</v>
      </c>
      <c r="BC57" s="30">
        <v>93600</v>
      </c>
      <c r="BD57" s="30" t="s">
        <v>2129</v>
      </c>
      <c r="BE57" s="30" t="s">
        <v>2129</v>
      </c>
      <c r="BF57" s="30" t="s">
        <v>2129</v>
      </c>
      <c r="BG57" s="30" t="s">
        <v>2129</v>
      </c>
      <c r="BH57" s="30" t="s">
        <v>2129</v>
      </c>
      <c r="BI57" s="30" t="s">
        <v>2129</v>
      </c>
      <c r="BJ57" s="30" t="s">
        <v>2129</v>
      </c>
      <c r="BK57" s="30" t="s">
        <v>2129</v>
      </c>
      <c r="BL57" s="30" t="s">
        <v>2129</v>
      </c>
      <c r="BM57" s="30" t="s">
        <v>2129</v>
      </c>
      <c r="BN57" s="30" t="s">
        <v>2129</v>
      </c>
      <c r="BO57" s="30" t="s">
        <v>2129</v>
      </c>
      <c r="BP57" s="30" t="s">
        <v>2129</v>
      </c>
      <c r="BQ57" s="30" t="s">
        <v>2129</v>
      </c>
      <c r="BR57" s="30" t="s">
        <v>2129</v>
      </c>
      <c r="BS57" s="30" t="s">
        <v>2129</v>
      </c>
      <c r="BT57" s="30" t="s">
        <v>2129</v>
      </c>
      <c r="BU57" s="30" t="s">
        <v>2129</v>
      </c>
      <c r="BV57" s="30" t="s">
        <v>2129</v>
      </c>
      <c r="BW57" s="30" t="s">
        <v>2129</v>
      </c>
      <c r="BX57" s="30" t="s">
        <v>2129</v>
      </c>
      <c r="BY57" s="30" t="s">
        <v>2129</v>
      </c>
      <c r="BZ57" s="30" t="s">
        <v>2129</v>
      </c>
      <c r="CA57" s="30" t="s">
        <v>2129</v>
      </c>
      <c r="CB57" s="30" t="s">
        <v>2129</v>
      </c>
      <c r="CC57" s="30" t="s">
        <v>2129</v>
      </c>
      <c r="CD57" s="30" t="s">
        <v>2129</v>
      </c>
      <c r="CE57" s="30" t="s">
        <v>3325</v>
      </c>
      <c r="CF57" s="30" t="s">
        <v>3317</v>
      </c>
      <c r="CG57" s="30" t="s">
        <v>2129</v>
      </c>
      <c r="CH57" s="30" t="s">
        <v>2129</v>
      </c>
      <c r="CI57" s="30" t="s">
        <v>2129</v>
      </c>
      <c r="CJ57" s="30" t="s">
        <v>2129</v>
      </c>
      <c r="CK57" s="30" t="s">
        <v>2129</v>
      </c>
      <c r="CL57" s="30" t="s">
        <v>2129</v>
      </c>
      <c r="CM57" s="30" t="s">
        <v>2129</v>
      </c>
      <c r="CN57" s="30" t="s">
        <v>2129</v>
      </c>
      <c r="CO57" s="30" t="s">
        <v>2129</v>
      </c>
      <c r="CP57" s="30" t="s">
        <v>2129</v>
      </c>
      <c r="CQ57" s="30" t="s">
        <v>2129</v>
      </c>
      <c r="CR57" s="30" t="s">
        <v>2129</v>
      </c>
      <c r="CS57" s="30">
        <v>50</v>
      </c>
      <c r="CT57" s="30" t="s">
        <v>2129</v>
      </c>
      <c r="CU57" s="30" t="s">
        <v>2129</v>
      </c>
      <c r="CV57" s="30" t="s">
        <v>3326</v>
      </c>
      <c r="CW57" s="30" t="s">
        <v>3327</v>
      </c>
      <c r="CX57" s="30" t="s">
        <v>3328</v>
      </c>
      <c r="CY57" s="30" t="s">
        <v>3329</v>
      </c>
      <c r="CZ57" s="30" t="s">
        <v>3330</v>
      </c>
      <c r="DA57" s="30" t="s">
        <v>2129</v>
      </c>
      <c r="DB57" s="30" t="s">
        <v>2129</v>
      </c>
      <c r="DC57" s="30" t="s">
        <v>2129</v>
      </c>
      <c r="DD57" s="30" t="s">
        <v>2129</v>
      </c>
      <c r="DE57" s="30" t="s">
        <v>2129</v>
      </c>
      <c r="DF57" s="30" t="s">
        <v>2129</v>
      </c>
      <c r="DG57" s="30" t="s">
        <v>2129</v>
      </c>
      <c r="DH57" s="30" t="s">
        <v>2129</v>
      </c>
      <c r="DI57" s="30" t="s">
        <v>2129</v>
      </c>
      <c r="DJ57" s="30" t="s">
        <v>2129</v>
      </c>
      <c r="DK57" s="30" t="s">
        <v>2129</v>
      </c>
      <c r="DL57" s="30" t="s">
        <v>2129</v>
      </c>
      <c r="DM57" s="30" t="s">
        <v>2129</v>
      </c>
      <c r="DN57" s="30" t="s">
        <v>2129</v>
      </c>
      <c r="DO57" s="30" t="s">
        <v>2129</v>
      </c>
      <c r="DP57" s="30" t="s">
        <v>2129</v>
      </c>
      <c r="DQ57" s="43" t="s">
        <v>2129</v>
      </c>
    </row>
    <row r="58" spans="1:121" x14ac:dyDescent="0.25">
      <c r="A58" s="39" t="s">
        <v>2781</v>
      </c>
      <c r="B58" s="29" t="s">
        <v>2774</v>
      </c>
      <c r="C58" s="29">
        <v>23008</v>
      </c>
      <c r="D58" s="29"/>
      <c r="E58" s="29" t="s">
        <v>14</v>
      </c>
      <c r="F58" s="29" t="s">
        <v>16</v>
      </c>
      <c r="G58" s="29" t="s">
        <v>2173</v>
      </c>
      <c r="H58" s="29" t="s">
        <v>50</v>
      </c>
      <c r="I58" s="29" t="s">
        <v>2127</v>
      </c>
      <c r="J58" s="29" t="s">
        <v>2156</v>
      </c>
      <c r="K58" s="29" t="s">
        <v>2129</v>
      </c>
      <c r="L58" s="29" t="s">
        <v>2174</v>
      </c>
      <c r="M58" s="29" t="s">
        <v>2130</v>
      </c>
      <c r="N58" s="29" t="s">
        <v>2153</v>
      </c>
      <c r="O58" s="29" t="s">
        <v>2150</v>
      </c>
      <c r="P58" s="29" t="s">
        <v>2145</v>
      </c>
      <c r="Q58" s="29" t="s">
        <v>2145</v>
      </c>
      <c r="R58" s="45">
        <v>46073.398611111108</v>
      </c>
      <c r="S58" s="45">
        <v>46079.56527777778</v>
      </c>
      <c r="T58" s="45">
        <v>46087.717361111114</v>
      </c>
      <c r="U58" s="45">
        <v>46076.694444444445</v>
      </c>
      <c r="V58" s="29" t="s">
        <v>3318</v>
      </c>
      <c r="W58" s="29" t="s">
        <v>2129</v>
      </c>
      <c r="X58" s="29" t="s">
        <v>2129</v>
      </c>
      <c r="Y58" s="29">
        <v>0</v>
      </c>
      <c r="Z58" s="29" t="s">
        <v>3331</v>
      </c>
      <c r="AA58" s="29" t="s">
        <v>2129</v>
      </c>
      <c r="AB58" s="29" t="s">
        <v>3332</v>
      </c>
      <c r="AC58" s="29" t="s">
        <v>2129</v>
      </c>
      <c r="AD58" s="29" t="s">
        <v>2158</v>
      </c>
      <c r="AE58" s="29" t="s">
        <v>2145</v>
      </c>
      <c r="AF58" s="29" t="s">
        <v>2150</v>
      </c>
      <c r="AG58" s="29" t="s">
        <v>2129</v>
      </c>
      <c r="AH58" s="29" t="s">
        <v>2129</v>
      </c>
      <c r="AI58" s="29" t="s">
        <v>3333</v>
      </c>
      <c r="AJ58" s="29" t="s">
        <v>3334</v>
      </c>
      <c r="AK58" s="29" t="s">
        <v>2129</v>
      </c>
      <c r="AL58" s="29" t="s">
        <v>2129</v>
      </c>
      <c r="AM58" s="29" t="s">
        <v>2129</v>
      </c>
      <c r="AN58" s="29" t="s">
        <v>2129</v>
      </c>
      <c r="AO58" s="29" t="s">
        <v>2129</v>
      </c>
      <c r="AP58" s="29" t="s">
        <v>2129</v>
      </c>
      <c r="AQ58" s="29" t="s">
        <v>2129</v>
      </c>
      <c r="AR58" s="29" t="s">
        <v>2129</v>
      </c>
      <c r="AS58" s="29" t="s">
        <v>2129</v>
      </c>
      <c r="AT58" s="29" t="s">
        <v>2129</v>
      </c>
      <c r="AU58" s="29" t="s">
        <v>2129</v>
      </c>
      <c r="AV58" s="29" t="s">
        <v>2129</v>
      </c>
      <c r="AW58" s="29" t="s">
        <v>2129</v>
      </c>
      <c r="AX58" s="29">
        <v>0</v>
      </c>
      <c r="AY58" s="29">
        <v>9000</v>
      </c>
      <c r="AZ58" s="29" t="s">
        <v>2129</v>
      </c>
      <c r="BA58" s="29" t="s">
        <v>2129</v>
      </c>
      <c r="BB58" s="29">
        <v>0</v>
      </c>
      <c r="BC58" s="29">
        <v>9000</v>
      </c>
      <c r="BD58" s="29" t="s">
        <v>2129</v>
      </c>
      <c r="BE58" s="29" t="s">
        <v>2129</v>
      </c>
      <c r="BF58" s="29" t="s">
        <v>2129</v>
      </c>
      <c r="BG58" s="29" t="s">
        <v>2129</v>
      </c>
      <c r="BH58" s="29" t="s">
        <v>2129</v>
      </c>
      <c r="BI58" s="29" t="s">
        <v>2129</v>
      </c>
      <c r="BJ58" s="29" t="s">
        <v>2129</v>
      </c>
      <c r="BK58" s="29" t="s">
        <v>3335</v>
      </c>
      <c r="BL58" s="29" t="s">
        <v>2129</v>
      </c>
      <c r="BM58" s="29" t="s">
        <v>2129</v>
      </c>
      <c r="BN58" s="29" t="s">
        <v>2129</v>
      </c>
      <c r="BO58" s="29" t="s">
        <v>2129</v>
      </c>
      <c r="BP58" s="29" t="s">
        <v>2129</v>
      </c>
      <c r="BQ58" s="29" t="s">
        <v>2129</v>
      </c>
      <c r="BR58" s="29" t="s">
        <v>2129</v>
      </c>
      <c r="BS58" s="29" t="s">
        <v>2129</v>
      </c>
      <c r="BT58" s="29" t="s">
        <v>2129</v>
      </c>
      <c r="BU58" s="29" t="s">
        <v>2129</v>
      </c>
      <c r="BV58" s="29" t="s">
        <v>2129</v>
      </c>
      <c r="BW58" s="29" t="s">
        <v>2129</v>
      </c>
      <c r="BX58" s="29" t="s">
        <v>2129</v>
      </c>
      <c r="BY58" s="29" t="s">
        <v>2129</v>
      </c>
      <c r="BZ58" s="29" t="s">
        <v>2129</v>
      </c>
      <c r="CA58" s="29" t="s">
        <v>2129</v>
      </c>
      <c r="CB58" s="29" t="s">
        <v>2129</v>
      </c>
      <c r="CC58" s="29" t="s">
        <v>2129</v>
      </c>
      <c r="CD58" s="29" t="s">
        <v>2129</v>
      </c>
      <c r="CE58" s="29" t="s">
        <v>3336</v>
      </c>
      <c r="CF58" s="29" t="s">
        <v>3317</v>
      </c>
      <c r="CG58" s="29" t="s">
        <v>2129</v>
      </c>
      <c r="CH58" s="29" t="s">
        <v>2129</v>
      </c>
      <c r="CI58" s="29" t="s">
        <v>2129</v>
      </c>
      <c r="CJ58" s="29" t="s">
        <v>2129</v>
      </c>
      <c r="CK58" s="29" t="s">
        <v>2129</v>
      </c>
      <c r="CL58" s="29" t="s">
        <v>2129</v>
      </c>
      <c r="CM58" s="29" t="s">
        <v>2129</v>
      </c>
      <c r="CN58" s="29" t="s">
        <v>2129</v>
      </c>
      <c r="CO58" s="29" t="s">
        <v>2129</v>
      </c>
      <c r="CP58" s="29" t="s">
        <v>2129</v>
      </c>
      <c r="CQ58" s="29" t="s">
        <v>2129</v>
      </c>
      <c r="CR58" s="29" t="s">
        <v>2129</v>
      </c>
      <c r="CS58" s="29">
        <v>20</v>
      </c>
      <c r="CT58" s="29" t="s">
        <v>2129</v>
      </c>
      <c r="CU58" s="29" t="s">
        <v>2129</v>
      </c>
      <c r="CV58" s="29" t="s">
        <v>3337</v>
      </c>
      <c r="CW58" s="29" t="s">
        <v>3338</v>
      </c>
      <c r="CX58" s="29" t="s">
        <v>2129</v>
      </c>
      <c r="CY58" s="29" t="s">
        <v>2129</v>
      </c>
      <c r="CZ58" s="29" t="s">
        <v>2129</v>
      </c>
      <c r="DA58" s="29" t="s">
        <v>2129</v>
      </c>
      <c r="DB58" s="29" t="s">
        <v>2129</v>
      </c>
      <c r="DC58" s="29" t="s">
        <v>2129</v>
      </c>
      <c r="DD58" s="29" t="s">
        <v>2129</v>
      </c>
      <c r="DE58" s="29" t="s">
        <v>2129</v>
      </c>
      <c r="DF58" s="29" t="s">
        <v>2129</v>
      </c>
      <c r="DG58" s="29" t="s">
        <v>2129</v>
      </c>
      <c r="DH58" s="29" t="s">
        <v>2129</v>
      </c>
      <c r="DI58" s="29" t="s">
        <v>2129</v>
      </c>
      <c r="DJ58" s="29" t="s">
        <v>2129</v>
      </c>
      <c r="DK58" s="29" t="s">
        <v>2129</v>
      </c>
      <c r="DL58" s="29" t="s">
        <v>2129</v>
      </c>
      <c r="DM58" s="29" t="s">
        <v>2129</v>
      </c>
      <c r="DN58" s="29" t="s">
        <v>2129</v>
      </c>
      <c r="DO58" s="29" t="s">
        <v>2129</v>
      </c>
      <c r="DP58" s="29" t="s">
        <v>2129</v>
      </c>
      <c r="DQ58" s="42" t="s">
        <v>2129</v>
      </c>
    </row>
    <row r="59" spans="1:121" x14ac:dyDescent="0.25">
      <c r="A59" s="36" t="s">
        <v>2782</v>
      </c>
      <c r="B59" s="30" t="s">
        <v>2775</v>
      </c>
      <c r="C59" s="30">
        <v>23007</v>
      </c>
      <c r="D59" s="30"/>
      <c r="E59" s="30" t="s">
        <v>14</v>
      </c>
      <c r="F59" s="30" t="s">
        <v>16</v>
      </c>
      <c r="G59" s="30" t="s">
        <v>2173</v>
      </c>
      <c r="H59" s="30" t="s">
        <v>50</v>
      </c>
      <c r="I59" s="30" t="s">
        <v>2127</v>
      </c>
      <c r="J59" s="30" t="s">
        <v>2156</v>
      </c>
      <c r="K59" s="30" t="s">
        <v>2129</v>
      </c>
      <c r="L59" s="30" t="s">
        <v>2174</v>
      </c>
      <c r="M59" s="30" t="s">
        <v>2130</v>
      </c>
      <c r="N59" s="30" t="s">
        <v>2153</v>
      </c>
      <c r="O59" s="30" t="s">
        <v>2150</v>
      </c>
      <c r="P59" s="30" t="s">
        <v>2145</v>
      </c>
      <c r="Q59" s="30" t="s">
        <v>2145</v>
      </c>
      <c r="R59" s="46">
        <v>46073.397916666669</v>
      </c>
      <c r="S59" s="46">
        <v>46079.56527777778</v>
      </c>
      <c r="T59" s="46">
        <v>46087.717361111114</v>
      </c>
      <c r="U59" s="46">
        <v>46076.679166666669</v>
      </c>
      <c r="V59" s="30" t="s">
        <v>3318</v>
      </c>
      <c r="W59" s="30" t="s">
        <v>2129</v>
      </c>
      <c r="X59" s="30" t="s">
        <v>2129</v>
      </c>
      <c r="Y59" s="30">
        <v>0</v>
      </c>
      <c r="Z59" s="30" t="s">
        <v>3331</v>
      </c>
      <c r="AA59" s="30" t="s">
        <v>2129</v>
      </c>
      <c r="AB59" s="30" t="s">
        <v>3339</v>
      </c>
      <c r="AC59" s="30" t="s">
        <v>2129</v>
      </c>
      <c r="AD59" s="30" t="s">
        <v>2158</v>
      </c>
      <c r="AE59" s="30" t="s">
        <v>2145</v>
      </c>
      <c r="AF59" s="30" t="s">
        <v>2150</v>
      </c>
      <c r="AG59" s="30" t="s">
        <v>2129</v>
      </c>
      <c r="AH59" s="30" t="s">
        <v>2129</v>
      </c>
      <c r="AI59" s="30" t="s">
        <v>3340</v>
      </c>
      <c r="AJ59" s="30" t="s">
        <v>3341</v>
      </c>
      <c r="AK59" s="30" t="s">
        <v>2129</v>
      </c>
      <c r="AL59" s="30" t="s">
        <v>2129</v>
      </c>
      <c r="AM59" s="30" t="s">
        <v>2129</v>
      </c>
      <c r="AN59" s="30" t="s">
        <v>2129</v>
      </c>
      <c r="AO59" s="30" t="s">
        <v>2129</v>
      </c>
      <c r="AP59" s="30" t="s">
        <v>2129</v>
      </c>
      <c r="AQ59" s="30" t="s">
        <v>2129</v>
      </c>
      <c r="AR59" s="30" t="s">
        <v>2129</v>
      </c>
      <c r="AS59" s="30" t="s">
        <v>2129</v>
      </c>
      <c r="AT59" s="30" t="s">
        <v>2129</v>
      </c>
      <c r="AU59" s="30" t="s">
        <v>2129</v>
      </c>
      <c r="AV59" s="30" t="s">
        <v>2129</v>
      </c>
      <c r="AW59" s="30" t="s">
        <v>2129</v>
      </c>
      <c r="AX59" s="30">
        <v>0</v>
      </c>
      <c r="AY59" s="30">
        <v>9000</v>
      </c>
      <c r="AZ59" s="30" t="s">
        <v>2129</v>
      </c>
      <c r="BA59" s="30" t="s">
        <v>2129</v>
      </c>
      <c r="BB59" s="30">
        <v>0</v>
      </c>
      <c r="BC59" s="30">
        <v>9000</v>
      </c>
      <c r="BD59" s="30" t="s">
        <v>2129</v>
      </c>
      <c r="BE59" s="30" t="s">
        <v>2129</v>
      </c>
      <c r="BF59" s="30" t="s">
        <v>2129</v>
      </c>
      <c r="BG59" s="30" t="s">
        <v>2774</v>
      </c>
      <c r="BH59" s="30" t="s">
        <v>2129</v>
      </c>
      <c r="BI59" s="30" t="s">
        <v>2129</v>
      </c>
      <c r="BJ59" s="30" t="s">
        <v>2129</v>
      </c>
      <c r="BK59" s="30" t="s">
        <v>3342</v>
      </c>
      <c r="BL59" s="30" t="s">
        <v>2129</v>
      </c>
      <c r="BM59" s="30" t="s">
        <v>2129</v>
      </c>
      <c r="BN59" s="30" t="s">
        <v>2129</v>
      </c>
      <c r="BO59" s="30" t="s">
        <v>2129</v>
      </c>
      <c r="BP59" s="30" t="s">
        <v>2129</v>
      </c>
      <c r="BQ59" s="30" t="s">
        <v>2129</v>
      </c>
      <c r="BR59" s="30" t="s">
        <v>2129</v>
      </c>
      <c r="BS59" s="30" t="s">
        <v>2129</v>
      </c>
      <c r="BT59" s="30" t="s">
        <v>2129</v>
      </c>
      <c r="BU59" s="30" t="s">
        <v>2129</v>
      </c>
      <c r="BV59" s="30" t="s">
        <v>2129</v>
      </c>
      <c r="BW59" s="30" t="s">
        <v>2129</v>
      </c>
      <c r="BX59" s="30" t="s">
        <v>2129</v>
      </c>
      <c r="BY59" s="30" t="s">
        <v>2129</v>
      </c>
      <c r="BZ59" s="30" t="s">
        <v>2129</v>
      </c>
      <c r="CA59" s="30" t="s">
        <v>2129</v>
      </c>
      <c r="CB59" s="30" t="s">
        <v>2129</v>
      </c>
      <c r="CC59" s="30" t="s">
        <v>2129</v>
      </c>
      <c r="CD59" s="30" t="s">
        <v>2129</v>
      </c>
      <c r="CE59" s="30" t="s">
        <v>3343</v>
      </c>
      <c r="CF59" s="30" t="s">
        <v>3317</v>
      </c>
      <c r="CG59" s="30" t="s">
        <v>2129</v>
      </c>
      <c r="CH59" s="30" t="s">
        <v>2129</v>
      </c>
      <c r="CI59" s="30" t="s">
        <v>2129</v>
      </c>
      <c r="CJ59" s="30" t="s">
        <v>2129</v>
      </c>
      <c r="CK59" s="30" t="s">
        <v>2129</v>
      </c>
      <c r="CL59" s="30" t="s">
        <v>2129</v>
      </c>
      <c r="CM59" s="30" t="s">
        <v>2129</v>
      </c>
      <c r="CN59" s="30" t="s">
        <v>2129</v>
      </c>
      <c r="CO59" s="30" t="s">
        <v>2129</v>
      </c>
      <c r="CP59" s="30" t="s">
        <v>2129</v>
      </c>
      <c r="CQ59" s="30" t="s">
        <v>2129</v>
      </c>
      <c r="CR59" s="30" t="s">
        <v>2129</v>
      </c>
      <c r="CS59" s="30">
        <v>20</v>
      </c>
      <c r="CT59" s="30" t="s">
        <v>2129</v>
      </c>
      <c r="CU59" s="30" t="s">
        <v>2129</v>
      </c>
      <c r="CV59" s="30" t="s">
        <v>3344</v>
      </c>
      <c r="CW59" s="30" t="s">
        <v>3345</v>
      </c>
      <c r="CX59" s="30" t="s">
        <v>2129</v>
      </c>
      <c r="CY59" s="30" t="s">
        <v>2129</v>
      </c>
      <c r="CZ59" s="30" t="s">
        <v>2129</v>
      </c>
      <c r="DA59" s="30" t="s">
        <v>2129</v>
      </c>
      <c r="DB59" s="30" t="s">
        <v>2129</v>
      </c>
      <c r="DC59" s="30" t="s">
        <v>2129</v>
      </c>
      <c r="DD59" s="30" t="s">
        <v>2129</v>
      </c>
      <c r="DE59" s="30" t="s">
        <v>2129</v>
      </c>
      <c r="DF59" s="30" t="s">
        <v>2129</v>
      </c>
      <c r="DG59" s="30" t="s">
        <v>2129</v>
      </c>
      <c r="DH59" s="30" t="s">
        <v>2129</v>
      </c>
      <c r="DI59" s="30" t="s">
        <v>2129</v>
      </c>
      <c r="DJ59" s="30" t="s">
        <v>2129</v>
      </c>
      <c r="DK59" s="30" t="s">
        <v>2129</v>
      </c>
      <c r="DL59" s="30" t="s">
        <v>2129</v>
      </c>
      <c r="DM59" s="30" t="s">
        <v>2129</v>
      </c>
      <c r="DN59" s="30" t="s">
        <v>2129</v>
      </c>
      <c r="DO59" s="30" t="s">
        <v>2129</v>
      </c>
      <c r="DP59" s="30" t="s">
        <v>2129</v>
      </c>
      <c r="DQ59" s="43" t="s">
        <v>2129</v>
      </c>
    </row>
    <row r="60" spans="1:121" x14ac:dyDescent="0.25">
      <c r="A60" s="39" t="s">
        <v>2159</v>
      </c>
      <c r="B60" s="29" t="s">
        <v>2912</v>
      </c>
      <c r="C60" s="29">
        <v>22951</v>
      </c>
      <c r="D60" s="29"/>
      <c r="E60" s="29" t="s">
        <v>2136</v>
      </c>
      <c r="F60" s="29" t="s">
        <v>16</v>
      </c>
      <c r="G60" s="29" t="s">
        <v>2173</v>
      </c>
      <c r="H60" s="29" t="s">
        <v>50</v>
      </c>
      <c r="I60" s="29" t="s">
        <v>2127</v>
      </c>
      <c r="J60" s="29" t="s">
        <v>2156</v>
      </c>
      <c r="K60" s="29" t="s">
        <v>2129</v>
      </c>
      <c r="L60" s="29" t="s">
        <v>2174</v>
      </c>
      <c r="M60" s="29" t="s">
        <v>2130</v>
      </c>
      <c r="N60" s="29" t="s">
        <v>16</v>
      </c>
      <c r="O60" s="29" t="s">
        <v>2158</v>
      </c>
      <c r="P60" s="29" t="s">
        <v>2156</v>
      </c>
      <c r="Q60" s="29" t="s">
        <v>2156</v>
      </c>
      <c r="R60" s="45">
        <v>46062.331944444442</v>
      </c>
      <c r="S60" s="45">
        <v>46076.335416666669</v>
      </c>
      <c r="T60" s="45">
        <v>46087.717361111114</v>
      </c>
      <c r="U60" s="45">
        <v>46076.334722222222</v>
      </c>
      <c r="V60" s="29" t="s">
        <v>2129</v>
      </c>
      <c r="W60" s="29" t="s">
        <v>2129</v>
      </c>
      <c r="X60" s="29" t="s">
        <v>2129</v>
      </c>
      <c r="Y60" s="29">
        <v>0</v>
      </c>
      <c r="Z60" s="29" t="s">
        <v>2129</v>
      </c>
      <c r="AA60" s="29" t="s">
        <v>2129</v>
      </c>
      <c r="AB60" s="29" t="s">
        <v>2129</v>
      </c>
      <c r="AC60" s="29" t="s">
        <v>2129</v>
      </c>
      <c r="AD60" s="29" t="s">
        <v>2156</v>
      </c>
      <c r="AE60" s="29" t="s">
        <v>2129</v>
      </c>
      <c r="AF60" s="29" t="s">
        <v>2129</v>
      </c>
      <c r="AG60" s="29" t="s">
        <v>2129</v>
      </c>
      <c r="AH60" s="29" t="s">
        <v>2129</v>
      </c>
      <c r="AI60" s="29" t="s">
        <v>2913</v>
      </c>
      <c r="AJ60" s="29" t="s">
        <v>2914</v>
      </c>
      <c r="AK60" s="29" t="s">
        <v>2915</v>
      </c>
      <c r="AL60" s="29" t="s">
        <v>2916</v>
      </c>
      <c r="AM60" s="29" t="s">
        <v>2917</v>
      </c>
      <c r="AN60" s="29" t="s">
        <v>2918</v>
      </c>
      <c r="AO60" s="29" t="s">
        <v>2919</v>
      </c>
      <c r="AP60" s="29" t="s">
        <v>2920</v>
      </c>
      <c r="AQ60" s="29" t="s">
        <v>2921</v>
      </c>
      <c r="AR60" s="29" t="s">
        <v>3346</v>
      </c>
      <c r="AS60" s="29" t="s">
        <v>2129</v>
      </c>
      <c r="AT60" s="29" t="s">
        <v>2129</v>
      </c>
      <c r="AU60" s="29" t="s">
        <v>2129</v>
      </c>
      <c r="AV60" s="29" t="s">
        <v>2129</v>
      </c>
      <c r="AW60" s="29" t="s">
        <v>2129</v>
      </c>
      <c r="AX60" s="29">
        <v>0</v>
      </c>
      <c r="AY60" s="29">
        <v>219600</v>
      </c>
      <c r="AZ60" s="29" t="s">
        <v>2129</v>
      </c>
      <c r="BA60" s="29" t="s">
        <v>2129</v>
      </c>
      <c r="BB60" s="29">
        <v>0</v>
      </c>
      <c r="BC60" s="29">
        <v>219600</v>
      </c>
      <c r="BD60" s="29" t="s">
        <v>2129</v>
      </c>
      <c r="BE60" s="29" t="s">
        <v>2129</v>
      </c>
      <c r="BF60" s="29" t="s">
        <v>2129</v>
      </c>
      <c r="BG60" s="29" t="s">
        <v>2129</v>
      </c>
      <c r="BH60" s="29" t="s">
        <v>2129</v>
      </c>
      <c r="BI60" s="29" t="s">
        <v>2129</v>
      </c>
      <c r="BJ60" s="29" t="s">
        <v>2129</v>
      </c>
      <c r="BK60" s="29" t="s">
        <v>2129</v>
      </c>
      <c r="BL60" s="29" t="s">
        <v>2129</v>
      </c>
      <c r="BM60" s="29" t="s">
        <v>2129</v>
      </c>
      <c r="BN60" s="29" t="s">
        <v>2129</v>
      </c>
      <c r="BO60" s="29" t="s">
        <v>2129</v>
      </c>
      <c r="BP60" s="29" t="s">
        <v>2129</v>
      </c>
      <c r="BQ60" s="29" t="s">
        <v>2129</v>
      </c>
      <c r="BR60" s="29" t="s">
        <v>2129</v>
      </c>
      <c r="BS60" s="29" t="s">
        <v>2129</v>
      </c>
      <c r="BT60" s="29" t="s">
        <v>2129</v>
      </c>
      <c r="BU60" s="29" t="s">
        <v>2129</v>
      </c>
      <c r="BV60" s="29" t="s">
        <v>2129</v>
      </c>
      <c r="BW60" s="29" t="s">
        <v>2129</v>
      </c>
      <c r="BX60" s="29" t="s">
        <v>2129</v>
      </c>
      <c r="BY60" s="29" t="s">
        <v>2129</v>
      </c>
      <c r="BZ60" s="29" t="s">
        <v>2129</v>
      </c>
      <c r="CA60" s="29" t="s">
        <v>2129</v>
      </c>
      <c r="CB60" s="29" t="s">
        <v>2129</v>
      </c>
      <c r="CC60" s="29" t="s">
        <v>2129</v>
      </c>
      <c r="CD60" s="29" t="s">
        <v>2129</v>
      </c>
      <c r="CE60" s="29" t="s">
        <v>2922</v>
      </c>
      <c r="CF60" s="29" t="s">
        <v>2911</v>
      </c>
      <c r="CG60" s="29" t="s">
        <v>2129</v>
      </c>
      <c r="CH60" s="29" t="s">
        <v>2129</v>
      </c>
      <c r="CI60" s="29" t="s">
        <v>2129</v>
      </c>
      <c r="CJ60" s="29" t="s">
        <v>2129</v>
      </c>
      <c r="CK60" s="29" t="s">
        <v>2129</v>
      </c>
      <c r="CL60" s="29" t="s">
        <v>2129</v>
      </c>
      <c r="CM60" s="29" t="s">
        <v>2129</v>
      </c>
      <c r="CN60" s="29" t="s">
        <v>2129</v>
      </c>
      <c r="CO60" s="29" t="s">
        <v>2129</v>
      </c>
      <c r="CP60" s="29" t="s">
        <v>2129</v>
      </c>
      <c r="CQ60" s="29" t="s">
        <v>2129</v>
      </c>
      <c r="CR60" s="29" t="s">
        <v>2129</v>
      </c>
      <c r="CS60" s="29"/>
      <c r="CT60" s="29" t="s">
        <v>2129</v>
      </c>
      <c r="CU60" s="29" t="s">
        <v>2129</v>
      </c>
      <c r="CV60" s="29" t="s">
        <v>2129</v>
      </c>
      <c r="CW60" s="29" t="s">
        <v>2129</v>
      </c>
      <c r="CX60" s="29" t="s">
        <v>2129</v>
      </c>
      <c r="CY60" s="29" t="s">
        <v>2129</v>
      </c>
      <c r="CZ60" s="29" t="s">
        <v>2129</v>
      </c>
      <c r="DA60" s="29" t="s">
        <v>2129</v>
      </c>
      <c r="DB60" s="29" t="s">
        <v>2129</v>
      </c>
      <c r="DC60" s="29" t="s">
        <v>2129</v>
      </c>
      <c r="DD60" s="29" t="s">
        <v>2129</v>
      </c>
      <c r="DE60" s="29" t="s">
        <v>2129</v>
      </c>
      <c r="DF60" s="29" t="s">
        <v>2129</v>
      </c>
      <c r="DG60" s="29" t="s">
        <v>2129</v>
      </c>
      <c r="DH60" s="29" t="s">
        <v>2129</v>
      </c>
      <c r="DI60" s="29" t="s">
        <v>2129</v>
      </c>
      <c r="DJ60" s="29" t="s">
        <v>2129</v>
      </c>
      <c r="DK60" s="29" t="s">
        <v>2129</v>
      </c>
      <c r="DL60" s="29" t="s">
        <v>2129</v>
      </c>
      <c r="DM60" s="29" t="s">
        <v>2129</v>
      </c>
      <c r="DN60" s="29" t="s">
        <v>2129</v>
      </c>
      <c r="DO60" s="29" t="s">
        <v>2129</v>
      </c>
      <c r="DP60" s="29" t="s">
        <v>2129</v>
      </c>
      <c r="DQ60" s="42" t="s">
        <v>2129</v>
      </c>
    </row>
    <row r="61" spans="1:121" x14ac:dyDescent="0.25">
      <c r="A61" s="36" t="s">
        <v>2159</v>
      </c>
      <c r="B61" s="30" t="s">
        <v>2923</v>
      </c>
      <c r="C61" s="30">
        <v>22950</v>
      </c>
      <c r="D61" s="30"/>
      <c r="E61" s="30" t="s">
        <v>2136</v>
      </c>
      <c r="F61" s="30" t="s">
        <v>16</v>
      </c>
      <c r="G61" s="30" t="s">
        <v>2173</v>
      </c>
      <c r="H61" s="30" t="s">
        <v>50</v>
      </c>
      <c r="I61" s="30" t="s">
        <v>2127</v>
      </c>
      <c r="J61" s="30" t="s">
        <v>2156</v>
      </c>
      <c r="K61" s="30" t="s">
        <v>2129</v>
      </c>
      <c r="L61" s="30" t="s">
        <v>2174</v>
      </c>
      <c r="M61" s="30" t="s">
        <v>2130</v>
      </c>
      <c r="N61" s="30" t="s">
        <v>16</v>
      </c>
      <c r="O61" s="30" t="s">
        <v>2175</v>
      </c>
      <c r="P61" s="30" t="s">
        <v>2156</v>
      </c>
      <c r="Q61" s="30" t="s">
        <v>2156</v>
      </c>
      <c r="R61" s="46">
        <v>46062.331944444442</v>
      </c>
      <c r="S61" s="46">
        <v>46076.567361111112</v>
      </c>
      <c r="T61" s="46">
        <v>46087.717361111114</v>
      </c>
      <c r="U61" s="46">
        <v>46076.334027777775</v>
      </c>
      <c r="V61" s="30" t="s">
        <v>2129</v>
      </c>
      <c r="W61" s="30" t="s">
        <v>2129</v>
      </c>
      <c r="X61" s="30" t="s">
        <v>2129</v>
      </c>
      <c r="Y61" s="30">
        <v>0</v>
      </c>
      <c r="Z61" s="30" t="s">
        <v>2129</v>
      </c>
      <c r="AA61" s="30" t="s">
        <v>2129</v>
      </c>
      <c r="AB61" s="30" t="s">
        <v>2129</v>
      </c>
      <c r="AC61" s="30" t="s">
        <v>2129</v>
      </c>
      <c r="AD61" s="30" t="s">
        <v>2156</v>
      </c>
      <c r="AE61" s="30" t="s">
        <v>2129</v>
      </c>
      <c r="AF61" s="30" t="s">
        <v>2129</v>
      </c>
      <c r="AG61" s="30" t="s">
        <v>2129</v>
      </c>
      <c r="AH61" s="30" t="s">
        <v>2129</v>
      </c>
      <c r="AI61" s="30" t="s">
        <v>2924</v>
      </c>
      <c r="AJ61" s="30" t="s">
        <v>2925</v>
      </c>
      <c r="AK61" s="30" t="s">
        <v>2926</v>
      </c>
      <c r="AL61" s="30" t="s">
        <v>2927</v>
      </c>
      <c r="AM61" s="30" t="s">
        <v>2928</v>
      </c>
      <c r="AN61" s="30" t="s">
        <v>2929</v>
      </c>
      <c r="AO61" s="30" t="s">
        <v>2930</v>
      </c>
      <c r="AP61" s="30" t="s">
        <v>2931</v>
      </c>
      <c r="AQ61" s="30" t="s">
        <v>2932</v>
      </c>
      <c r="AR61" s="30" t="s">
        <v>3347</v>
      </c>
      <c r="AS61" s="30" t="s">
        <v>2129</v>
      </c>
      <c r="AT61" s="30" t="s">
        <v>2129</v>
      </c>
      <c r="AU61" s="30" t="s">
        <v>2129</v>
      </c>
      <c r="AV61" s="30" t="s">
        <v>2129</v>
      </c>
      <c r="AW61" s="30" t="s">
        <v>2129</v>
      </c>
      <c r="AX61" s="30">
        <v>0</v>
      </c>
      <c r="AY61" s="30">
        <v>217800</v>
      </c>
      <c r="AZ61" s="30" t="s">
        <v>2129</v>
      </c>
      <c r="BA61" s="30" t="s">
        <v>2129</v>
      </c>
      <c r="BB61" s="30">
        <v>0</v>
      </c>
      <c r="BC61" s="30">
        <v>217800</v>
      </c>
      <c r="BD61" s="30" t="s">
        <v>2129</v>
      </c>
      <c r="BE61" s="30" t="s">
        <v>2129</v>
      </c>
      <c r="BF61" s="30" t="s">
        <v>2129</v>
      </c>
      <c r="BG61" s="30" t="s">
        <v>2129</v>
      </c>
      <c r="BH61" s="30" t="s">
        <v>2129</v>
      </c>
      <c r="BI61" s="30" t="s">
        <v>2129</v>
      </c>
      <c r="BJ61" s="30" t="s">
        <v>2129</v>
      </c>
      <c r="BK61" s="30" t="s">
        <v>2129</v>
      </c>
      <c r="BL61" s="30" t="s">
        <v>2129</v>
      </c>
      <c r="BM61" s="30" t="s">
        <v>2129</v>
      </c>
      <c r="BN61" s="30" t="s">
        <v>2129</v>
      </c>
      <c r="BO61" s="30" t="s">
        <v>2129</v>
      </c>
      <c r="BP61" s="30" t="s">
        <v>2129</v>
      </c>
      <c r="BQ61" s="30" t="s">
        <v>2129</v>
      </c>
      <c r="BR61" s="30" t="s">
        <v>2129</v>
      </c>
      <c r="BS61" s="30" t="s">
        <v>2129</v>
      </c>
      <c r="BT61" s="30" t="s">
        <v>2129</v>
      </c>
      <c r="BU61" s="30" t="s">
        <v>2129</v>
      </c>
      <c r="BV61" s="30" t="s">
        <v>2129</v>
      </c>
      <c r="BW61" s="30" t="s">
        <v>2129</v>
      </c>
      <c r="BX61" s="30" t="s">
        <v>2129</v>
      </c>
      <c r="BY61" s="30" t="s">
        <v>2129</v>
      </c>
      <c r="BZ61" s="30" t="s">
        <v>2129</v>
      </c>
      <c r="CA61" s="30" t="s">
        <v>2129</v>
      </c>
      <c r="CB61" s="30" t="s">
        <v>2129</v>
      </c>
      <c r="CC61" s="30" t="s">
        <v>2129</v>
      </c>
      <c r="CD61" s="30" t="s">
        <v>2129</v>
      </c>
      <c r="CE61" s="30" t="s">
        <v>2933</v>
      </c>
      <c r="CF61" s="30" t="s">
        <v>2911</v>
      </c>
      <c r="CG61" s="30" t="s">
        <v>2129</v>
      </c>
      <c r="CH61" s="30" t="s">
        <v>2129</v>
      </c>
      <c r="CI61" s="30" t="s">
        <v>2129</v>
      </c>
      <c r="CJ61" s="30" t="s">
        <v>2129</v>
      </c>
      <c r="CK61" s="30" t="s">
        <v>2129</v>
      </c>
      <c r="CL61" s="30" t="s">
        <v>2129</v>
      </c>
      <c r="CM61" s="30" t="s">
        <v>2129</v>
      </c>
      <c r="CN61" s="30" t="s">
        <v>2129</v>
      </c>
      <c r="CO61" s="30" t="s">
        <v>2129</v>
      </c>
      <c r="CP61" s="30" t="s">
        <v>2129</v>
      </c>
      <c r="CQ61" s="30" t="s">
        <v>2129</v>
      </c>
      <c r="CR61" s="30" t="s">
        <v>2129</v>
      </c>
      <c r="CS61" s="30"/>
      <c r="CT61" s="30" t="s">
        <v>2129</v>
      </c>
      <c r="CU61" s="30" t="s">
        <v>2129</v>
      </c>
      <c r="CV61" s="30" t="s">
        <v>2129</v>
      </c>
      <c r="CW61" s="30" t="s">
        <v>2129</v>
      </c>
      <c r="CX61" s="30" t="s">
        <v>2129</v>
      </c>
      <c r="CY61" s="30" t="s">
        <v>2129</v>
      </c>
      <c r="CZ61" s="30" t="s">
        <v>2129</v>
      </c>
      <c r="DA61" s="30" t="s">
        <v>2129</v>
      </c>
      <c r="DB61" s="30" t="s">
        <v>2129</v>
      </c>
      <c r="DC61" s="30" t="s">
        <v>2129</v>
      </c>
      <c r="DD61" s="30" t="s">
        <v>2129</v>
      </c>
      <c r="DE61" s="30" t="s">
        <v>2129</v>
      </c>
      <c r="DF61" s="30" t="s">
        <v>2129</v>
      </c>
      <c r="DG61" s="30" t="s">
        <v>2129</v>
      </c>
      <c r="DH61" s="30" t="s">
        <v>2129</v>
      </c>
      <c r="DI61" s="30" t="s">
        <v>2129</v>
      </c>
      <c r="DJ61" s="30" t="s">
        <v>2129</v>
      </c>
      <c r="DK61" s="30" t="s">
        <v>2129</v>
      </c>
      <c r="DL61" s="30" t="s">
        <v>2129</v>
      </c>
      <c r="DM61" s="30" t="s">
        <v>2129</v>
      </c>
      <c r="DN61" s="30" t="s">
        <v>2129</v>
      </c>
      <c r="DO61" s="30" t="s">
        <v>2129</v>
      </c>
      <c r="DP61" s="30" t="s">
        <v>2129</v>
      </c>
      <c r="DQ61" s="43" t="s">
        <v>2129</v>
      </c>
    </row>
    <row r="62" spans="1:121" x14ac:dyDescent="0.25">
      <c r="A62" s="39" t="s">
        <v>2690</v>
      </c>
      <c r="B62" s="29" t="s">
        <v>2685</v>
      </c>
      <c r="C62" s="29">
        <v>22931</v>
      </c>
      <c r="D62" s="29"/>
      <c r="E62" s="29" t="s">
        <v>14</v>
      </c>
      <c r="F62" s="29" t="s">
        <v>1820</v>
      </c>
      <c r="G62" s="29" t="s">
        <v>2173</v>
      </c>
      <c r="H62" s="29" t="s">
        <v>50</v>
      </c>
      <c r="I62" s="29" t="s">
        <v>2127</v>
      </c>
      <c r="J62" s="29" t="s">
        <v>2156</v>
      </c>
      <c r="K62" s="29" t="s">
        <v>2129</v>
      </c>
      <c r="L62" s="29" t="s">
        <v>2174</v>
      </c>
      <c r="M62" s="29" t="s">
        <v>2130</v>
      </c>
      <c r="N62" s="29" t="s">
        <v>2129</v>
      </c>
      <c r="O62" s="29" t="s">
        <v>2156</v>
      </c>
      <c r="P62" s="29" t="s">
        <v>2145</v>
      </c>
      <c r="Q62" s="29" t="s">
        <v>2145</v>
      </c>
      <c r="R62" s="45">
        <v>46059.384722222225</v>
      </c>
      <c r="S62" s="45">
        <v>46085.59652777778</v>
      </c>
      <c r="T62" s="45">
        <v>46087.717361111114</v>
      </c>
      <c r="U62" s="45"/>
      <c r="V62" s="29" t="s">
        <v>2129</v>
      </c>
      <c r="W62" s="29" t="s">
        <v>2129</v>
      </c>
      <c r="X62" s="29" t="s">
        <v>2129</v>
      </c>
      <c r="Y62" s="29">
        <v>0</v>
      </c>
      <c r="Z62" s="29" t="s">
        <v>2129</v>
      </c>
      <c r="AA62" s="29" t="s">
        <v>2129</v>
      </c>
      <c r="AB62" s="29" t="s">
        <v>3348</v>
      </c>
      <c r="AC62" s="29" t="s">
        <v>2129</v>
      </c>
      <c r="AD62" s="29" t="s">
        <v>2145</v>
      </c>
      <c r="AE62" s="29" t="s">
        <v>2129</v>
      </c>
      <c r="AF62" s="29" t="s">
        <v>2129</v>
      </c>
      <c r="AG62" s="29" t="s">
        <v>2129</v>
      </c>
      <c r="AH62" s="29" t="s">
        <v>2129</v>
      </c>
      <c r="AI62" s="29" t="s">
        <v>2129</v>
      </c>
      <c r="AJ62" s="29" t="s">
        <v>2129</v>
      </c>
      <c r="AK62" s="29" t="s">
        <v>2129</v>
      </c>
      <c r="AL62" s="29" t="s">
        <v>2129</v>
      </c>
      <c r="AM62" s="29" t="s">
        <v>2129</v>
      </c>
      <c r="AN62" s="29" t="s">
        <v>2129</v>
      </c>
      <c r="AO62" s="29" t="s">
        <v>2129</v>
      </c>
      <c r="AP62" s="29" t="s">
        <v>2129</v>
      </c>
      <c r="AQ62" s="29" t="s">
        <v>2129</v>
      </c>
      <c r="AR62" s="29" t="s">
        <v>2129</v>
      </c>
      <c r="AS62" s="29" t="s">
        <v>2129</v>
      </c>
      <c r="AT62" s="29" t="s">
        <v>2129</v>
      </c>
      <c r="AU62" s="29" t="s">
        <v>2129</v>
      </c>
      <c r="AV62" s="29" t="s">
        <v>2129</v>
      </c>
      <c r="AW62" s="29" t="s">
        <v>2129</v>
      </c>
      <c r="AX62" s="29"/>
      <c r="AY62" s="29"/>
      <c r="AZ62" s="29" t="s">
        <v>2129</v>
      </c>
      <c r="BA62" s="29" t="s">
        <v>2129</v>
      </c>
      <c r="BB62" s="29"/>
      <c r="BC62" s="29"/>
      <c r="BD62" s="29" t="s">
        <v>2129</v>
      </c>
      <c r="BE62" s="29" t="s">
        <v>2129</v>
      </c>
      <c r="BF62" s="29" t="s">
        <v>2129</v>
      </c>
      <c r="BG62" s="29" t="s">
        <v>2129</v>
      </c>
      <c r="BH62" s="29" t="s">
        <v>2129</v>
      </c>
      <c r="BI62" s="29" t="s">
        <v>2129</v>
      </c>
      <c r="BJ62" s="29" t="s">
        <v>2129</v>
      </c>
      <c r="BK62" s="29" t="s">
        <v>2129</v>
      </c>
      <c r="BL62" s="29" t="s">
        <v>2129</v>
      </c>
      <c r="BM62" s="29" t="s">
        <v>2129</v>
      </c>
      <c r="BN62" s="29" t="s">
        <v>2129</v>
      </c>
      <c r="BO62" s="29" t="s">
        <v>2129</v>
      </c>
      <c r="BP62" s="29" t="s">
        <v>2129</v>
      </c>
      <c r="BQ62" s="29" t="s">
        <v>2129</v>
      </c>
      <c r="BR62" s="29" t="s">
        <v>2129</v>
      </c>
      <c r="BS62" s="29" t="s">
        <v>2129</v>
      </c>
      <c r="BT62" s="29" t="s">
        <v>2129</v>
      </c>
      <c r="BU62" s="29" t="s">
        <v>2129</v>
      </c>
      <c r="BV62" s="29" t="s">
        <v>2129</v>
      </c>
      <c r="BW62" s="29" t="s">
        <v>2129</v>
      </c>
      <c r="BX62" s="29" t="s">
        <v>2129</v>
      </c>
      <c r="BY62" s="29" t="s">
        <v>2129</v>
      </c>
      <c r="BZ62" s="29" t="s">
        <v>2129</v>
      </c>
      <c r="CA62" s="29" t="s">
        <v>2129</v>
      </c>
      <c r="CB62" s="29" t="s">
        <v>2129</v>
      </c>
      <c r="CC62" s="29" t="s">
        <v>2129</v>
      </c>
      <c r="CD62" s="29" t="s">
        <v>2129</v>
      </c>
      <c r="CE62" s="29" t="s">
        <v>3349</v>
      </c>
      <c r="CF62" s="29" t="s">
        <v>3317</v>
      </c>
      <c r="CG62" s="29" t="s">
        <v>2129</v>
      </c>
      <c r="CH62" s="29" t="s">
        <v>2129</v>
      </c>
      <c r="CI62" s="29" t="s">
        <v>2129</v>
      </c>
      <c r="CJ62" s="29" t="s">
        <v>2129</v>
      </c>
      <c r="CK62" s="29" t="s">
        <v>2129</v>
      </c>
      <c r="CL62" s="29" t="s">
        <v>2129</v>
      </c>
      <c r="CM62" s="29" t="s">
        <v>2129</v>
      </c>
      <c r="CN62" s="29" t="s">
        <v>2129</v>
      </c>
      <c r="CO62" s="29" t="s">
        <v>2129</v>
      </c>
      <c r="CP62" s="29" t="s">
        <v>2129</v>
      </c>
      <c r="CQ62" s="29" t="s">
        <v>2129</v>
      </c>
      <c r="CR62" s="29" t="s">
        <v>2129</v>
      </c>
      <c r="CS62" s="29"/>
      <c r="CT62" s="29" t="s">
        <v>2129</v>
      </c>
      <c r="CU62" s="29" t="s">
        <v>2129</v>
      </c>
      <c r="CV62" s="29" t="s">
        <v>2129</v>
      </c>
      <c r="CW62" s="29" t="s">
        <v>2129</v>
      </c>
      <c r="CX62" s="29" t="s">
        <v>2129</v>
      </c>
      <c r="CY62" s="29" t="s">
        <v>2129</v>
      </c>
      <c r="CZ62" s="29" t="s">
        <v>2129</v>
      </c>
      <c r="DA62" s="29" t="s">
        <v>2129</v>
      </c>
      <c r="DB62" s="29" t="s">
        <v>2129</v>
      </c>
      <c r="DC62" s="29" t="s">
        <v>2129</v>
      </c>
      <c r="DD62" s="29" t="s">
        <v>2129</v>
      </c>
      <c r="DE62" s="29" t="s">
        <v>2129</v>
      </c>
      <c r="DF62" s="29" t="s">
        <v>2129</v>
      </c>
      <c r="DG62" s="29" t="s">
        <v>2129</v>
      </c>
      <c r="DH62" s="29" t="s">
        <v>2129</v>
      </c>
      <c r="DI62" s="29" t="s">
        <v>2129</v>
      </c>
      <c r="DJ62" s="29" t="s">
        <v>2129</v>
      </c>
      <c r="DK62" s="29" t="s">
        <v>2129</v>
      </c>
      <c r="DL62" s="29" t="s">
        <v>2129</v>
      </c>
      <c r="DM62" s="29" t="s">
        <v>2129</v>
      </c>
      <c r="DN62" s="29" t="s">
        <v>2129</v>
      </c>
      <c r="DO62" s="29" t="s">
        <v>2129</v>
      </c>
      <c r="DP62" s="29" t="s">
        <v>2129</v>
      </c>
      <c r="DQ62" s="42" t="s">
        <v>2129</v>
      </c>
    </row>
    <row r="63" spans="1:121" x14ac:dyDescent="0.25">
      <c r="A63" s="36" t="s">
        <v>2672</v>
      </c>
      <c r="B63" s="30" t="s">
        <v>2663</v>
      </c>
      <c r="C63" s="30">
        <v>22912</v>
      </c>
      <c r="D63" s="30"/>
      <c r="E63" s="30" t="s">
        <v>14</v>
      </c>
      <c r="F63" s="30" t="s">
        <v>16</v>
      </c>
      <c r="G63" s="30" t="s">
        <v>2173</v>
      </c>
      <c r="H63" s="30" t="s">
        <v>50</v>
      </c>
      <c r="I63" s="30" t="s">
        <v>2127</v>
      </c>
      <c r="J63" s="30" t="s">
        <v>2156</v>
      </c>
      <c r="K63" s="30" t="s">
        <v>2129</v>
      </c>
      <c r="L63" s="30" t="s">
        <v>2174</v>
      </c>
      <c r="M63" s="30" t="s">
        <v>2130</v>
      </c>
      <c r="N63" s="30" t="s">
        <v>2153</v>
      </c>
      <c r="O63" s="30" t="s">
        <v>2150</v>
      </c>
      <c r="P63" s="30" t="s">
        <v>2145</v>
      </c>
      <c r="Q63" s="30" t="s">
        <v>2145</v>
      </c>
      <c r="R63" s="46">
        <v>46051.613194444442</v>
      </c>
      <c r="S63" s="46">
        <v>46079.5625</v>
      </c>
      <c r="T63" s="46">
        <v>46087.717361111114</v>
      </c>
      <c r="U63" s="46">
        <v>46063.539583333331</v>
      </c>
      <c r="V63" s="30" t="s">
        <v>3318</v>
      </c>
      <c r="W63" s="30" t="s">
        <v>2129</v>
      </c>
      <c r="X63" s="30" t="s">
        <v>2129</v>
      </c>
      <c r="Y63" s="30">
        <v>0</v>
      </c>
      <c r="Z63" s="30" t="s">
        <v>2129</v>
      </c>
      <c r="AA63" s="30" t="s">
        <v>2129</v>
      </c>
      <c r="AB63" s="30" t="s">
        <v>2710</v>
      </c>
      <c r="AC63" s="30" t="s">
        <v>2129</v>
      </c>
      <c r="AD63" s="30" t="s">
        <v>2145</v>
      </c>
      <c r="AE63" s="30" t="s">
        <v>2150</v>
      </c>
      <c r="AF63" s="30" t="s">
        <v>2175</v>
      </c>
      <c r="AG63" s="30" t="s">
        <v>2129</v>
      </c>
      <c r="AH63" s="30" t="s">
        <v>2129</v>
      </c>
      <c r="AI63" s="30" t="s">
        <v>2711</v>
      </c>
      <c r="AJ63" s="30" t="s">
        <v>2712</v>
      </c>
      <c r="AK63" s="30" t="s">
        <v>2713</v>
      </c>
      <c r="AL63" s="30" t="s">
        <v>2934</v>
      </c>
      <c r="AM63" s="30" t="s">
        <v>2129</v>
      </c>
      <c r="AN63" s="30" t="s">
        <v>2129</v>
      </c>
      <c r="AO63" s="30" t="s">
        <v>2129</v>
      </c>
      <c r="AP63" s="30" t="s">
        <v>2129</v>
      </c>
      <c r="AQ63" s="30" t="s">
        <v>2129</v>
      </c>
      <c r="AR63" s="30" t="s">
        <v>2129</v>
      </c>
      <c r="AS63" s="30" t="s">
        <v>2129</v>
      </c>
      <c r="AT63" s="30" t="s">
        <v>2129</v>
      </c>
      <c r="AU63" s="30" t="s">
        <v>2129</v>
      </c>
      <c r="AV63" s="30" t="s">
        <v>2129</v>
      </c>
      <c r="AW63" s="30" t="s">
        <v>2129</v>
      </c>
      <c r="AX63" s="30">
        <v>0</v>
      </c>
      <c r="AY63" s="30">
        <v>54000</v>
      </c>
      <c r="AZ63" s="30" t="s">
        <v>2129</v>
      </c>
      <c r="BA63" s="30" t="s">
        <v>2129</v>
      </c>
      <c r="BB63" s="30">
        <v>0</v>
      </c>
      <c r="BC63" s="30">
        <v>54000</v>
      </c>
      <c r="BD63" s="30" t="s">
        <v>2129</v>
      </c>
      <c r="BE63" s="30" t="s">
        <v>2129</v>
      </c>
      <c r="BF63" s="30" t="s">
        <v>2129</v>
      </c>
      <c r="BG63" s="30" t="s">
        <v>2129</v>
      </c>
      <c r="BH63" s="30" t="s">
        <v>2129</v>
      </c>
      <c r="BI63" s="30" t="s">
        <v>2129</v>
      </c>
      <c r="BJ63" s="30" t="s">
        <v>2129</v>
      </c>
      <c r="BK63" s="30" t="s">
        <v>2129</v>
      </c>
      <c r="BL63" s="30" t="s">
        <v>2129</v>
      </c>
      <c r="BM63" s="30" t="s">
        <v>2129</v>
      </c>
      <c r="BN63" s="30" t="s">
        <v>2129</v>
      </c>
      <c r="BO63" s="30" t="s">
        <v>2129</v>
      </c>
      <c r="BP63" s="30" t="s">
        <v>2129</v>
      </c>
      <c r="BQ63" s="30" t="s">
        <v>2129</v>
      </c>
      <c r="BR63" s="30" t="s">
        <v>2129</v>
      </c>
      <c r="BS63" s="30" t="s">
        <v>2129</v>
      </c>
      <c r="BT63" s="30" t="s">
        <v>2129</v>
      </c>
      <c r="BU63" s="30" t="s">
        <v>2129</v>
      </c>
      <c r="BV63" s="30" t="s">
        <v>2129</v>
      </c>
      <c r="BW63" s="30" t="s">
        <v>2129</v>
      </c>
      <c r="BX63" s="30" t="s">
        <v>2129</v>
      </c>
      <c r="BY63" s="30" t="s">
        <v>2129</v>
      </c>
      <c r="BZ63" s="30" t="s">
        <v>2129</v>
      </c>
      <c r="CA63" s="30" t="s">
        <v>2129</v>
      </c>
      <c r="CB63" s="30" t="s">
        <v>2129</v>
      </c>
      <c r="CC63" s="30" t="s">
        <v>2129</v>
      </c>
      <c r="CD63" s="30" t="s">
        <v>2129</v>
      </c>
      <c r="CE63" s="30" t="s">
        <v>2714</v>
      </c>
      <c r="CF63" s="30" t="s">
        <v>2715</v>
      </c>
      <c r="CG63" s="30" t="s">
        <v>2911</v>
      </c>
      <c r="CH63" s="30" t="s">
        <v>2129</v>
      </c>
      <c r="CI63" s="30" t="s">
        <v>2129</v>
      </c>
      <c r="CJ63" s="30" t="s">
        <v>2129</v>
      </c>
      <c r="CK63" s="30" t="s">
        <v>2129</v>
      </c>
      <c r="CL63" s="30" t="s">
        <v>2129</v>
      </c>
      <c r="CM63" s="30" t="s">
        <v>2129</v>
      </c>
      <c r="CN63" s="30" t="s">
        <v>2129</v>
      </c>
      <c r="CO63" s="30" t="s">
        <v>2129</v>
      </c>
      <c r="CP63" s="30" t="s">
        <v>2129</v>
      </c>
      <c r="CQ63" s="30" t="s">
        <v>2129</v>
      </c>
      <c r="CR63" s="30" t="s">
        <v>2129</v>
      </c>
      <c r="CS63" s="30">
        <v>30</v>
      </c>
      <c r="CT63" s="30" t="s">
        <v>2129</v>
      </c>
      <c r="CU63" s="30" t="s">
        <v>2129</v>
      </c>
      <c r="CV63" s="30" t="s">
        <v>2716</v>
      </c>
      <c r="CW63" s="30" t="s">
        <v>2935</v>
      </c>
      <c r="CX63" s="30" t="s">
        <v>2129</v>
      </c>
      <c r="CY63" s="30" t="s">
        <v>2129</v>
      </c>
      <c r="CZ63" s="30" t="s">
        <v>2129</v>
      </c>
      <c r="DA63" s="30" t="s">
        <v>2129</v>
      </c>
      <c r="DB63" s="30" t="s">
        <v>2129</v>
      </c>
      <c r="DC63" s="30" t="s">
        <v>2129</v>
      </c>
      <c r="DD63" s="30" t="s">
        <v>2129</v>
      </c>
      <c r="DE63" s="30" t="s">
        <v>2129</v>
      </c>
      <c r="DF63" s="30" t="s">
        <v>2129</v>
      </c>
      <c r="DG63" s="30" t="s">
        <v>2129</v>
      </c>
      <c r="DH63" s="30" t="s">
        <v>2129</v>
      </c>
      <c r="DI63" s="30" t="s">
        <v>2129</v>
      </c>
      <c r="DJ63" s="30" t="s">
        <v>2129</v>
      </c>
      <c r="DK63" s="30" t="s">
        <v>2129</v>
      </c>
      <c r="DL63" s="30" t="s">
        <v>2129</v>
      </c>
      <c r="DM63" s="30" t="s">
        <v>2129</v>
      </c>
      <c r="DN63" s="30" t="s">
        <v>2129</v>
      </c>
      <c r="DO63" s="30" t="s">
        <v>2129</v>
      </c>
      <c r="DP63" s="30" t="s">
        <v>2129</v>
      </c>
      <c r="DQ63" s="43" t="s">
        <v>2129</v>
      </c>
    </row>
    <row r="64" spans="1:121" x14ac:dyDescent="0.25">
      <c r="A64" s="39" t="s">
        <v>2673</v>
      </c>
      <c r="B64" s="29" t="s">
        <v>2664</v>
      </c>
      <c r="C64" s="29">
        <v>22908</v>
      </c>
      <c r="D64" s="29"/>
      <c r="E64" s="29" t="s">
        <v>77</v>
      </c>
      <c r="F64" s="29" t="s">
        <v>16</v>
      </c>
      <c r="G64" s="29" t="s">
        <v>2173</v>
      </c>
      <c r="H64" s="29" t="s">
        <v>50</v>
      </c>
      <c r="I64" s="29" t="s">
        <v>2127</v>
      </c>
      <c r="J64" s="29" t="s">
        <v>2156</v>
      </c>
      <c r="K64" s="29" t="s">
        <v>2129</v>
      </c>
      <c r="L64" s="29" t="s">
        <v>2174</v>
      </c>
      <c r="M64" s="29" t="s">
        <v>2130</v>
      </c>
      <c r="N64" s="29" t="s">
        <v>2153</v>
      </c>
      <c r="O64" s="29" t="s">
        <v>2150</v>
      </c>
      <c r="P64" s="29" t="s">
        <v>2156</v>
      </c>
      <c r="Q64" s="29" t="s">
        <v>2156</v>
      </c>
      <c r="R64" s="45">
        <v>46051.526388888888</v>
      </c>
      <c r="S64" s="45">
        <v>46079.564583333333</v>
      </c>
      <c r="T64" s="45">
        <v>46087.717361111114</v>
      </c>
      <c r="U64" s="45">
        <v>46051.675000000003</v>
      </c>
      <c r="V64" s="29" t="s">
        <v>3318</v>
      </c>
      <c r="W64" s="29" t="s">
        <v>2129</v>
      </c>
      <c r="X64" s="29" t="s">
        <v>2129</v>
      </c>
      <c r="Y64" s="29">
        <v>0</v>
      </c>
      <c r="Z64" s="29" t="s">
        <v>2129</v>
      </c>
      <c r="AA64" s="29" t="s">
        <v>2129</v>
      </c>
      <c r="AB64" s="29" t="s">
        <v>3350</v>
      </c>
      <c r="AC64" s="29" t="s">
        <v>2129</v>
      </c>
      <c r="AD64" s="29" t="s">
        <v>2158</v>
      </c>
      <c r="AE64" s="29" t="s">
        <v>2150</v>
      </c>
      <c r="AF64" s="29" t="s">
        <v>2156</v>
      </c>
      <c r="AG64" s="29" t="s">
        <v>2129</v>
      </c>
      <c r="AH64" s="29" t="s">
        <v>2129</v>
      </c>
      <c r="AI64" s="29" t="s">
        <v>3351</v>
      </c>
      <c r="AJ64" s="29" t="s">
        <v>3352</v>
      </c>
      <c r="AK64" s="29" t="s">
        <v>2129</v>
      </c>
      <c r="AL64" s="29" t="s">
        <v>2129</v>
      </c>
      <c r="AM64" s="29" t="s">
        <v>2129</v>
      </c>
      <c r="AN64" s="29" t="s">
        <v>2129</v>
      </c>
      <c r="AO64" s="29" t="s">
        <v>2129</v>
      </c>
      <c r="AP64" s="29" t="s">
        <v>2129</v>
      </c>
      <c r="AQ64" s="29" t="s">
        <v>2129</v>
      </c>
      <c r="AR64" s="29" t="s">
        <v>2129</v>
      </c>
      <c r="AS64" s="29" t="s">
        <v>2129</v>
      </c>
      <c r="AT64" s="29" t="s">
        <v>2129</v>
      </c>
      <c r="AU64" s="29" t="s">
        <v>2129</v>
      </c>
      <c r="AV64" s="29" t="s">
        <v>2129</v>
      </c>
      <c r="AW64" s="29" t="s">
        <v>2129</v>
      </c>
      <c r="AX64" s="29">
        <v>0</v>
      </c>
      <c r="AY64" s="29">
        <v>4500</v>
      </c>
      <c r="AZ64" s="29" t="s">
        <v>2129</v>
      </c>
      <c r="BA64" s="29" t="s">
        <v>2129</v>
      </c>
      <c r="BB64" s="29">
        <v>0</v>
      </c>
      <c r="BC64" s="29">
        <v>4500</v>
      </c>
      <c r="BD64" s="29" t="s">
        <v>2129</v>
      </c>
      <c r="BE64" s="29" t="s">
        <v>2621</v>
      </c>
      <c r="BF64" s="29" t="s">
        <v>2129</v>
      </c>
      <c r="BG64" s="29" t="s">
        <v>2129</v>
      </c>
      <c r="BH64" s="29" t="s">
        <v>2129</v>
      </c>
      <c r="BI64" s="29" t="s">
        <v>2129</v>
      </c>
      <c r="BJ64" s="29" t="s">
        <v>2129</v>
      </c>
      <c r="BK64" s="29" t="s">
        <v>3353</v>
      </c>
      <c r="BL64" s="29" t="s">
        <v>3354</v>
      </c>
      <c r="BM64" s="29" t="s">
        <v>3355</v>
      </c>
      <c r="BN64" s="29" t="s">
        <v>2129</v>
      </c>
      <c r="BO64" s="29" t="s">
        <v>2129</v>
      </c>
      <c r="BP64" s="29" t="s">
        <v>2129</v>
      </c>
      <c r="BQ64" s="29" t="s">
        <v>2129</v>
      </c>
      <c r="BR64" s="29" t="s">
        <v>2129</v>
      </c>
      <c r="BS64" s="29" t="s">
        <v>2129</v>
      </c>
      <c r="BT64" s="29" t="s">
        <v>2129</v>
      </c>
      <c r="BU64" s="29" t="s">
        <v>2129</v>
      </c>
      <c r="BV64" s="29" t="s">
        <v>2129</v>
      </c>
      <c r="BW64" s="29" t="s">
        <v>2129</v>
      </c>
      <c r="BX64" s="29" t="s">
        <v>2129</v>
      </c>
      <c r="BY64" s="29" t="s">
        <v>2129</v>
      </c>
      <c r="BZ64" s="29" t="s">
        <v>2129</v>
      </c>
      <c r="CA64" s="29" t="s">
        <v>2129</v>
      </c>
      <c r="CB64" s="29" t="s">
        <v>2129</v>
      </c>
      <c r="CC64" s="29" t="s">
        <v>2129</v>
      </c>
      <c r="CD64" s="29" t="s">
        <v>2129</v>
      </c>
      <c r="CE64" s="29" t="s">
        <v>3356</v>
      </c>
      <c r="CF64" s="29" t="s">
        <v>2715</v>
      </c>
      <c r="CG64" s="29" t="s">
        <v>2129</v>
      </c>
      <c r="CH64" s="29" t="s">
        <v>2129</v>
      </c>
      <c r="CI64" s="29" t="s">
        <v>2129</v>
      </c>
      <c r="CJ64" s="29" t="s">
        <v>2129</v>
      </c>
      <c r="CK64" s="29" t="s">
        <v>2129</v>
      </c>
      <c r="CL64" s="29" t="s">
        <v>2129</v>
      </c>
      <c r="CM64" s="29" t="s">
        <v>2129</v>
      </c>
      <c r="CN64" s="29" t="s">
        <v>2129</v>
      </c>
      <c r="CO64" s="29" t="s">
        <v>2129</v>
      </c>
      <c r="CP64" s="29" t="s">
        <v>2129</v>
      </c>
      <c r="CQ64" s="29" t="s">
        <v>2129</v>
      </c>
      <c r="CR64" s="29" t="s">
        <v>2129</v>
      </c>
      <c r="CS64" s="29">
        <v>10</v>
      </c>
      <c r="CT64" s="29" t="s">
        <v>2129</v>
      </c>
      <c r="CU64" s="29" t="s">
        <v>2129</v>
      </c>
      <c r="CV64" s="29" t="s">
        <v>3357</v>
      </c>
      <c r="CW64" s="29" t="s">
        <v>3358</v>
      </c>
      <c r="CX64" s="29" t="s">
        <v>2129</v>
      </c>
      <c r="CY64" s="29" t="s">
        <v>2129</v>
      </c>
      <c r="CZ64" s="29" t="s">
        <v>2129</v>
      </c>
      <c r="DA64" s="29" t="s">
        <v>2129</v>
      </c>
      <c r="DB64" s="29" t="s">
        <v>2129</v>
      </c>
      <c r="DC64" s="29" t="s">
        <v>2129</v>
      </c>
      <c r="DD64" s="29" t="s">
        <v>2129</v>
      </c>
      <c r="DE64" s="29" t="s">
        <v>2129</v>
      </c>
      <c r="DF64" s="29" t="s">
        <v>2129</v>
      </c>
      <c r="DG64" s="29" t="s">
        <v>2129</v>
      </c>
      <c r="DH64" s="29" t="s">
        <v>2129</v>
      </c>
      <c r="DI64" s="29" t="s">
        <v>2129</v>
      </c>
      <c r="DJ64" s="29" t="s">
        <v>2129</v>
      </c>
      <c r="DK64" s="29" t="s">
        <v>2129</v>
      </c>
      <c r="DL64" s="29" t="s">
        <v>2129</v>
      </c>
      <c r="DM64" s="29" t="s">
        <v>2129</v>
      </c>
      <c r="DN64" s="29" t="s">
        <v>2129</v>
      </c>
      <c r="DO64" s="29" t="s">
        <v>2129</v>
      </c>
      <c r="DP64" s="29" t="s">
        <v>2129</v>
      </c>
      <c r="DQ64" s="42" t="s">
        <v>2129</v>
      </c>
    </row>
    <row r="65" spans="1:121" x14ac:dyDescent="0.25">
      <c r="A65" s="36" t="s">
        <v>2620</v>
      </c>
      <c r="B65" s="30" t="s">
        <v>2621</v>
      </c>
      <c r="C65" s="30">
        <v>22863</v>
      </c>
      <c r="D65" s="30"/>
      <c r="E65" s="30" t="s">
        <v>77</v>
      </c>
      <c r="F65" s="30" t="s">
        <v>16</v>
      </c>
      <c r="G65" s="30" t="s">
        <v>2173</v>
      </c>
      <c r="H65" s="30" t="s">
        <v>50</v>
      </c>
      <c r="I65" s="30" t="s">
        <v>2127</v>
      </c>
      <c r="J65" s="30" t="s">
        <v>2156</v>
      </c>
      <c r="K65" s="30" t="s">
        <v>2129</v>
      </c>
      <c r="L65" s="30" t="s">
        <v>2174</v>
      </c>
      <c r="M65" s="30" t="s">
        <v>2130</v>
      </c>
      <c r="N65" s="30" t="s">
        <v>2153</v>
      </c>
      <c r="O65" s="30" t="s">
        <v>2150</v>
      </c>
      <c r="P65" s="30" t="s">
        <v>2156</v>
      </c>
      <c r="Q65" s="30" t="s">
        <v>2156</v>
      </c>
      <c r="R65" s="46">
        <v>46043.623611111114</v>
      </c>
      <c r="S65" s="46">
        <v>46079.56527777778</v>
      </c>
      <c r="T65" s="46">
        <v>46087.717361111114</v>
      </c>
      <c r="U65" s="46">
        <v>46050.670138888891</v>
      </c>
      <c r="V65" s="30" t="s">
        <v>3318</v>
      </c>
      <c r="W65" s="30" t="s">
        <v>2129</v>
      </c>
      <c r="X65" s="30" t="s">
        <v>2129</v>
      </c>
      <c r="Y65" s="30">
        <v>0</v>
      </c>
      <c r="Z65" s="30" t="s">
        <v>2129</v>
      </c>
      <c r="AA65" s="30" t="s">
        <v>2129</v>
      </c>
      <c r="AB65" s="30" t="s">
        <v>3359</v>
      </c>
      <c r="AC65" s="30" t="s">
        <v>2129</v>
      </c>
      <c r="AD65" s="30" t="s">
        <v>2150</v>
      </c>
      <c r="AE65" s="30" t="s">
        <v>2156</v>
      </c>
      <c r="AF65" s="30" t="s">
        <v>2129</v>
      </c>
      <c r="AG65" s="30" t="s">
        <v>2129</v>
      </c>
      <c r="AH65" s="30" t="s">
        <v>2129</v>
      </c>
      <c r="AI65" s="30" t="s">
        <v>3360</v>
      </c>
      <c r="AJ65" s="30" t="s">
        <v>2129</v>
      </c>
      <c r="AK65" s="30" t="s">
        <v>2129</v>
      </c>
      <c r="AL65" s="30" t="s">
        <v>2129</v>
      </c>
      <c r="AM65" s="30" t="s">
        <v>2129</v>
      </c>
      <c r="AN65" s="30" t="s">
        <v>2129</v>
      </c>
      <c r="AO65" s="30" t="s">
        <v>2129</v>
      </c>
      <c r="AP65" s="30" t="s">
        <v>2129</v>
      </c>
      <c r="AQ65" s="30" t="s">
        <v>2129</v>
      </c>
      <c r="AR65" s="30" t="s">
        <v>2129</v>
      </c>
      <c r="AS65" s="30" t="s">
        <v>2129</v>
      </c>
      <c r="AT65" s="30" t="s">
        <v>2129</v>
      </c>
      <c r="AU65" s="30" t="s">
        <v>2129</v>
      </c>
      <c r="AV65" s="30" t="s">
        <v>2129</v>
      </c>
      <c r="AW65" s="30" t="s">
        <v>2129</v>
      </c>
      <c r="AX65" s="30">
        <v>0</v>
      </c>
      <c r="AY65" s="30">
        <v>1800</v>
      </c>
      <c r="AZ65" s="30" t="s">
        <v>2129</v>
      </c>
      <c r="BA65" s="30" t="s">
        <v>2129</v>
      </c>
      <c r="BB65" s="30">
        <v>0</v>
      </c>
      <c r="BC65" s="30">
        <v>1800</v>
      </c>
      <c r="BD65" s="30" t="s">
        <v>2129</v>
      </c>
      <c r="BE65" s="30" t="s">
        <v>2129</v>
      </c>
      <c r="BF65" s="30" t="s">
        <v>2129</v>
      </c>
      <c r="BG65" s="30" t="s">
        <v>2129</v>
      </c>
      <c r="BH65" s="30" t="s">
        <v>2129</v>
      </c>
      <c r="BI65" s="30" t="s">
        <v>2129</v>
      </c>
      <c r="BJ65" s="30" t="s">
        <v>2129</v>
      </c>
      <c r="BK65" s="30" t="s">
        <v>3361</v>
      </c>
      <c r="BL65" s="30" t="s">
        <v>3362</v>
      </c>
      <c r="BM65" s="30" t="s">
        <v>3363</v>
      </c>
      <c r="BN65" s="30" t="s">
        <v>2129</v>
      </c>
      <c r="BO65" s="30" t="s">
        <v>2129</v>
      </c>
      <c r="BP65" s="30" t="s">
        <v>2129</v>
      </c>
      <c r="BQ65" s="30" t="s">
        <v>2129</v>
      </c>
      <c r="BR65" s="30" t="s">
        <v>2129</v>
      </c>
      <c r="BS65" s="30" t="s">
        <v>2129</v>
      </c>
      <c r="BT65" s="30" t="s">
        <v>2129</v>
      </c>
      <c r="BU65" s="30" t="s">
        <v>2129</v>
      </c>
      <c r="BV65" s="30" t="s">
        <v>2129</v>
      </c>
      <c r="BW65" s="30" t="s">
        <v>2129</v>
      </c>
      <c r="BX65" s="30" t="s">
        <v>2129</v>
      </c>
      <c r="BY65" s="30" t="s">
        <v>2129</v>
      </c>
      <c r="BZ65" s="30" t="s">
        <v>2129</v>
      </c>
      <c r="CA65" s="30" t="s">
        <v>2129</v>
      </c>
      <c r="CB65" s="30" t="s">
        <v>2129</v>
      </c>
      <c r="CC65" s="30" t="s">
        <v>2129</v>
      </c>
      <c r="CD65" s="30" t="s">
        <v>2129</v>
      </c>
      <c r="CE65" s="30" t="s">
        <v>3364</v>
      </c>
      <c r="CF65" s="30" t="s">
        <v>2715</v>
      </c>
      <c r="CG65" s="30" t="s">
        <v>2129</v>
      </c>
      <c r="CH65" s="30" t="s">
        <v>2129</v>
      </c>
      <c r="CI65" s="30" t="s">
        <v>2129</v>
      </c>
      <c r="CJ65" s="30" t="s">
        <v>2129</v>
      </c>
      <c r="CK65" s="30" t="s">
        <v>2129</v>
      </c>
      <c r="CL65" s="30" t="s">
        <v>2129</v>
      </c>
      <c r="CM65" s="30" t="s">
        <v>2129</v>
      </c>
      <c r="CN65" s="30" t="s">
        <v>2129</v>
      </c>
      <c r="CO65" s="30" t="s">
        <v>2129</v>
      </c>
      <c r="CP65" s="30" t="s">
        <v>2129</v>
      </c>
      <c r="CQ65" s="30" t="s">
        <v>2129</v>
      </c>
      <c r="CR65" s="30" t="s">
        <v>2129</v>
      </c>
      <c r="CS65" s="30"/>
      <c r="CT65" s="30" t="s">
        <v>2129</v>
      </c>
      <c r="CU65" s="30" t="s">
        <v>2129</v>
      </c>
      <c r="CV65" s="30" t="s">
        <v>3365</v>
      </c>
      <c r="CW65" s="30" t="s">
        <v>2129</v>
      </c>
      <c r="CX65" s="30" t="s">
        <v>2129</v>
      </c>
      <c r="CY65" s="30" t="s">
        <v>2129</v>
      </c>
      <c r="CZ65" s="30" t="s">
        <v>2129</v>
      </c>
      <c r="DA65" s="30" t="s">
        <v>2129</v>
      </c>
      <c r="DB65" s="30" t="s">
        <v>2129</v>
      </c>
      <c r="DC65" s="30" t="s">
        <v>2129</v>
      </c>
      <c r="DD65" s="30" t="s">
        <v>2129</v>
      </c>
      <c r="DE65" s="30" t="s">
        <v>2129</v>
      </c>
      <c r="DF65" s="30" t="s">
        <v>2129</v>
      </c>
      <c r="DG65" s="30" t="s">
        <v>2129</v>
      </c>
      <c r="DH65" s="30" t="s">
        <v>2129</v>
      </c>
      <c r="DI65" s="30" t="s">
        <v>2129</v>
      </c>
      <c r="DJ65" s="30" t="s">
        <v>2129</v>
      </c>
      <c r="DK65" s="30" t="s">
        <v>2129</v>
      </c>
      <c r="DL65" s="30" t="s">
        <v>2129</v>
      </c>
      <c r="DM65" s="30" t="s">
        <v>2129</v>
      </c>
      <c r="DN65" s="30" t="s">
        <v>2129</v>
      </c>
      <c r="DO65" s="30" t="s">
        <v>2129</v>
      </c>
      <c r="DP65" s="30" t="s">
        <v>2129</v>
      </c>
      <c r="DQ65" s="43" t="s">
        <v>2129</v>
      </c>
    </row>
    <row r="66" spans="1:121" x14ac:dyDescent="0.25">
      <c r="A66" s="39" t="s">
        <v>2338</v>
      </c>
      <c r="B66" s="29" t="s">
        <v>2330</v>
      </c>
      <c r="C66" s="29">
        <v>22711</v>
      </c>
      <c r="D66" s="29"/>
      <c r="E66" s="29" t="s">
        <v>14</v>
      </c>
      <c r="F66" s="29" t="s">
        <v>16</v>
      </c>
      <c r="G66" s="29" t="s">
        <v>2173</v>
      </c>
      <c r="H66" s="29" t="s">
        <v>50</v>
      </c>
      <c r="I66" s="29" t="s">
        <v>2127</v>
      </c>
      <c r="J66" s="29" t="s">
        <v>2156</v>
      </c>
      <c r="K66" s="29" t="s">
        <v>2129</v>
      </c>
      <c r="L66" s="29" t="s">
        <v>2174</v>
      </c>
      <c r="M66" s="29" t="s">
        <v>2130</v>
      </c>
      <c r="N66" s="29" t="s">
        <v>2153</v>
      </c>
      <c r="O66" s="29" t="s">
        <v>2150</v>
      </c>
      <c r="P66" s="29" t="s">
        <v>2145</v>
      </c>
      <c r="Q66" s="29" t="s">
        <v>2145</v>
      </c>
      <c r="R66" s="45">
        <v>46016.379861111112</v>
      </c>
      <c r="S66" s="45">
        <v>46079.56527777778</v>
      </c>
      <c r="T66" s="45">
        <v>46087.717361111114</v>
      </c>
      <c r="U66" s="45">
        <v>46017.613194444442</v>
      </c>
      <c r="V66" s="29" t="s">
        <v>3318</v>
      </c>
      <c r="W66" s="29" t="s">
        <v>2129</v>
      </c>
      <c r="X66" s="29" t="s">
        <v>2129</v>
      </c>
      <c r="Y66" s="29">
        <v>0</v>
      </c>
      <c r="Z66" s="29" t="s">
        <v>2129</v>
      </c>
      <c r="AA66" s="29" t="s">
        <v>2129</v>
      </c>
      <c r="AB66" s="29" t="s">
        <v>2129</v>
      </c>
      <c r="AC66" s="29" t="s">
        <v>2129</v>
      </c>
      <c r="AD66" s="29" t="s">
        <v>2158</v>
      </c>
      <c r="AE66" s="29" t="s">
        <v>2145</v>
      </c>
      <c r="AF66" s="29" t="s">
        <v>2150</v>
      </c>
      <c r="AG66" s="29" t="s">
        <v>2129</v>
      </c>
      <c r="AH66" s="29" t="s">
        <v>2129</v>
      </c>
      <c r="AI66" s="29" t="s">
        <v>3366</v>
      </c>
      <c r="AJ66" s="29" t="s">
        <v>3367</v>
      </c>
      <c r="AK66" s="29" t="s">
        <v>3368</v>
      </c>
      <c r="AL66" s="29" t="s">
        <v>2129</v>
      </c>
      <c r="AM66" s="29" t="s">
        <v>2129</v>
      </c>
      <c r="AN66" s="29" t="s">
        <v>2129</v>
      </c>
      <c r="AO66" s="29" t="s">
        <v>2129</v>
      </c>
      <c r="AP66" s="29" t="s">
        <v>2129</v>
      </c>
      <c r="AQ66" s="29" t="s">
        <v>2129</v>
      </c>
      <c r="AR66" s="29" t="s">
        <v>2129</v>
      </c>
      <c r="AS66" s="29" t="s">
        <v>2129</v>
      </c>
      <c r="AT66" s="29" t="s">
        <v>2129</v>
      </c>
      <c r="AU66" s="29" t="s">
        <v>2129</v>
      </c>
      <c r="AV66" s="29" t="s">
        <v>2129</v>
      </c>
      <c r="AW66" s="29" t="s">
        <v>2129</v>
      </c>
      <c r="AX66" s="29">
        <v>0</v>
      </c>
      <c r="AY66" s="29">
        <v>32400</v>
      </c>
      <c r="AZ66" s="29" t="s">
        <v>2129</v>
      </c>
      <c r="BA66" s="29" t="s">
        <v>2129</v>
      </c>
      <c r="BB66" s="29">
        <v>0</v>
      </c>
      <c r="BC66" s="29">
        <v>32400</v>
      </c>
      <c r="BD66" s="29" t="s">
        <v>2129</v>
      </c>
      <c r="BE66" s="29" t="s">
        <v>2129</v>
      </c>
      <c r="BF66" s="29" t="s">
        <v>2129</v>
      </c>
      <c r="BG66" s="29" t="s">
        <v>2663</v>
      </c>
      <c r="BH66" s="29" t="s">
        <v>2129</v>
      </c>
      <c r="BI66" s="29" t="s">
        <v>2129</v>
      </c>
      <c r="BJ66" s="29" t="s">
        <v>2129</v>
      </c>
      <c r="BK66" s="29" t="s">
        <v>2129</v>
      </c>
      <c r="BL66" s="29" t="s">
        <v>2129</v>
      </c>
      <c r="BM66" s="29" t="s">
        <v>2129</v>
      </c>
      <c r="BN66" s="29" t="s">
        <v>2129</v>
      </c>
      <c r="BO66" s="29" t="s">
        <v>2129</v>
      </c>
      <c r="BP66" s="29" t="s">
        <v>2129</v>
      </c>
      <c r="BQ66" s="29" t="s">
        <v>2129</v>
      </c>
      <c r="BR66" s="29" t="s">
        <v>2129</v>
      </c>
      <c r="BS66" s="29" t="s">
        <v>2129</v>
      </c>
      <c r="BT66" s="29" t="s">
        <v>2129</v>
      </c>
      <c r="BU66" s="29" t="s">
        <v>2129</v>
      </c>
      <c r="BV66" s="29" t="s">
        <v>2129</v>
      </c>
      <c r="BW66" s="29" t="s">
        <v>2129</v>
      </c>
      <c r="BX66" s="29" t="s">
        <v>2129</v>
      </c>
      <c r="BY66" s="29" t="s">
        <v>2129</v>
      </c>
      <c r="BZ66" s="29" t="s">
        <v>2129</v>
      </c>
      <c r="CA66" s="29" t="s">
        <v>2129</v>
      </c>
      <c r="CB66" s="29" t="s">
        <v>2129</v>
      </c>
      <c r="CC66" s="29" t="s">
        <v>2129</v>
      </c>
      <c r="CD66" s="29" t="s">
        <v>2129</v>
      </c>
      <c r="CE66" s="29" t="s">
        <v>3369</v>
      </c>
      <c r="CF66" s="29" t="s">
        <v>3370</v>
      </c>
      <c r="CG66" s="29" t="s">
        <v>2129</v>
      </c>
      <c r="CH66" s="29" t="s">
        <v>2129</v>
      </c>
      <c r="CI66" s="29" t="s">
        <v>2129</v>
      </c>
      <c r="CJ66" s="29" t="s">
        <v>2129</v>
      </c>
      <c r="CK66" s="29" t="s">
        <v>2129</v>
      </c>
      <c r="CL66" s="29" t="s">
        <v>2129</v>
      </c>
      <c r="CM66" s="29" t="s">
        <v>2129</v>
      </c>
      <c r="CN66" s="29" t="s">
        <v>2129</v>
      </c>
      <c r="CO66" s="29" t="s">
        <v>2129</v>
      </c>
      <c r="CP66" s="29" t="s">
        <v>2129</v>
      </c>
      <c r="CQ66" s="29" t="s">
        <v>2129</v>
      </c>
      <c r="CR66" s="29" t="s">
        <v>2129</v>
      </c>
      <c r="CS66" s="29">
        <v>30</v>
      </c>
      <c r="CT66" s="29" t="s">
        <v>2129</v>
      </c>
      <c r="CU66" s="29" t="s">
        <v>2129</v>
      </c>
      <c r="CV66" s="29" t="s">
        <v>3371</v>
      </c>
      <c r="CW66" s="29" t="s">
        <v>3372</v>
      </c>
      <c r="CX66" s="29" t="s">
        <v>2129</v>
      </c>
      <c r="CY66" s="29" t="s">
        <v>2129</v>
      </c>
      <c r="CZ66" s="29" t="s">
        <v>2129</v>
      </c>
      <c r="DA66" s="29" t="s">
        <v>2129</v>
      </c>
      <c r="DB66" s="29" t="s">
        <v>2129</v>
      </c>
      <c r="DC66" s="29" t="s">
        <v>2129</v>
      </c>
      <c r="DD66" s="29" t="s">
        <v>2129</v>
      </c>
      <c r="DE66" s="29" t="s">
        <v>2129</v>
      </c>
      <c r="DF66" s="29" t="s">
        <v>2129</v>
      </c>
      <c r="DG66" s="29" t="s">
        <v>2129</v>
      </c>
      <c r="DH66" s="29" t="s">
        <v>2129</v>
      </c>
      <c r="DI66" s="29" t="s">
        <v>2129</v>
      </c>
      <c r="DJ66" s="29" t="s">
        <v>2129</v>
      </c>
      <c r="DK66" s="29" t="s">
        <v>2129</v>
      </c>
      <c r="DL66" s="29" t="s">
        <v>2129</v>
      </c>
      <c r="DM66" s="29" t="s">
        <v>2129</v>
      </c>
      <c r="DN66" s="29" t="s">
        <v>2129</v>
      </c>
      <c r="DO66" s="29" t="s">
        <v>2129</v>
      </c>
      <c r="DP66" s="29" t="s">
        <v>2129</v>
      </c>
      <c r="DQ66" s="42" t="s">
        <v>2129</v>
      </c>
    </row>
    <row r="67" spans="1:121" x14ac:dyDescent="0.25">
      <c r="A67" s="36" t="s">
        <v>2339</v>
      </c>
      <c r="B67" s="30" t="s">
        <v>2331</v>
      </c>
      <c r="C67" s="30">
        <v>22710</v>
      </c>
      <c r="D67" s="30"/>
      <c r="E67" s="30" t="s">
        <v>14</v>
      </c>
      <c r="F67" s="30" t="s">
        <v>16</v>
      </c>
      <c r="G67" s="30" t="s">
        <v>2173</v>
      </c>
      <c r="H67" s="30" t="s">
        <v>50</v>
      </c>
      <c r="I67" s="30" t="s">
        <v>2127</v>
      </c>
      <c r="J67" s="30" t="s">
        <v>2156</v>
      </c>
      <c r="K67" s="30" t="s">
        <v>2129</v>
      </c>
      <c r="L67" s="30" t="s">
        <v>2174</v>
      </c>
      <c r="M67" s="30" t="s">
        <v>2130</v>
      </c>
      <c r="N67" s="30" t="s">
        <v>2153</v>
      </c>
      <c r="O67" s="30" t="s">
        <v>2150</v>
      </c>
      <c r="P67" s="30" t="s">
        <v>2145</v>
      </c>
      <c r="Q67" s="30" t="s">
        <v>2145</v>
      </c>
      <c r="R67" s="46">
        <v>46016.379861111112</v>
      </c>
      <c r="S67" s="46">
        <v>46079.56527777778</v>
      </c>
      <c r="T67" s="46">
        <v>46087.717361111114</v>
      </c>
      <c r="U67" s="46">
        <v>46017.613194444442</v>
      </c>
      <c r="V67" s="30" t="s">
        <v>3318</v>
      </c>
      <c r="W67" s="30" t="s">
        <v>2129</v>
      </c>
      <c r="X67" s="30" t="s">
        <v>2129</v>
      </c>
      <c r="Y67" s="30">
        <v>0</v>
      </c>
      <c r="Z67" s="30" t="s">
        <v>2129</v>
      </c>
      <c r="AA67" s="30" t="s">
        <v>2129</v>
      </c>
      <c r="AB67" s="30" t="s">
        <v>2129</v>
      </c>
      <c r="AC67" s="30" t="s">
        <v>2129</v>
      </c>
      <c r="AD67" s="30" t="s">
        <v>2158</v>
      </c>
      <c r="AE67" s="30" t="s">
        <v>2145</v>
      </c>
      <c r="AF67" s="30" t="s">
        <v>2150</v>
      </c>
      <c r="AG67" s="30" t="s">
        <v>2129</v>
      </c>
      <c r="AH67" s="30" t="s">
        <v>2129</v>
      </c>
      <c r="AI67" s="30" t="s">
        <v>3373</v>
      </c>
      <c r="AJ67" s="30" t="s">
        <v>3374</v>
      </c>
      <c r="AK67" s="30" t="s">
        <v>3368</v>
      </c>
      <c r="AL67" s="30" t="s">
        <v>2129</v>
      </c>
      <c r="AM67" s="30" t="s">
        <v>2129</v>
      </c>
      <c r="AN67" s="30" t="s">
        <v>2129</v>
      </c>
      <c r="AO67" s="30" t="s">
        <v>2129</v>
      </c>
      <c r="AP67" s="30" t="s">
        <v>2129</v>
      </c>
      <c r="AQ67" s="30" t="s">
        <v>2129</v>
      </c>
      <c r="AR67" s="30" t="s">
        <v>2129</v>
      </c>
      <c r="AS67" s="30" t="s">
        <v>2129</v>
      </c>
      <c r="AT67" s="30" t="s">
        <v>2129</v>
      </c>
      <c r="AU67" s="30" t="s">
        <v>2129</v>
      </c>
      <c r="AV67" s="30" t="s">
        <v>2129</v>
      </c>
      <c r="AW67" s="30" t="s">
        <v>2129</v>
      </c>
      <c r="AX67" s="30">
        <v>0</v>
      </c>
      <c r="AY67" s="30">
        <v>23400</v>
      </c>
      <c r="AZ67" s="30" t="s">
        <v>2129</v>
      </c>
      <c r="BA67" s="30" t="s">
        <v>2129</v>
      </c>
      <c r="BB67" s="30">
        <v>0</v>
      </c>
      <c r="BC67" s="30">
        <v>23400</v>
      </c>
      <c r="BD67" s="30" t="s">
        <v>2129</v>
      </c>
      <c r="BE67" s="30" t="s">
        <v>2129</v>
      </c>
      <c r="BF67" s="30" t="s">
        <v>2129</v>
      </c>
      <c r="BG67" s="30" t="s">
        <v>2330</v>
      </c>
      <c r="BH67" s="30" t="s">
        <v>2663</v>
      </c>
      <c r="BI67" s="30" t="s">
        <v>2129</v>
      </c>
      <c r="BJ67" s="30" t="s">
        <v>2129</v>
      </c>
      <c r="BK67" s="30" t="s">
        <v>2129</v>
      </c>
      <c r="BL67" s="30" t="s">
        <v>2129</v>
      </c>
      <c r="BM67" s="30" t="s">
        <v>2129</v>
      </c>
      <c r="BN67" s="30" t="s">
        <v>2129</v>
      </c>
      <c r="BO67" s="30" t="s">
        <v>2129</v>
      </c>
      <c r="BP67" s="30" t="s">
        <v>2129</v>
      </c>
      <c r="BQ67" s="30" t="s">
        <v>2129</v>
      </c>
      <c r="BR67" s="30" t="s">
        <v>2129</v>
      </c>
      <c r="BS67" s="30" t="s">
        <v>2129</v>
      </c>
      <c r="BT67" s="30" t="s">
        <v>2129</v>
      </c>
      <c r="BU67" s="30" t="s">
        <v>2129</v>
      </c>
      <c r="BV67" s="30" t="s">
        <v>2129</v>
      </c>
      <c r="BW67" s="30" t="s">
        <v>2129</v>
      </c>
      <c r="BX67" s="30" t="s">
        <v>2129</v>
      </c>
      <c r="BY67" s="30" t="s">
        <v>2129</v>
      </c>
      <c r="BZ67" s="30" t="s">
        <v>2129</v>
      </c>
      <c r="CA67" s="30" t="s">
        <v>2129</v>
      </c>
      <c r="CB67" s="30" t="s">
        <v>2129</v>
      </c>
      <c r="CC67" s="30" t="s">
        <v>2129</v>
      </c>
      <c r="CD67" s="30" t="s">
        <v>2129</v>
      </c>
      <c r="CE67" s="30" t="s">
        <v>3375</v>
      </c>
      <c r="CF67" s="30" t="s">
        <v>3370</v>
      </c>
      <c r="CG67" s="30" t="s">
        <v>2129</v>
      </c>
      <c r="CH67" s="30" t="s">
        <v>2129</v>
      </c>
      <c r="CI67" s="30" t="s">
        <v>2129</v>
      </c>
      <c r="CJ67" s="30" t="s">
        <v>2129</v>
      </c>
      <c r="CK67" s="30" t="s">
        <v>2129</v>
      </c>
      <c r="CL67" s="30" t="s">
        <v>2129</v>
      </c>
      <c r="CM67" s="30" t="s">
        <v>2129</v>
      </c>
      <c r="CN67" s="30" t="s">
        <v>2129</v>
      </c>
      <c r="CO67" s="30" t="s">
        <v>2129</v>
      </c>
      <c r="CP67" s="30" t="s">
        <v>2129</v>
      </c>
      <c r="CQ67" s="30" t="s">
        <v>2129</v>
      </c>
      <c r="CR67" s="30" t="s">
        <v>2129</v>
      </c>
      <c r="CS67" s="30">
        <v>30</v>
      </c>
      <c r="CT67" s="30" t="s">
        <v>2129</v>
      </c>
      <c r="CU67" s="30" t="s">
        <v>2129</v>
      </c>
      <c r="CV67" s="30" t="s">
        <v>3376</v>
      </c>
      <c r="CW67" s="30" t="s">
        <v>3372</v>
      </c>
      <c r="CX67" s="30" t="s">
        <v>2129</v>
      </c>
      <c r="CY67" s="30" t="s">
        <v>2129</v>
      </c>
      <c r="CZ67" s="30" t="s">
        <v>2129</v>
      </c>
      <c r="DA67" s="30" t="s">
        <v>2129</v>
      </c>
      <c r="DB67" s="30" t="s">
        <v>2129</v>
      </c>
      <c r="DC67" s="30" t="s">
        <v>2129</v>
      </c>
      <c r="DD67" s="30" t="s">
        <v>2129</v>
      </c>
      <c r="DE67" s="30" t="s">
        <v>2129</v>
      </c>
      <c r="DF67" s="30" t="s">
        <v>2129</v>
      </c>
      <c r="DG67" s="30" t="s">
        <v>2129</v>
      </c>
      <c r="DH67" s="30" t="s">
        <v>2129</v>
      </c>
      <c r="DI67" s="30" t="s">
        <v>2129</v>
      </c>
      <c r="DJ67" s="30" t="s">
        <v>2129</v>
      </c>
      <c r="DK67" s="30" t="s">
        <v>2129</v>
      </c>
      <c r="DL67" s="30" t="s">
        <v>2129</v>
      </c>
      <c r="DM67" s="30" t="s">
        <v>2129</v>
      </c>
      <c r="DN67" s="30" t="s">
        <v>2129</v>
      </c>
      <c r="DO67" s="30" t="s">
        <v>2129</v>
      </c>
      <c r="DP67" s="30" t="s">
        <v>2129</v>
      </c>
      <c r="DQ67" s="43" t="s">
        <v>2129</v>
      </c>
    </row>
    <row r="68" spans="1:121" x14ac:dyDescent="0.25">
      <c r="A68" s="39" t="s">
        <v>2021</v>
      </c>
      <c r="B68" s="29" t="s">
        <v>2016</v>
      </c>
      <c r="C68" s="29">
        <v>22528</v>
      </c>
      <c r="D68" s="29"/>
      <c r="E68" s="29" t="s">
        <v>14</v>
      </c>
      <c r="F68" s="29" t="s">
        <v>16</v>
      </c>
      <c r="G68" s="29" t="s">
        <v>2173</v>
      </c>
      <c r="H68" s="29" t="s">
        <v>50</v>
      </c>
      <c r="I68" s="29" t="s">
        <v>2127</v>
      </c>
      <c r="J68" s="29" t="s">
        <v>2156</v>
      </c>
      <c r="K68" s="29" t="s">
        <v>2129</v>
      </c>
      <c r="L68" s="29" t="s">
        <v>2174</v>
      </c>
      <c r="M68" s="29" t="s">
        <v>2130</v>
      </c>
      <c r="N68" s="29" t="s">
        <v>2153</v>
      </c>
      <c r="O68" s="29" t="s">
        <v>2175</v>
      </c>
      <c r="P68" s="29" t="s">
        <v>2145</v>
      </c>
      <c r="Q68" s="29" t="s">
        <v>2145</v>
      </c>
      <c r="R68" s="45">
        <v>45985.37777777778</v>
      </c>
      <c r="S68" s="45">
        <v>46079.564583333333</v>
      </c>
      <c r="T68" s="45">
        <v>46087.717361111114</v>
      </c>
      <c r="U68" s="45">
        <v>46001.619444444441</v>
      </c>
      <c r="V68" s="29" t="s">
        <v>3318</v>
      </c>
      <c r="W68" s="29" t="s">
        <v>2129</v>
      </c>
      <c r="X68" s="29" t="s">
        <v>2129</v>
      </c>
      <c r="Y68" s="29">
        <v>0</v>
      </c>
      <c r="Z68" s="29" t="s">
        <v>2129</v>
      </c>
      <c r="AA68" s="29" t="s">
        <v>2129</v>
      </c>
      <c r="AB68" s="29" t="s">
        <v>3377</v>
      </c>
      <c r="AC68" s="29" t="s">
        <v>2129</v>
      </c>
      <c r="AD68" s="29" t="s">
        <v>2145</v>
      </c>
      <c r="AE68" s="29" t="s">
        <v>2175</v>
      </c>
      <c r="AF68" s="29" t="s">
        <v>2129</v>
      </c>
      <c r="AG68" s="29" t="s">
        <v>2129</v>
      </c>
      <c r="AH68" s="29" t="s">
        <v>2129</v>
      </c>
      <c r="AI68" s="29" t="s">
        <v>3378</v>
      </c>
      <c r="AJ68" s="29" t="s">
        <v>3379</v>
      </c>
      <c r="AK68" s="29" t="s">
        <v>3380</v>
      </c>
      <c r="AL68" s="29" t="s">
        <v>2129</v>
      </c>
      <c r="AM68" s="29" t="s">
        <v>2129</v>
      </c>
      <c r="AN68" s="29" t="s">
        <v>2129</v>
      </c>
      <c r="AO68" s="29" t="s">
        <v>2129</v>
      </c>
      <c r="AP68" s="29" t="s">
        <v>2129</v>
      </c>
      <c r="AQ68" s="29" t="s">
        <v>2129</v>
      </c>
      <c r="AR68" s="29" t="s">
        <v>2129</v>
      </c>
      <c r="AS68" s="29" t="s">
        <v>2129</v>
      </c>
      <c r="AT68" s="29" t="s">
        <v>2129</v>
      </c>
      <c r="AU68" s="29" t="s">
        <v>2129</v>
      </c>
      <c r="AV68" s="29" t="s">
        <v>2129</v>
      </c>
      <c r="AW68" s="29" t="s">
        <v>2129</v>
      </c>
      <c r="AX68" s="29">
        <v>0</v>
      </c>
      <c r="AY68" s="29">
        <v>57600</v>
      </c>
      <c r="AZ68" s="29" t="s">
        <v>2129</v>
      </c>
      <c r="BA68" s="29" t="s">
        <v>2129</v>
      </c>
      <c r="BB68" s="29">
        <v>0</v>
      </c>
      <c r="BC68" s="29">
        <v>57600</v>
      </c>
      <c r="BD68" s="29" t="s">
        <v>2129</v>
      </c>
      <c r="BE68" s="29" t="s">
        <v>2129</v>
      </c>
      <c r="BF68" s="29" t="s">
        <v>2129</v>
      </c>
      <c r="BG68" s="29" t="s">
        <v>2017</v>
      </c>
      <c r="BH68" s="29" t="s">
        <v>2331</v>
      </c>
      <c r="BI68" s="29" t="s">
        <v>2330</v>
      </c>
      <c r="BJ68" s="29" t="s">
        <v>2663</v>
      </c>
      <c r="BK68" s="29" t="s">
        <v>3381</v>
      </c>
      <c r="BL68" s="29" t="s">
        <v>3382</v>
      </c>
      <c r="BM68" s="29" t="s">
        <v>2129</v>
      </c>
      <c r="BN68" s="29" t="s">
        <v>2129</v>
      </c>
      <c r="BO68" s="29" t="s">
        <v>2129</v>
      </c>
      <c r="BP68" s="29" t="s">
        <v>2129</v>
      </c>
      <c r="BQ68" s="29" t="s">
        <v>2129</v>
      </c>
      <c r="BR68" s="29" t="s">
        <v>2129</v>
      </c>
      <c r="BS68" s="29" t="s">
        <v>2129</v>
      </c>
      <c r="BT68" s="29" t="s">
        <v>2129</v>
      </c>
      <c r="BU68" s="29" t="s">
        <v>2129</v>
      </c>
      <c r="BV68" s="29" t="s">
        <v>2129</v>
      </c>
      <c r="BW68" s="29" t="s">
        <v>2129</v>
      </c>
      <c r="BX68" s="29" t="s">
        <v>2129</v>
      </c>
      <c r="BY68" s="29" t="s">
        <v>2129</v>
      </c>
      <c r="BZ68" s="29" t="s">
        <v>2129</v>
      </c>
      <c r="CA68" s="29" t="s">
        <v>2129</v>
      </c>
      <c r="CB68" s="29" t="s">
        <v>2129</v>
      </c>
      <c r="CC68" s="29" t="s">
        <v>2129</v>
      </c>
      <c r="CD68" s="29" t="s">
        <v>2129</v>
      </c>
      <c r="CE68" s="29" t="s">
        <v>3383</v>
      </c>
      <c r="CF68" s="29" t="s">
        <v>3384</v>
      </c>
      <c r="CG68" s="29" t="s">
        <v>3385</v>
      </c>
      <c r="CH68" s="29" t="s">
        <v>2129</v>
      </c>
      <c r="CI68" s="29" t="s">
        <v>2129</v>
      </c>
      <c r="CJ68" s="29" t="s">
        <v>2129</v>
      </c>
      <c r="CK68" s="29" t="s">
        <v>2129</v>
      </c>
      <c r="CL68" s="29" t="s">
        <v>2129</v>
      </c>
      <c r="CM68" s="29" t="s">
        <v>2129</v>
      </c>
      <c r="CN68" s="29" t="s">
        <v>2129</v>
      </c>
      <c r="CO68" s="29" t="s">
        <v>2129</v>
      </c>
      <c r="CP68" s="29" t="s">
        <v>2129</v>
      </c>
      <c r="CQ68" s="29" t="s">
        <v>2129</v>
      </c>
      <c r="CR68" s="29" t="s">
        <v>2129</v>
      </c>
      <c r="CS68" s="29">
        <v>50</v>
      </c>
      <c r="CT68" s="29" t="s">
        <v>2129</v>
      </c>
      <c r="CU68" s="29" t="s">
        <v>2129</v>
      </c>
      <c r="CV68" s="29" t="s">
        <v>3386</v>
      </c>
      <c r="CW68" s="29" t="s">
        <v>2129</v>
      </c>
      <c r="CX68" s="29" t="s">
        <v>2129</v>
      </c>
      <c r="CY68" s="29" t="s">
        <v>2129</v>
      </c>
      <c r="CZ68" s="29" t="s">
        <v>2129</v>
      </c>
      <c r="DA68" s="29" t="s">
        <v>2129</v>
      </c>
      <c r="DB68" s="29" t="s">
        <v>2129</v>
      </c>
      <c r="DC68" s="29" t="s">
        <v>2129</v>
      </c>
      <c r="DD68" s="29" t="s">
        <v>2129</v>
      </c>
      <c r="DE68" s="29" t="s">
        <v>2129</v>
      </c>
      <c r="DF68" s="29" t="s">
        <v>2129</v>
      </c>
      <c r="DG68" s="29" t="s">
        <v>2129</v>
      </c>
      <c r="DH68" s="29" t="s">
        <v>2129</v>
      </c>
      <c r="DI68" s="29" t="s">
        <v>2129</v>
      </c>
      <c r="DJ68" s="29" t="s">
        <v>2129</v>
      </c>
      <c r="DK68" s="29" t="s">
        <v>2129</v>
      </c>
      <c r="DL68" s="29" t="s">
        <v>2129</v>
      </c>
      <c r="DM68" s="29" t="s">
        <v>2129</v>
      </c>
      <c r="DN68" s="29" t="s">
        <v>2129</v>
      </c>
      <c r="DO68" s="29" t="s">
        <v>2129</v>
      </c>
      <c r="DP68" s="29" t="s">
        <v>2129</v>
      </c>
      <c r="DQ68" s="42" t="s">
        <v>2129</v>
      </c>
    </row>
    <row r="69" spans="1:121" x14ac:dyDescent="0.25">
      <c r="A69" s="36" t="s">
        <v>3030</v>
      </c>
      <c r="B69" s="30" t="s">
        <v>3029</v>
      </c>
      <c r="C69" s="30">
        <v>23098</v>
      </c>
      <c r="D69" s="30"/>
      <c r="E69" s="30" t="s">
        <v>77</v>
      </c>
      <c r="F69" s="30" t="s">
        <v>10</v>
      </c>
      <c r="G69" s="30" t="s">
        <v>3387</v>
      </c>
      <c r="H69" s="30" t="s">
        <v>3388</v>
      </c>
      <c r="I69" s="30" t="s">
        <v>2127</v>
      </c>
      <c r="J69" s="30" t="s">
        <v>2156</v>
      </c>
      <c r="K69" s="30" t="s">
        <v>2129</v>
      </c>
      <c r="L69" s="30" t="s">
        <v>2129</v>
      </c>
      <c r="M69" s="30" t="s">
        <v>2130</v>
      </c>
      <c r="N69" s="30" t="s">
        <v>2129</v>
      </c>
      <c r="O69" s="30" t="s">
        <v>2180</v>
      </c>
      <c r="P69" s="30" t="s">
        <v>2156</v>
      </c>
      <c r="Q69" s="30" t="s">
        <v>2156</v>
      </c>
      <c r="R69" s="46">
        <v>46084.54583333333</v>
      </c>
      <c r="S69" s="46">
        <v>46084.54583333333</v>
      </c>
      <c r="T69" s="46">
        <v>46087.717361111114</v>
      </c>
      <c r="U69" s="46"/>
      <c r="V69" s="30" t="s">
        <v>2129</v>
      </c>
      <c r="W69" s="30" t="s">
        <v>2129</v>
      </c>
      <c r="X69" s="30" t="s">
        <v>2129</v>
      </c>
      <c r="Y69" s="30">
        <v>0</v>
      </c>
      <c r="Z69" s="30" t="s">
        <v>2129</v>
      </c>
      <c r="AA69" s="30" t="s">
        <v>2129</v>
      </c>
      <c r="AB69" s="30" t="s">
        <v>3389</v>
      </c>
      <c r="AC69" s="30" t="s">
        <v>2129</v>
      </c>
      <c r="AD69" s="30" t="s">
        <v>2156</v>
      </c>
      <c r="AE69" s="30" t="s">
        <v>2129</v>
      </c>
      <c r="AF69" s="30" t="s">
        <v>2129</v>
      </c>
      <c r="AG69" s="30" t="s">
        <v>2129</v>
      </c>
      <c r="AH69" s="30" t="s">
        <v>2129</v>
      </c>
      <c r="AI69" s="30" t="s">
        <v>2129</v>
      </c>
      <c r="AJ69" s="30" t="s">
        <v>2129</v>
      </c>
      <c r="AK69" s="30" t="s">
        <v>2129</v>
      </c>
      <c r="AL69" s="30" t="s">
        <v>2129</v>
      </c>
      <c r="AM69" s="30" t="s">
        <v>2129</v>
      </c>
      <c r="AN69" s="30" t="s">
        <v>2129</v>
      </c>
      <c r="AO69" s="30" t="s">
        <v>2129</v>
      </c>
      <c r="AP69" s="30" t="s">
        <v>2129</v>
      </c>
      <c r="AQ69" s="30" t="s">
        <v>2129</v>
      </c>
      <c r="AR69" s="30" t="s">
        <v>2129</v>
      </c>
      <c r="AS69" s="30" t="s">
        <v>2129</v>
      </c>
      <c r="AT69" s="30" t="s">
        <v>2129</v>
      </c>
      <c r="AU69" s="30" t="s">
        <v>2129</v>
      </c>
      <c r="AV69" s="30" t="s">
        <v>2129</v>
      </c>
      <c r="AW69" s="30" t="s">
        <v>2129</v>
      </c>
      <c r="AX69" s="30"/>
      <c r="AY69" s="30"/>
      <c r="AZ69" s="30" t="s">
        <v>2129</v>
      </c>
      <c r="BA69" s="30" t="s">
        <v>2129</v>
      </c>
      <c r="BB69" s="30"/>
      <c r="BC69" s="30"/>
      <c r="BD69" s="30" t="s">
        <v>2129</v>
      </c>
      <c r="BE69" s="30" t="s">
        <v>2129</v>
      </c>
      <c r="BF69" s="30" t="s">
        <v>2129</v>
      </c>
      <c r="BG69" s="30" t="s">
        <v>2129</v>
      </c>
      <c r="BH69" s="30" t="s">
        <v>2129</v>
      </c>
      <c r="BI69" s="30" t="s">
        <v>2129</v>
      </c>
      <c r="BJ69" s="30" t="s">
        <v>2129</v>
      </c>
      <c r="BK69" s="30" t="s">
        <v>3390</v>
      </c>
      <c r="BL69" s="30" t="s">
        <v>2129</v>
      </c>
      <c r="BM69" s="30" t="s">
        <v>2129</v>
      </c>
      <c r="BN69" s="30" t="s">
        <v>2129</v>
      </c>
      <c r="BO69" s="30" t="s">
        <v>2129</v>
      </c>
      <c r="BP69" s="30" t="s">
        <v>2129</v>
      </c>
      <c r="BQ69" s="30" t="s">
        <v>2129</v>
      </c>
      <c r="BR69" s="30" t="s">
        <v>2129</v>
      </c>
      <c r="BS69" s="30" t="s">
        <v>2129</v>
      </c>
      <c r="BT69" s="30" t="s">
        <v>2129</v>
      </c>
      <c r="BU69" s="30" t="s">
        <v>2129</v>
      </c>
      <c r="BV69" s="30" t="s">
        <v>2129</v>
      </c>
      <c r="BW69" s="30" t="s">
        <v>2129</v>
      </c>
      <c r="BX69" s="30" t="s">
        <v>2129</v>
      </c>
      <c r="BY69" s="30" t="s">
        <v>2129</v>
      </c>
      <c r="BZ69" s="30" t="s">
        <v>2129</v>
      </c>
      <c r="CA69" s="30" t="s">
        <v>2129</v>
      </c>
      <c r="CB69" s="30" t="s">
        <v>2129</v>
      </c>
      <c r="CC69" s="30" t="s">
        <v>2129</v>
      </c>
      <c r="CD69" s="30" t="s">
        <v>2129</v>
      </c>
      <c r="CE69" s="30" t="s">
        <v>3391</v>
      </c>
      <c r="CF69" s="30" t="s">
        <v>3392</v>
      </c>
      <c r="CG69" s="30" t="s">
        <v>2129</v>
      </c>
      <c r="CH69" s="30" t="s">
        <v>2129</v>
      </c>
      <c r="CI69" s="30" t="s">
        <v>2129</v>
      </c>
      <c r="CJ69" s="30" t="s">
        <v>2129</v>
      </c>
      <c r="CK69" s="30" t="s">
        <v>2129</v>
      </c>
      <c r="CL69" s="30" t="s">
        <v>2129</v>
      </c>
      <c r="CM69" s="30" t="s">
        <v>2129</v>
      </c>
      <c r="CN69" s="30" t="s">
        <v>2129</v>
      </c>
      <c r="CO69" s="30" t="s">
        <v>2129</v>
      </c>
      <c r="CP69" s="30" t="s">
        <v>2129</v>
      </c>
      <c r="CQ69" s="30" t="s">
        <v>2129</v>
      </c>
      <c r="CR69" s="30" t="s">
        <v>2129</v>
      </c>
      <c r="CS69" s="30"/>
      <c r="CT69" s="30" t="s">
        <v>2129</v>
      </c>
      <c r="CU69" s="30" t="s">
        <v>2129</v>
      </c>
      <c r="CV69" s="30" t="s">
        <v>2129</v>
      </c>
      <c r="CW69" s="30" t="s">
        <v>2129</v>
      </c>
      <c r="CX69" s="30" t="s">
        <v>2129</v>
      </c>
      <c r="CY69" s="30" t="s">
        <v>2129</v>
      </c>
      <c r="CZ69" s="30" t="s">
        <v>2129</v>
      </c>
      <c r="DA69" s="30" t="s">
        <v>2129</v>
      </c>
      <c r="DB69" s="30" t="s">
        <v>2129</v>
      </c>
      <c r="DC69" s="30" t="s">
        <v>2129</v>
      </c>
      <c r="DD69" s="30" t="s">
        <v>2129</v>
      </c>
      <c r="DE69" s="30" t="s">
        <v>2129</v>
      </c>
      <c r="DF69" s="30" t="s">
        <v>2129</v>
      </c>
      <c r="DG69" s="30" t="s">
        <v>2129</v>
      </c>
      <c r="DH69" s="30" t="s">
        <v>2129</v>
      </c>
      <c r="DI69" s="30" t="s">
        <v>2129</v>
      </c>
      <c r="DJ69" s="30" t="s">
        <v>2129</v>
      </c>
      <c r="DK69" s="30" t="s">
        <v>2129</v>
      </c>
      <c r="DL69" s="30" t="s">
        <v>2129</v>
      </c>
      <c r="DM69" s="30" t="s">
        <v>2129</v>
      </c>
      <c r="DN69" s="30" t="s">
        <v>2129</v>
      </c>
      <c r="DO69" s="30" t="s">
        <v>2129</v>
      </c>
      <c r="DP69" s="30" t="s">
        <v>2129</v>
      </c>
      <c r="DQ69" s="43" t="s">
        <v>2129</v>
      </c>
    </row>
    <row r="70" spans="1:121" x14ac:dyDescent="0.25">
      <c r="A70" s="39" t="s">
        <v>1723</v>
      </c>
      <c r="B70" s="29" t="s">
        <v>3393</v>
      </c>
      <c r="C70" s="29">
        <v>23093</v>
      </c>
      <c r="D70" s="29"/>
      <c r="E70" s="29" t="s">
        <v>2136</v>
      </c>
      <c r="F70" s="29" t="s">
        <v>10</v>
      </c>
      <c r="G70" s="29" t="s">
        <v>2177</v>
      </c>
      <c r="H70" s="29" t="s">
        <v>44</v>
      </c>
      <c r="I70" s="29" t="s">
        <v>2127</v>
      </c>
      <c r="J70" s="29" t="s">
        <v>2156</v>
      </c>
      <c r="K70" s="29" t="s">
        <v>2129</v>
      </c>
      <c r="L70" s="29" t="s">
        <v>2178</v>
      </c>
      <c r="M70" s="29" t="s">
        <v>2130</v>
      </c>
      <c r="N70" s="29" t="s">
        <v>2129</v>
      </c>
      <c r="O70" s="29" t="s">
        <v>2129</v>
      </c>
      <c r="P70" s="29" t="s">
        <v>2156</v>
      </c>
      <c r="Q70" s="29" t="s">
        <v>2156</v>
      </c>
      <c r="R70" s="45">
        <v>46084.538194444445</v>
      </c>
      <c r="S70" s="45">
        <v>46084.538194444445</v>
      </c>
      <c r="T70" s="45">
        <v>46087.717361111114</v>
      </c>
      <c r="U70" s="45"/>
      <c r="V70" s="29" t="s">
        <v>2129</v>
      </c>
      <c r="W70" s="29" t="s">
        <v>2129</v>
      </c>
      <c r="X70" s="29" t="s">
        <v>2129</v>
      </c>
      <c r="Y70" s="29">
        <v>0</v>
      </c>
      <c r="Z70" s="29" t="s">
        <v>2129</v>
      </c>
      <c r="AA70" s="29" t="s">
        <v>2129</v>
      </c>
      <c r="AB70" s="29" t="s">
        <v>2129</v>
      </c>
      <c r="AC70" s="29" t="s">
        <v>2129</v>
      </c>
      <c r="AD70" s="29" t="s">
        <v>2156</v>
      </c>
      <c r="AE70" s="29" t="s">
        <v>2129</v>
      </c>
      <c r="AF70" s="29" t="s">
        <v>2129</v>
      </c>
      <c r="AG70" s="29" t="s">
        <v>2129</v>
      </c>
      <c r="AH70" s="29" t="s">
        <v>2129</v>
      </c>
      <c r="AI70" s="29" t="s">
        <v>2129</v>
      </c>
      <c r="AJ70" s="29" t="s">
        <v>2129</v>
      </c>
      <c r="AK70" s="29" t="s">
        <v>2129</v>
      </c>
      <c r="AL70" s="29" t="s">
        <v>2129</v>
      </c>
      <c r="AM70" s="29" t="s">
        <v>2129</v>
      </c>
      <c r="AN70" s="29" t="s">
        <v>2129</v>
      </c>
      <c r="AO70" s="29" t="s">
        <v>2129</v>
      </c>
      <c r="AP70" s="29" t="s">
        <v>2129</v>
      </c>
      <c r="AQ70" s="29" t="s">
        <v>2129</v>
      </c>
      <c r="AR70" s="29" t="s">
        <v>2129</v>
      </c>
      <c r="AS70" s="29" t="s">
        <v>2129</v>
      </c>
      <c r="AT70" s="29" t="s">
        <v>2129</v>
      </c>
      <c r="AU70" s="29" t="s">
        <v>2129</v>
      </c>
      <c r="AV70" s="29" t="s">
        <v>2129</v>
      </c>
      <c r="AW70" s="29" t="s">
        <v>2129</v>
      </c>
      <c r="AX70" s="29"/>
      <c r="AY70" s="29"/>
      <c r="AZ70" s="29" t="s">
        <v>2129</v>
      </c>
      <c r="BA70" s="29" t="s">
        <v>2129</v>
      </c>
      <c r="BB70" s="29"/>
      <c r="BC70" s="29"/>
      <c r="BD70" s="29" t="s">
        <v>2129</v>
      </c>
      <c r="BE70" s="29" t="s">
        <v>2129</v>
      </c>
      <c r="BF70" s="29" t="s">
        <v>2129</v>
      </c>
      <c r="BG70" s="29" t="s">
        <v>2129</v>
      </c>
      <c r="BH70" s="29" t="s">
        <v>2129</v>
      </c>
      <c r="BI70" s="29" t="s">
        <v>2129</v>
      </c>
      <c r="BJ70" s="29" t="s">
        <v>2129</v>
      </c>
      <c r="BK70" s="29" t="s">
        <v>2129</v>
      </c>
      <c r="BL70" s="29" t="s">
        <v>2129</v>
      </c>
      <c r="BM70" s="29" t="s">
        <v>2129</v>
      </c>
      <c r="BN70" s="29" t="s">
        <v>2129</v>
      </c>
      <c r="BO70" s="29" t="s">
        <v>2129</v>
      </c>
      <c r="BP70" s="29" t="s">
        <v>2129</v>
      </c>
      <c r="BQ70" s="29" t="s">
        <v>2129</v>
      </c>
      <c r="BR70" s="29" t="s">
        <v>2129</v>
      </c>
      <c r="BS70" s="29" t="s">
        <v>2129</v>
      </c>
      <c r="BT70" s="29" t="s">
        <v>2129</v>
      </c>
      <c r="BU70" s="29" t="s">
        <v>2129</v>
      </c>
      <c r="BV70" s="29" t="s">
        <v>2129</v>
      </c>
      <c r="BW70" s="29" t="s">
        <v>2129</v>
      </c>
      <c r="BX70" s="29" t="s">
        <v>2129</v>
      </c>
      <c r="BY70" s="29" t="s">
        <v>2129</v>
      </c>
      <c r="BZ70" s="29" t="s">
        <v>2129</v>
      </c>
      <c r="CA70" s="29" t="s">
        <v>2129</v>
      </c>
      <c r="CB70" s="29" t="s">
        <v>2129</v>
      </c>
      <c r="CC70" s="29" t="s">
        <v>2129</v>
      </c>
      <c r="CD70" s="29" t="s">
        <v>2129</v>
      </c>
      <c r="CE70" s="29" t="s">
        <v>3394</v>
      </c>
      <c r="CF70" s="29" t="s">
        <v>3395</v>
      </c>
      <c r="CG70" s="29" t="s">
        <v>2129</v>
      </c>
      <c r="CH70" s="29" t="s">
        <v>2129</v>
      </c>
      <c r="CI70" s="29" t="s">
        <v>2129</v>
      </c>
      <c r="CJ70" s="29" t="s">
        <v>2129</v>
      </c>
      <c r="CK70" s="29" t="s">
        <v>2129</v>
      </c>
      <c r="CL70" s="29" t="s">
        <v>2129</v>
      </c>
      <c r="CM70" s="29" t="s">
        <v>2129</v>
      </c>
      <c r="CN70" s="29" t="s">
        <v>2129</v>
      </c>
      <c r="CO70" s="29" t="s">
        <v>2129</v>
      </c>
      <c r="CP70" s="29" t="s">
        <v>2129</v>
      </c>
      <c r="CQ70" s="29" t="s">
        <v>2129</v>
      </c>
      <c r="CR70" s="29" t="s">
        <v>2129</v>
      </c>
      <c r="CS70" s="29"/>
      <c r="CT70" s="29" t="s">
        <v>2129</v>
      </c>
      <c r="CU70" s="29" t="s">
        <v>2129</v>
      </c>
      <c r="CV70" s="29" t="s">
        <v>2129</v>
      </c>
      <c r="CW70" s="29" t="s">
        <v>2129</v>
      </c>
      <c r="CX70" s="29" t="s">
        <v>2129</v>
      </c>
      <c r="CY70" s="29" t="s">
        <v>2129</v>
      </c>
      <c r="CZ70" s="29" t="s">
        <v>2129</v>
      </c>
      <c r="DA70" s="29" t="s">
        <v>2129</v>
      </c>
      <c r="DB70" s="29" t="s">
        <v>2129</v>
      </c>
      <c r="DC70" s="29" t="s">
        <v>2129</v>
      </c>
      <c r="DD70" s="29" t="s">
        <v>2129</v>
      </c>
      <c r="DE70" s="29" t="s">
        <v>2129</v>
      </c>
      <c r="DF70" s="29" t="s">
        <v>2129</v>
      </c>
      <c r="DG70" s="29" t="s">
        <v>2129</v>
      </c>
      <c r="DH70" s="29" t="s">
        <v>2129</v>
      </c>
      <c r="DI70" s="29" t="s">
        <v>2129</v>
      </c>
      <c r="DJ70" s="29" t="s">
        <v>2129</v>
      </c>
      <c r="DK70" s="29" t="s">
        <v>2129</v>
      </c>
      <c r="DL70" s="29" t="s">
        <v>2129</v>
      </c>
      <c r="DM70" s="29" t="s">
        <v>2129</v>
      </c>
      <c r="DN70" s="29" t="s">
        <v>2129</v>
      </c>
      <c r="DO70" s="29" t="s">
        <v>2129</v>
      </c>
      <c r="DP70" s="29" t="s">
        <v>2129</v>
      </c>
      <c r="DQ70" s="42" t="s">
        <v>2129</v>
      </c>
    </row>
    <row r="71" spans="1:121" x14ac:dyDescent="0.25">
      <c r="A71" s="36" t="s">
        <v>1723</v>
      </c>
      <c r="B71" s="30" t="s">
        <v>3396</v>
      </c>
      <c r="C71" s="30">
        <v>23092</v>
      </c>
      <c r="D71" s="30"/>
      <c r="E71" s="30" t="s">
        <v>2136</v>
      </c>
      <c r="F71" s="30" t="s">
        <v>10</v>
      </c>
      <c r="G71" s="30" t="s">
        <v>2177</v>
      </c>
      <c r="H71" s="30" t="s">
        <v>44</v>
      </c>
      <c r="I71" s="30" t="s">
        <v>2127</v>
      </c>
      <c r="J71" s="30" t="s">
        <v>2156</v>
      </c>
      <c r="K71" s="30" t="s">
        <v>2129</v>
      </c>
      <c r="L71" s="30" t="s">
        <v>2178</v>
      </c>
      <c r="M71" s="30" t="s">
        <v>2130</v>
      </c>
      <c r="N71" s="30" t="s">
        <v>2129</v>
      </c>
      <c r="O71" s="30" t="s">
        <v>2129</v>
      </c>
      <c r="P71" s="30" t="s">
        <v>2156</v>
      </c>
      <c r="Q71" s="30" t="s">
        <v>2156</v>
      </c>
      <c r="R71" s="46">
        <v>46084.538194444445</v>
      </c>
      <c r="S71" s="46">
        <v>46084.538194444445</v>
      </c>
      <c r="T71" s="46">
        <v>46087.717361111114</v>
      </c>
      <c r="U71" s="46"/>
      <c r="V71" s="30" t="s">
        <v>2129</v>
      </c>
      <c r="W71" s="30" t="s">
        <v>2129</v>
      </c>
      <c r="X71" s="30" t="s">
        <v>2129</v>
      </c>
      <c r="Y71" s="30">
        <v>0</v>
      </c>
      <c r="Z71" s="30" t="s">
        <v>2129</v>
      </c>
      <c r="AA71" s="30" t="s">
        <v>2129</v>
      </c>
      <c r="AB71" s="30" t="s">
        <v>2129</v>
      </c>
      <c r="AC71" s="30" t="s">
        <v>2129</v>
      </c>
      <c r="AD71" s="30" t="s">
        <v>2156</v>
      </c>
      <c r="AE71" s="30" t="s">
        <v>2129</v>
      </c>
      <c r="AF71" s="30" t="s">
        <v>2129</v>
      </c>
      <c r="AG71" s="30" t="s">
        <v>2129</v>
      </c>
      <c r="AH71" s="30" t="s">
        <v>2129</v>
      </c>
      <c r="AI71" s="30" t="s">
        <v>2129</v>
      </c>
      <c r="AJ71" s="30" t="s">
        <v>2129</v>
      </c>
      <c r="AK71" s="30" t="s">
        <v>2129</v>
      </c>
      <c r="AL71" s="30" t="s">
        <v>2129</v>
      </c>
      <c r="AM71" s="30" t="s">
        <v>2129</v>
      </c>
      <c r="AN71" s="30" t="s">
        <v>2129</v>
      </c>
      <c r="AO71" s="30" t="s">
        <v>2129</v>
      </c>
      <c r="AP71" s="30" t="s">
        <v>2129</v>
      </c>
      <c r="AQ71" s="30" t="s">
        <v>2129</v>
      </c>
      <c r="AR71" s="30" t="s">
        <v>2129</v>
      </c>
      <c r="AS71" s="30" t="s">
        <v>2129</v>
      </c>
      <c r="AT71" s="30" t="s">
        <v>2129</v>
      </c>
      <c r="AU71" s="30" t="s">
        <v>2129</v>
      </c>
      <c r="AV71" s="30" t="s">
        <v>2129</v>
      </c>
      <c r="AW71" s="30" t="s">
        <v>2129</v>
      </c>
      <c r="AX71" s="30"/>
      <c r="AY71" s="30"/>
      <c r="AZ71" s="30" t="s">
        <v>2129</v>
      </c>
      <c r="BA71" s="30" t="s">
        <v>2129</v>
      </c>
      <c r="BB71" s="30"/>
      <c r="BC71" s="30"/>
      <c r="BD71" s="30" t="s">
        <v>2129</v>
      </c>
      <c r="BE71" s="30" t="s">
        <v>2129</v>
      </c>
      <c r="BF71" s="30" t="s">
        <v>2129</v>
      </c>
      <c r="BG71" s="30" t="s">
        <v>2129</v>
      </c>
      <c r="BH71" s="30" t="s">
        <v>2129</v>
      </c>
      <c r="BI71" s="30" t="s">
        <v>2129</v>
      </c>
      <c r="BJ71" s="30" t="s">
        <v>2129</v>
      </c>
      <c r="BK71" s="30" t="s">
        <v>2129</v>
      </c>
      <c r="BL71" s="30" t="s">
        <v>2129</v>
      </c>
      <c r="BM71" s="30" t="s">
        <v>2129</v>
      </c>
      <c r="BN71" s="30" t="s">
        <v>2129</v>
      </c>
      <c r="BO71" s="30" t="s">
        <v>2129</v>
      </c>
      <c r="BP71" s="30" t="s">
        <v>2129</v>
      </c>
      <c r="BQ71" s="30" t="s">
        <v>2129</v>
      </c>
      <c r="BR71" s="30" t="s">
        <v>2129</v>
      </c>
      <c r="BS71" s="30" t="s">
        <v>2129</v>
      </c>
      <c r="BT71" s="30" t="s">
        <v>2129</v>
      </c>
      <c r="BU71" s="30" t="s">
        <v>2129</v>
      </c>
      <c r="BV71" s="30" t="s">
        <v>2129</v>
      </c>
      <c r="BW71" s="30" t="s">
        <v>2129</v>
      </c>
      <c r="BX71" s="30" t="s">
        <v>2129</v>
      </c>
      <c r="BY71" s="30" t="s">
        <v>2129</v>
      </c>
      <c r="BZ71" s="30" t="s">
        <v>2129</v>
      </c>
      <c r="CA71" s="30" t="s">
        <v>2129</v>
      </c>
      <c r="CB71" s="30" t="s">
        <v>2129</v>
      </c>
      <c r="CC71" s="30" t="s">
        <v>2129</v>
      </c>
      <c r="CD71" s="30" t="s">
        <v>2129</v>
      </c>
      <c r="CE71" s="30" t="s">
        <v>3397</v>
      </c>
      <c r="CF71" s="30" t="s">
        <v>3395</v>
      </c>
      <c r="CG71" s="30" t="s">
        <v>2129</v>
      </c>
      <c r="CH71" s="30" t="s">
        <v>2129</v>
      </c>
      <c r="CI71" s="30" t="s">
        <v>2129</v>
      </c>
      <c r="CJ71" s="30" t="s">
        <v>2129</v>
      </c>
      <c r="CK71" s="30" t="s">
        <v>2129</v>
      </c>
      <c r="CL71" s="30" t="s">
        <v>2129</v>
      </c>
      <c r="CM71" s="30" t="s">
        <v>2129</v>
      </c>
      <c r="CN71" s="30" t="s">
        <v>2129</v>
      </c>
      <c r="CO71" s="30" t="s">
        <v>2129</v>
      </c>
      <c r="CP71" s="30" t="s">
        <v>2129</v>
      </c>
      <c r="CQ71" s="30" t="s">
        <v>2129</v>
      </c>
      <c r="CR71" s="30" t="s">
        <v>2129</v>
      </c>
      <c r="CS71" s="30"/>
      <c r="CT71" s="30" t="s">
        <v>2129</v>
      </c>
      <c r="CU71" s="30" t="s">
        <v>2129</v>
      </c>
      <c r="CV71" s="30" t="s">
        <v>2129</v>
      </c>
      <c r="CW71" s="30" t="s">
        <v>2129</v>
      </c>
      <c r="CX71" s="30" t="s">
        <v>2129</v>
      </c>
      <c r="CY71" s="30" t="s">
        <v>2129</v>
      </c>
      <c r="CZ71" s="30" t="s">
        <v>2129</v>
      </c>
      <c r="DA71" s="30" t="s">
        <v>2129</v>
      </c>
      <c r="DB71" s="30" t="s">
        <v>2129</v>
      </c>
      <c r="DC71" s="30" t="s">
        <v>2129</v>
      </c>
      <c r="DD71" s="30" t="s">
        <v>2129</v>
      </c>
      <c r="DE71" s="30" t="s">
        <v>2129</v>
      </c>
      <c r="DF71" s="30" t="s">
        <v>2129</v>
      </c>
      <c r="DG71" s="30" t="s">
        <v>2129</v>
      </c>
      <c r="DH71" s="30" t="s">
        <v>2129</v>
      </c>
      <c r="DI71" s="30" t="s">
        <v>2129</v>
      </c>
      <c r="DJ71" s="30" t="s">
        <v>2129</v>
      </c>
      <c r="DK71" s="30" t="s">
        <v>2129</v>
      </c>
      <c r="DL71" s="30" t="s">
        <v>2129</v>
      </c>
      <c r="DM71" s="30" t="s">
        <v>2129</v>
      </c>
      <c r="DN71" s="30" t="s">
        <v>2129</v>
      </c>
      <c r="DO71" s="30" t="s">
        <v>2129</v>
      </c>
      <c r="DP71" s="30" t="s">
        <v>2129</v>
      </c>
      <c r="DQ71" s="43" t="s">
        <v>2129</v>
      </c>
    </row>
    <row r="72" spans="1:121" x14ac:dyDescent="0.25">
      <c r="A72" s="39" t="s">
        <v>1723</v>
      </c>
      <c r="B72" s="29" t="s">
        <v>3398</v>
      </c>
      <c r="C72" s="29">
        <v>23091</v>
      </c>
      <c r="D72" s="29"/>
      <c r="E72" s="29" t="s">
        <v>2136</v>
      </c>
      <c r="F72" s="29" t="s">
        <v>10</v>
      </c>
      <c r="G72" s="29" t="s">
        <v>2177</v>
      </c>
      <c r="H72" s="29" t="s">
        <v>44</v>
      </c>
      <c r="I72" s="29" t="s">
        <v>2127</v>
      </c>
      <c r="J72" s="29" t="s">
        <v>2156</v>
      </c>
      <c r="K72" s="29" t="s">
        <v>2129</v>
      </c>
      <c r="L72" s="29" t="s">
        <v>2178</v>
      </c>
      <c r="M72" s="29" t="s">
        <v>2130</v>
      </c>
      <c r="N72" s="29" t="s">
        <v>2129</v>
      </c>
      <c r="O72" s="29" t="s">
        <v>2129</v>
      </c>
      <c r="P72" s="29" t="s">
        <v>2156</v>
      </c>
      <c r="Q72" s="29" t="s">
        <v>2156</v>
      </c>
      <c r="R72" s="45">
        <v>46084.538194444445</v>
      </c>
      <c r="S72" s="45">
        <v>46084.538194444445</v>
      </c>
      <c r="T72" s="45">
        <v>46087.717361111114</v>
      </c>
      <c r="U72" s="45"/>
      <c r="V72" s="29" t="s">
        <v>2129</v>
      </c>
      <c r="W72" s="29" t="s">
        <v>2129</v>
      </c>
      <c r="X72" s="29" t="s">
        <v>2129</v>
      </c>
      <c r="Y72" s="29">
        <v>0</v>
      </c>
      <c r="Z72" s="29" t="s">
        <v>2129</v>
      </c>
      <c r="AA72" s="29" t="s">
        <v>2129</v>
      </c>
      <c r="AB72" s="29" t="s">
        <v>2129</v>
      </c>
      <c r="AC72" s="29" t="s">
        <v>2129</v>
      </c>
      <c r="AD72" s="29" t="s">
        <v>2156</v>
      </c>
      <c r="AE72" s="29" t="s">
        <v>2129</v>
      </c>
      <c r="AF72" s="29" t="s">
        <v>2129</v>
      </c>
      <c r="AG72" s="29" t="s">
        <v>2129</v>
      </c>
      <c r="AH72" s="29" t="s">
        <v>2129</v>
      </c>
      <c r="AI72" s="29" t="s">
        <v>2129</v>
      </c>
      <c r="AJ72" s="29" t="s">
        <v>2129</v>
      </c>
      <c r="AK72" s="29" t="s">
        <v>2129</v>
      </c>
      <c r="AL72" s="29" t="s">
        <v>2129</v>
      </c>
      <c r="AM72" s="29" t="s">
        <v>2129</v>
      </c>
      <c r="AN72" s="29" t="s">
        <v>2129</v>
      </c>
      <c r="AO72" s="29" t="s">
        <v>2129</v>
      </c>
      <c r="AP72" s="29" t="s">
        <v>2129</v>
      </c>
      <c r="AQ72" s="29" t="s">
        <v>2129</v>
      </c>
      <c r="AR72" s="29" t="s">
        <v>2129</v>
      </c>
      <c r="AS72" s="29" t="s">
        <v>2129</v>
      </c>
      <c r="AT72" s="29" t="s">
        <v>2129</v>
      </c>
      <c r="AU72" s="29" t="s">
        <v>2129</v>
      </c>
      <c r="AV72" s="29" t="s">
        <v>2129</v>
      </c>
      <c r="AW72" s="29" t="s">
        <v>2129</v>
      </c>
      <c r="AX72" s="29"/>
      <c r="AY72" s="29"/>
      <c r="AZ72" s="29" t="s">
        <v>2129</v>
      </c>
      <c r="BA72" s="29" t="s">
        <v>2129</v>
      </c>
      <c r="BB72" s="29"/>
      <c r="BC72" s="29"/>
      <c r="BD72" s="29" t="s">
        <v>2129</v>
      </c>
      <c r="BE72" s="29" t="s">
        <v>2129</v>
      </c>
      <c r="BF72" s="29" t="s">
        <v>2129</v>
      </c>
      <c r="BG72" s="29" t="s">
        <v>2129</v>
      </c>
      <c r="BH72" s="29" t="s">
        <v>2129</v>
      </c>
      <c r="BI72" s="29" t="s">
        <v>2129</v>
      </c>
      <c r="BJ72" s="29" t="s">
        <v>2129</v>
      </c>
      <c r="BK72" s="29" t="s">
        <v>2129</v>
      </c>
      <c r="BL72" s="29" t="s">
        <v>2129</v>
      </c>
      <c r="BM72" s="29" t="s">
        <v>2129</v>
      </c>
      <c r="BN72" s="29" t="s">
        <v>2129</v>
      </c>
      <c r="BO72" s="29" t="s">
        <v>2129</v>
      </c>
      <c r="BP72" s="29" t="s">
        <v>2129</v>
      </c>
      <c r="BQ72" s="29" t="s">
        <v>2129</v>
      </c>
      <c r="BR72" s="29" t="s">
        <v>2129</v>
      </c>
      <c r="BS72" s="29" t="s">
        <v>2129</v>
      </c>
      <c r="BT72" s="29" t="s">
        <v>2129</v>
      </c>
      <c r="BU72" s="29" t="s">
        <v>2129</v>
      </c>
      <c r="BV72" s="29" t="s">
        <v>2129</v>
      </c>
      <c r="BW72" s="29" t="s">
        <v>2129</v>
      </c>
      <c r="BX72" s="29" t="s">
        <v>2129</v>
      </c>
      <c r="BY72" s="29" t="s">
        <v>2129</v>
      </c>
      <c r="BZ72" s="29" t="s">
        <v>2129</v>
      </c>
      <c r="CA72" s="29" t="s">
        <v>2129</v>
      </c>
      <c r="CB72" s="29" t="s">
        <v>2129</v>
      </c>
      <c r="CC72" s="29" t="s">
        <v>2129</v>
      </c>
      <c r="CD72" s="29" t="s">
        <v>2129</v>
      </c>
      <c r="CE72" s="29" t="s">
        <v>3399</v>
      </c>
      <c r="CF72" s="29" t="s">
        <v>3395</v>
      </c>
      <c r="CG72" s="29" t="s">
        <v>2129</v>
      </c>
      <c r="CH72" s="29" t="s">
        <v>2129</v>
      </c>
      <c r="CI72" s="29" t="s">
        <v>2129</v>
      </c>
      <c r="CJ72" s="29" t="s">
        <v>2129</v>
      </c>
      <c r="CK72" s="29" t="s">
        <v>2129</v>
      </c>
      <c r="CL72" s="29" t="s">
        <v>2129</v>
      </c>
      <c r="CM72" s="29" t="s">
        <v>2129</v>
      </c>
      <c r="CN72" s="29" t="s">
        <v>2129</v>
      </c>
      <c r="CO72" s="29" t="s">
        <v>2129</v>
      </c>
      <c r="CP72" s="29" t="s">
        <v>2129</v>
      </c>
      <c r="CQ72" s="29" t="s">
        <v>2129</v>
      </c>
      <c r="CR72" s="29" t="s">
        <v>2129</v>
      </c>
      <c r="CS72" s="29"/>
      <c r="CT72" s="29" t="s">
        <v>2129</v>
      </c>
      <c r="CU72" s="29" t="s">
        <v>2129</v>
      </c>
      <c r="CV72" s="29" t="s">
        <v>2129</v>
      </c>
      <c r="CW72" s="29" t="s">
        <v>2129</v>
      </c>
      <c r="CX72" s="29" t="s">
        <v>2129</v>
      </c>
      <c r="CY72" s="29" t="s">
        <v>2129</v>
      </c>
      <c r="CZ72" s="29" t="s">
        <v>2129</v>
      </c>
      <c r="DA72" s="29" t="s">
        <v>2129</v>
      </c>
      <c r="DB72" s="29" t="s">
        <v>2129</v>
      </c>
      <c r="DC72" s="29" t="s">
        <v>2129</v>
      </c>
      <c r="DD72" s="29" t="s">
        <v>2129</v>
      </c>
      <c r="DE72" s="29" t="s">
        <v>2129</v>
      </c>
      <c r="DF72" s="29" t="s">
        <v>2129</v>
      </c>
      <c r="DG72" s="29" t="s">
        <v>2129</v>
      </c>
      <c r="DH72" s="29" t="s">
        <v>2129</v>
      </c>
      <c r="DI72" s="29" t="s">
        <v>2129</v>
      </c>
      <c r="DJ72" s="29" t="s">
        <v>2129</v>
      </c>
      <c r="DK72" s="29" t="s">
        <v>2129</v>
      </c>
      <c r="DL72" s="29" t="s">
        <v>2129</v>
      </c>
      <c r="DM72" s="29" t="s">
        <v>2129</v>
      </c>
      <c r="DN72" s="29" t="s">
        <v>2129</v>
      </c>
      <c r="DO72" s="29" t="s">
        <v>2129</v>
      </c>
      <c r="DP72" s="29" t="s">
        <v>2129</v>
      </c>
      <c r="DQ72" s="42" t="s">
        <v>2129</v>
      </c>
    </row>
    <row r="73" spans="1:121" x14ac:dyDescent="0.25">
      <c r="A73" s="36" t="s">
        <v>1723</v>
      </c>
      <c r="B73" s="30" t="s">
        <v>3400</v>
      </c>
      <c r="C73" s="30">
        <v>23090</v>
      </c>
      <c r="D73" s="30"/>
      <c r="E73" s="30" t="s">
        <v>2136</v>
      </c>
      <c r="F73" s="30" t="s">
        <v>10</v>
      </c>
      <c r="G73" s="30" t="s">
        <v>2177</v>
      </c>
      <c r="H73" s="30" t="s">
        <v>44</v>
      </c>
      <c r="I73" s="30" t="s">
        <v>2127</v>
      </c>
      <c r="J73" s="30" t="s">
        <v>2156</v>
      </c>
      <c r="K73" s="30" t="s">
        <v>2129</v>
      </c>
      <c r="L73" s="30" t="s">
        <v>2178</v>
      </c>
      <c r="M73" s="30" t="s">
        <v>2130</v>
      </c>
      <c r="N73" s="30" t="s">
        <v>2129</v>
      </c>
      <c r="O73" s="30" t="s">
        <v>2129</v>
      </c>
      <c r="P73" s="30" t="s">
        <v>2156</v>
      </c>
      <c r="Q73" s="30" t="s">
        <v>2156</v>
      </c>
      <c r="R73" s="46">
        <v>46084.538194444445</v>
      </c>
      <c r="S73" s="46">
        <v>46084.538194444445</v>
      </c>
      <c r="T73" s="46">
        <v>46087.717361111114</v>
      </c>
      <c r="U73" s="46"/>
      <c r="V73" s="30" t="s">
        <v>2129</v>
      </c>
      <c r="W73" s="30" t="s">
        <v>2129</v>
      </c>
      <c r="X73" s="30" t="s">
        <v>2129</v>
      </c>
      <c r="Y73" s="30">
        <v>0</v>
      </c>
      <c r="Z73" s="30" t="s">
        <v>2129</v>
      </c>
      <c r="AA73" s="30" t="s">
        <v>2129</v>
      </c>
      <c r="AB73" s="30" t="s">
        <v>2129</v>
      </c>
      <c r="AC73" s="30" t="s">
        <v>2129</v>
      </c>
      <c r="AD73" s="30" t="s">
        <v>2156</v>
      </c>
      <c r="AE73" s="30" t="s">
        <v>2129</v>
      </c>
      <c r="AF73" s="30" t="s">
        <v>2129</v>
      </c>
      <c r="AG73" s="30" t="s">
        <v>2129</v>
      </c>
      <c r="AH73" s="30" t="s">
        <v>2129</v>
      </c>
      <c r="AI73" s="30" t="s">
        <v>2129</v>
      </c>
      <c r="AJ73" s="30" t="s">
        <v>2129</v>
      </c>
      <c r="AK73" s="30" t="s">
        <v>2129</v>
      </c>
      <c r="AL73" s="30" t="s">
        <v>2129</v>
      </c>
      <c r="AM73" s="30" t="s">
        <v>2129</v>
      </c>
      <c r="AN73" s="30" t="s">
        <v>2129</v>
      </c>
      <c r="AO73" s="30" t="s">
        <v>2129</v>
      </c>
      <c r="AP73" s="30" t="s">
        <v>2129</v>
      </c>
      <c r="AQ73" s="30" t="s">
        <v>2129</v>
      </c>
      <c r="AR73" s="30" t="s">
        <v>2129</v>
      </c>
      <c r="AS73" s="30" t="s">
        <v>2129</v>
      </c>
      <c r="AT73" s="30" t="s">
        <v>2129</v>
      </c>
      <c r="AU73" s="30" t="s">
        <v>2129</v>
      </c>
      <c r="AV73" s="30" t="s">
        <v>2129</v>
      </c>
      <c r="AW73" s="30" t="s">
        <v>2129</v>
      </c>
      <c r="AX73" s="30"/>
      <c r="AY73" s="30"/>
      <c r="AZ73" s="30" t="s">
        <v>2129</v>
      </c>
      <c r="BA73" s="30" t="s">
        <v>2129</v>
      </c>
      <c r="BB73" s="30"/>
      <c r="BC73" s="30"/>
      <c r="BD73" s="30" t="s">
        <v>2129</v>
      </c>
      <c r="BE73" s="30" t="s">
        <v>2129</v>
      </c>
      <c r="BF73" s="30" t="s">
        <v>2129</v>
      </c>
      <c r="BG73" s="30" t="s">
        <v>2129</v>
      </c>
      <c r="BH73" s="30" t="s">
        <v>2129</v>
      </c>
      <c r="BI73" s="30" t="s">
        <v>2129</v>
      </c>
      <c r="BJ73" s="30" t="s">
        <v>2129</v>
      </c>
      <c r="BK73" s="30" t="s">
        <v>2129</v>
      </c>
      <c r="BL73" s="30" t="s">
        <v>2129</v>
      </c>
      <c r="BM73" s="30" t="s">
        <v>2129</v>
      </c>
      <c r="BN73" s="30" t="s">
        <v>2129</v>
      </c>
      <c r="BO73" s="30" t="s">
        <v>2129</v>
      </c>
      <c r="BP73" s="30" t="s">
        <v>2129</v>
      </c>
      <c r="BQ73" s="30" t="s">
        <v>2129</v>
      </c>
      <c r="BR73" s="30" t="s">
        <v>2129</v>
      </c>
      <c r="BS73" s="30" t="s">
        <v>2129</v>
      </c>
      <c r="BT73" s="30" t="s">
        <v>2129</v>
      </c>
      <c r="BU73" s="30" t="s">
        <v>2129</v>
      </c>
      <c r="BV73" s="30" t="s">
        <v>2129</v>
      </c>
      <c r="BW73" s="30" t="s">
        <v>2129</v>
      </c>
      <c r="BX73" s="30" t="s">
        <v>2129</v>
      </c>
      <c r="BY73" s="30" t="s">
        <v>2129</v>
      </c>
      <c r="BZ73" s="30" t="s">
        <v>2129</v>
      </c>
      <c r="CA73" s="30" t="s">
        <v>2129</v>
      </c>
      <c r="CB73" s="30" t="s">
        <v>2129</v>
      </c>
      <c r="CC73" s="30" t="s">
        <v>2129</v>
      </c>
      <c r="CD73" s="30" t="s">
        <v>2129</v>
      </c>
      <c r="CE73" s="30" t="s">
        <v>3401</v>
      </c>
      <c r="CF73" s="30" t="s">
        <v>3395</v>
      </c>
      <c r="CG73" s="30" t="s">
        <v>2129</v>
      </c>
      <c r="CH73" s="30" t="s">
        <v>2129</v>
      </c>
      <c r="CI73" s="30" t="s">
        <v>2129</v>
      </c>
      <c r="CJ73" s="30" t="s">
        <v>2129</v>
      </c>
      <c r="CK73" s="30" t="s">
        <v>2129</v>
      </c>
      <c r="CL73" s="30" t="s">
        <v>2129</v>
      </c>
      <c r="CM73" s="30" t="s">
        <v>2129</v>
      </c>
      <c r="CN73" s="30" t="s">
        <v>2129</v>
      </c>
      <c r="CO73" s="30" t="s">
        <v>2129</v>
      </c>
      <c r="CP73" s="30" t="s">
        <v>2129</v>
      </c>
      <c r="CQ73" s="30" t="s">
        <v>2129</v>
      </c>
      <c r="CR73" s="30" t="s">
        <v>2129</v>
      </c>
      <c r="CS73" s="30"/>
      <c r="CT73" s="30" t="s">
        <v>2129</v>
      </c>
      <c r="CU73" s="30" t="s">
        <v>2129</v>
      </c>
      <c r="CV73" s="30" t="s">
        <v>2129</v>
      </c>
      <c r="CW73" s="30" t="s">
        <v>2129</v>
      </c>
      <c r="CX73" s="30" t="s">
        <v>2129</v>
      </c>
      <c r="CY73" s="30" t="s">
        <v>2129</v>
      </c>
      <c r="CZ73" s="30" t="s">
        <v>2129</v>
      </c>
      <c r="DA73" s="30" t="s">
        <v>2129</v>
      </c>
      <c r="DB73" s="30" t="s">
        <v>2129</v>
      </c>
      <c r="DC73" s="30" t="s">
        <v>2129</v>
      </c>
      <c r="DD73" s="30" t="s">
        <v>2129</v>
      </c>
      <c r="DE73" s="30" t="s">
        <v>2129</v>
      </c>
      <c r="DF73" s="30" t="s">
        <v>2129</v>
      </c>
      <c r="DG73" s="30" t="s">
        <v>2129</v>
      </c>
      <c r="DH73" s="30" t="s">
        <v>2129</v>
      </c>
      <c r="DI73" s="30" t="s">
        <v>2129</v>
      </c>
      <c r="DJ73" s="30" t="s">
        <v>2129</v>
      </c>
      <c r="DK73" s="30" t="s">
        <v>2129</v>
      </c>
      <c r="DL73" s="30" t="s">
        <v>2129</v>
      </c>
      <c r="DM73" s="30" t="s">
        <v>2129</v>
      </c>
      <c r="DN73" s="30" t="s">
        <v>2129</v>
      </c>
      <c r="DO73" s="30" t="s">
        <v>2129</v>
      </c>
      <c r="DP73" s="30" t="s">
        <v>2129</v>
      </c>
      <c r="DQ73" s="43" t="s">
        <v>2129</v>
      </c>
    </row>
    <row r="74" spans="1:121" x14ac:dyDescent="0.25">
      <c r="A74" s="39" t="s">
        <v>2135</v>
      </c>
      <c r="B74" s="29" t="s">
        <v>3402</v>
      </c>
      <c r="C74" s="29">
        <v>23057</v>
      </c>
      <c r="D74" s="29"/>
      <c r="E74" s="29" t="s">
        <v>2136</v>
      </c>
      <c r="F74" s="29" t="s">
        <v>1922</v>
      </c>
      <c r="G74" s="29" t="s">
        <v>2177</v>
      </c>
      <c r="H74" s="29" t="s">
        <v>44</v>
      </c>
      <c r="I74" s="29" t="s">
        <v>2127</v>
      </c>
      <c r="J74" s="29" t="s">
        <v>2156</v>
      </c>
      <c r="K74" s="29" t="s">
        <v>2129</v>
      </c>
      <c r="L74" s="29" t="s">
        <v>2178</v>
      </c>
      <c r="M74" s="29" t="s">
        <v>2130</v>
      </c>
      <c r="N74" s="29" t="s">
        <v>2129</v>
      </c>
      <c r="O74" s="29" t="s">
        <v>2946</v>
      </c>
      <c r="P74" s="29" t="s">
        <v>2150</v>
      </c>
      <c r="Q74" s="29" t="s">
        <v>2150</v>
      </c>
      <c r="R74" s="45">
        <v>46080.667361111111</v>
      </c>
      <c r="S74" s="45">
        <v>46084.728472222225</v>
      </c>
      <c r="T74" s="45">
        <v>46087.717361111114</v>
      </c>
      <c r="U74" s="45"/>
      <c r="V74" s="29" t="s">
        <v>2129</v>
      </c>
      <c r="W74" s="29" t="s">
        <v>2129</v>
      </c>
      <c r="X74" s="29" t="s">
        <v>2129</v>
      </c>
      <c r="Y74" s="29">
        <v>0</v>
      </c>
      <c r="Z74" s="29" t="s">
        <v>2129</v>
      </c>
      <c r="AA74" s="29" t="s">
        <v>2129</v>
      </c>
      <c r="AB74" s="29" t="s">
        <v>2129</v>
      </c>
      <c r="AC74" s="29" t="s">
        <v>2129</v>
      </c>
      <c r="AD74" s="29" t="s">
        <v>2150</v>
      </c>
      <c r="AE74" s="29" t="s">
        <v>2129</v>
      </c>
      <c r="AF74" s="29" t="s">
        <v>2129</v>
      </c>
      <c r="AG74" s="29" t="s">
        <v>2129</v>
      </c>
      <c r="AH74" s="29" t="s">
        <v>2129</v>
      </c>
      <c r="AI74" s="29" t="s">
        <v>3403</v>
      </c>
      <c r="AJ74" s="29" t="s">
        <v>3404</v>
      </c>
      <c r="AK74" s="29" t="s">
        <v>3405</v>
      </c>
      <c r="AL74" s="29" t="s">
        <v>3406</v>
      </c>
      <c r="AM74" s="29" t="s">
        <v>3407</v>
      </c>
      <c r="AN74" s="29" t="s">
        <v>3408</v>
      </c>
      <c r="AO74" s="29" t="s">
        <v>3409</v>
      </c>
      <c r="AP74" s="29" t="s">
        <v>2129</v>
      </c>
      <c r="AQ74" s="29" t="s">
        <v>2129</v>
      </c>
      <c r="AR74" s="29" t="s">
        <v>2129</v>
      </c>
      <c r="AS74" s="29" t="s">
        <v>2129</v>
      </c>
      <c r="AT74" s="29" t="s">
        <v>2129</v>
      </c>
      <c r="AU74" s="29" t="s">
        <v>2129</v>
      </c>
      <c r="AV74" s="29" t="s">
        <v>2129</v>
      </c>
      <c r="AW74" s="29" t="s">
        <v>2129</v>
      </c>
      <c r="AX74" s="29">
        <v>0</v>
      </c>
      <c r="AY74" s="29">
        <v>117000</v>
      </c>
      <c r="AZ74" s="29" t="s">
        <v>2129</v>
      </c>
      <c r="BA74" s="29" t="s">
        <v>2129</v>
      </c>
      <c r="BB74" s="29">
        <v>0</v>
      </c>
      <c r="BC74" s="29">
        <v>117000</v>
      </c>
      <c r="BD74" s="29" t="s">
        <v>2129</v>
      </c>
      <c r="BE74" s="29" t="s">
        <v>2129</v>
      </c>
      <c r="BF74" s="29" t="s">
        <v>2129</v>
      </c>
      <c r="BG74" s="29" t="s">
        <v>2129</v>
      </c>
      <c r="BH74" s="29" t="s">
        <v>2129</v>
      </c>
      <c r="BI74" s="29" t="s">
        <v>2129</v>
      </c>
      <c r="BJ74" s="29" t="s">
        <v>2129</v>
      </c>
      <c r="BK74" s="29" t="s">
        <v>2129</v>
      </c>
      <c r="BL74" s="29" t="s">
        <v>2129</v>
      </c>
      <c r="BM74" s="29" t="s">
        <v>2129</v>
      </c>
      <c r="BN74" s="29" t="s">
        <v>2129</v>
      </c>
      <c r="BO74" s="29" t="s">
        <v>2129</v>
      </c>
      <c r="BP74" s="29" t="s">
        <v>2129</v>
      </c>
      <c r="BQ74" s="29" t="s">
        <v>2129</v>
      </c>
      <c r="BR74" s="29" t="s">
        <v>2129</v>
      </c>
      <c r="BS74" s="29" t="s">
        <v>2129</v>
      </c>
      <c r="BT74" s="29" t="s">
        <v>2129</v>
      </c>
      <c r="BU74" s="29" t="s">
        <v>2129</v>
      </c>
      <c r="BV74" s="29" t="s">
        <v>2129</v>
      </c>
      <c r="BW74" s="29" t="s">
        <v>2129</v>
      </c>
      <c r="BX74" s="29" t="s">
        <v>2129</v>
      </c>
      <c r="BY74" s="29" t="s">
        <v>2129</v>
      </c>
      <c r="BZ74" s="29" t="s">
        <v>2129</v>
      </c>
      <c r="CA74" s="29" t="s">
        <v>2129</v>
      </c>
      <c r="CB74" s="29" t="s">
        <v>2129</v>
      </c>
      <c r="CC74" s="29" t="s">
        <v>2129</v>
      </c>
      <c r="CD74" s="29" t="s">
        <v>2129</v>
      </c>
      <c r="CE74" s="29" t="s">
        <v>3410</v>
      </c>
      <c r="CF74" s="29" t="s">
        <v>3411</v>
      </c>
      <c r="CG74" s="29" t="s">
        <v>2129</v>
      </c>
      <c r="CH74" s="29" t="s">
        <v>2129</v>
      </c>
      <c r="CI74" s="29" t="s">
        <v>2129</v>
      </c>
      <c r="CJ74" s="29" t="s">
        <v>2129</v>
      </c>
      <c r="CK74" s="29" t="s">
        <v>2129</v>
      </c>
      <c r="CL74" s="29" t="s">
        <v>2129</v>
      </c>
      <c r="CM74" s="29" t="s">
        <v>2129</v>
      </c>
      <c r="CN74" s="29" t="s">
        <v>2129</v>
      </c>
      <c r="CO74" s="29" t="s">
        <v>2129</v>
      </c>
      <c r="CP74" s="29" t="s">
        <v>2129</v>
      </c>
      <c r="CQ74" s="29" t="s">
        <v>2129</v>
      </c>
      <c r="CR74" s="29" t="s">
        <v>2129</v>
      </c>
      <c r="CS74" s="29"/>
      <c r="CT74" s="29" t="s">
        <v>2129</v>
      </c>
      <c r="CU74" s="29" t="s">
        <v>2129</v>
      </c>
      <c r="CV74" s="29" t="s">
        <v>2129</v>
      </c>
      <c r="CW74" s="29" t="s">
        <v>2129</v>
      </c>
      <c r="CX74" s="29" t="s">
        <v>2129</v>
      </c>
      <c r="CY74" s="29" t="s">
        <v>2129</v>
      </c>
      <c r="CZ74" s="29" t="s">
        <v>2129</v>
      </c>
      <c r="DA74" s="29" t="s">
        <v>2129</v>
      </c>
      <c r="DB74" s="29" t="s">
        <v>2129</v>
      </c>
      <c r="DC74" s="29" t="s">
        <v>2129</v>
      </c>
      <c r="DD74" s="29" t="s">
        <v>2129</v>
      </c>
      <c r="DE74" s="29" t="s">
        <v>2129</v>
      </c>
      <c r="DF74" s="29" t="s">
        <v>2129</v>
      </c>
      <c r="DG74" s="29" t="s">
        <v>2129</v>
      </c>
      <c r="DH74" s="29" t="s">
        <v>2129</v>
      </c>
      <c r="DI74" s="29" t="s">
        <v>2129</v>
      </c>
      <c r="DJ74" s="29" t="s">
        <v>2129</v>
      </c>
      <c r="DK74" s="29" t="s">
        <v>2129</v>
      </c>
      <c r="DL74" s="29" t="s">
        <v>2129</v>
      </c>
      <c r="DM74" s="29" t="s">
        <v>2129</v>
      </c>
      <c r="DN74" s="29" t="s">
        <v>2129</v>
      </c>
      <c r="DO74" s="29" t="s">
        <v>2129</v>
      </c>
      <c r="DP74" s="29" t="s">
        <v>2129</v>
      </c>
      <c r="DQ74" s="42" t="s">
        <v>2129</v>
      </c>
    </row>
    <row r="75" spans="1:121" x14ac:dyDescent="0.25">
      <c r="A75" s="36" t="s">
        <v>2159</v>
      </c>
      <c r="B75" s="30" t="s">
        <v>3412</v>
      </c>
      <c r="C75" s="30">
        <v>23001</v>
      </c>
      <c r="D75" s="30"/>
      <c r="E75" s="30" t="s">
        <v>2136</v>
      </c>
      <c r="F75" s="30" t="s">
        <v>10</v>
      </c>
      <c r="G75" s="30" t="s">
        <v>2177</v>
      </c>
      <c r="H75" s="30" t="s">
        <v>44</v>
      </c>
      <c r="I75" s="30" t="s">
        <v>2127</v>
      </c>
      <c r="J75" s="30" t="s">
        <v>2156</v>
      </c>
      <c r="K75" s="30" t="s">
        <v>2129</v>
      </c>
      <c r="L75" s="30" t="s">
        <v>2178</v>
      </c>
      <c r="M75" s="30" t="s">
        <v>2130</v>
      </c>
      <c r="N75" s="30" t="s">
        <v>2129</v>
      </c>
      <c r="O75" s="30" t="s">
        <v>2380</v>
      </c>
      <c r="P75" s="30" t="s">
        <v>2156</v>
      </c>
      <c r="Q75" s="30" t="s">
        <v>2156</v>
      </c>
      <c r="R75" s="46">
        <v>46073.392361111109</v>
      </c>
      <c r="S75" s="46">
        <v>46076.333333333336</v>
      </c>
      <c r="T75" s="46">
        <v>46087.717361111114</v>
      </c>
      <c r="U75" s="46"/>
      <c r="V75" s="30" t="s">
        <v>2129</v>
      </c>
      <c r="W75" s="30" t="s">
        <v>2129</v>
      </c>
      <c r="X75" s="30" t="s">
        <v>2129</v>
      </c>
      <c r="Y75" s="30">
        <v>0</v>
      </c>
      <c r="Z75" s="30" t="s">
        <v>2129</v>
      </c>
      <c r="AA75" s="30" t="s">
        <v>2129</v>
      </c>
      <c r="AB75" s="30" t="s">
        <v>2129</v>
      </c>
      <c r="AC75" s="30" t="s">
        <v>2129</v>
      </c>
      <c r="AD75" s="30" t="s">
        <v>2156</v>
      </c>
      <c r="AE75" s="30" t="s">
        <v>2129</v>
      </c>
      <c r="AF75" s="30" t="s">
        <v>2129</v>
      </c>
      <c r="AG75" s="30" t="s">
        <v>2129</v>
      </c>
      <c r="AH75" s="30" t="s">
        <v>2129</v>
      </c>
      <c r="AI75" s="30" t="s">
        <v>2129</v>
      </c>
      <c r="AJ75" s="30" t="s">
        <v>2129</v>
      </c>
      <c r="AK75" s="30" t="s">
        <v>2129</v>
      </c>
      <c r="AL75" s="30" t="s">
        <v>2129</v>
      </c>
      <c r="AM75" s="30" t="s">
        <v>2129</v>
      </c>
      <c r="AN75" s="30" t="s">
        <v>2129</v>
      </c>
      <c r="AO75" s="30" t="s">
        <v>2129</v>
      </c>
      <c r="AP75" s="30" t="s">
        <v>2129</v>
      </c>
      <c r="AQ75" s="30" t="s">
        <v>2129</v>
      </c>
      <c r="AR75" s="30" t="s">
        <v>2129</v>
      </c>
      <c r="AS75" s="30" t="s">
        <v>2129</v>
      </c>
      <c r="AT75" s="30" t="s">
        <v>2129</v>
      </c>
      <c r="AU75" s="30" t="s">
        <v>2129</v>
      </c>
      <c r="AV75" s="30" t="s">
        <v>2129</v>
      </c>
      <c r="AW75" s="30" t="s">
        <v>2129</v>
      </c>
      <c r="AX75" s="30"/>
      <c r="AY75" s="30"/>
      <c r="AZ75" s="30" t="s">
        <v>2129</v>
      </c>
      <c r="BA75" s="30" t="s">
        <v>2129</v>
      </c>
      <c r="BB75" s="30"/>
      <c r="BC75" s="30"/>
      <c r="BD75" s="30" t="s">
        <v>2129</v>
      </c>
      <c r="BE75" s="30" t="s">
        <v>2129</v>
      </c>
      <c r="BF75" s="30" t="s">
        <v>2129</v>
      </c>
      <c r="BG75" s="30" t="s">
        <v>2129</v>
      </c>
      <c r="BH75" s="30" t="s">
        <v>2129</v>
      </c>
      <c r="BI75" s="30" t="s">
        <v>2129</v>
      </c>
      <c r="BJ75" s="30" t="s">
        <v>2129</v>
      </c>
      <c r="BK75" s="30" t="s">
        <v>2129</v>
      </c>
      <c r="BL75" s="30" t="s">
        <v>2129</v>
      </c>
      <c r="BM75" s="30" t="s">
        <v>2129</v>
      </c>
      <c r="BN75" s="30" t="s">
        <v>2129</v>
      </c>
      <c r="BO75" s="30" t="s">
        <v>2129</v>
      </c>
      <c r="BP75" s="30" t="s">
        <v>2129</v>
      </c>
      <c r="BQ75" s="30" t="s">
        <v>2129</v>
      </c>
      <c r="BR75" s="30" t="s">
        <v>2129</v>
      </c>
      <c r="BS75" s="30" t="s">
        <v>2129</v>
      </c>
      <c r="BT75" s="30" t="s">
        <v>2129</v>
      </c>
      <c r="BU75" s="30" t="s">
        <v>2129</v>
      </c>
      <c r="BV75" s="30" t="s">
        <v>2129</v>
      </c>
      <c r="BW75" s="30" t="s">
        <v>2129</v>
      </c>
      <c r="BX75" s="30" t="s">
        <v>2129</v>
      </c>
      <c r="BY75" s="30" t="s">
        <v>2129</v>
      </c>
      <c r="BZ75" s="30" t="s">
        <v>2129</v>
      </c>
      <c r="CA75" s="30" t="s">
        <v>2129</v>
      </c>
      <c r="CB75" s="30" t="s">
        <v>2129</v>
      </c>
      <c r="CC75" s="30" t="s">
        <v>2129</v>
      </c>
      <c r="CD75" s="30" t="s">
        <v>2129</v>
      </c>
      <c r="CE75" s="30" t="s">
        <v>3413</v>
      </c>
      <c r="CF75" s="30" t="s">
        <v>3411</v>
      </c>
      <c r="CG75" s="30" t="s">
        <v>2129</v>
      </c>
      <c r="CH75" s="30" t="s">
        <v>2129</v>
      </c>
      <c r="CI75" s="30" t="s">
        <v>2129</v>
      </c>
      <c r="CJ75" s="30" t="s">
        <v>2129</v>
      </c>
      <c r="CK75" s="30" t="s">
        <v>2129</v>
      </c>
      <c r="CL75" s="30" t="s">
        <v>2129</v>
      </c>
      <c r="CM75" s="30" t="s">
        <v>2129</v>
      </c>
      <c r="CN75" s="30" t="s">
        <v>2129</v>
      </c>
      <c r="CO75" s="30" t="s">
        <v>2129</v>
      </c>
      <c r="CP75" s="30" t="s">
        <v>2129</v>
      </c>
      <c r="CQ75" s="30" t="s">
        <v>2129</v>
      </c>
      <c r="CR75" s="30" t="s">
        <v>2129</v>
      </c>
      <c r="CS75" s="30"/>
      <c r="CT75" s="30" t="s">
        <v>2129</v>
      </c>
      <c r="CU75" s="30" t="s">
        <v>2129</v>
      </c>
      <c r="CV75" s="30" t="s">
        <v>2129</v>
      </c>
      <c r="CW75" s="30" t="s">
        <v>2129</v>
      </c>
      <c r="CX75" s="30" t="s">
        <v>2129</v>
      </c>
      <c r="CY75" s="30" t="s">
        <v>2129</v>
      </c>
      <c r="CZ75" s="30" t="s">
        <v>2129</v>
      </c>
      <c r="DA75" s="30" t="s">
        <v>2129</v>
      </c>
      <c r="DB75" s="30" t="s">
        <v>2129</v>
      </c>
      <c r="DC75" s="30" t="s">
        <v>2129</v>
      </c>
      <c r="DD75" s="30" t="s">
        <v>2129</v>
      </c>
      <c r="DE75" s="30" t="s">
        <v>2129</v>
      </c>
      <c r="DF75" s="30" t="s">
        <v>2129</v>
      </c>
      <c r="DG75" s="30" t="s">
        <v>2129</v>
      </c>
      <c r="DH75" s="30" t="s">
        <v>2129</v>
      </c>
      <c r="DI75" s="30" t="s">
        <v>2129</v>
      </c>
      <c r="DJ75" s="30" t="s">
        <v>2129</v>
      </c>
      <c r="DK75" s="30" t="s">
        <v>2129</v>
      </c>
      <c r="DL75" s="30" t="s">
        <v>2129</v>
      </c>
      <c r="DM75" s="30" t="s">
        <v>2129</v>
      </c>
      <c r="DN75" s="30" t="s">
        <v>2129</v>
      </c>
      <c r="DO75" s="30" t="s">
        <v>2129</v>
      </c>
      <c r="DP75" s="30" t="s">
        <v>2129</v>
      </c>
      <c r="DQ75" s="43" t="s">
        <v>2129</v>
      </c>
    </row>
    <row r="76" spans="1:121" x14ac:dyDescent="0.25">
      <c r="A76" s="39" t="s">
        <v>2159</v>
      </c>
      <c r="B76" s="29" t="s">
        <v>3414</v>
      </c>
      <c r="C76" s="29">
        <v>23000</v>
      </c>
      <c r="D76" s="29"/>
      <c r="E76" s="29" t="s">
        <v>2136</v>
      </c>
      <c r="F76" s="29" t="s">
        <v>10</v>
      </c>
      <c r="G76" s="29" t="s">
        <v>2177</v>
      </c>
      <c r="H76" s="29" t="s">
        <v>44</v>
      </c>
      <c r="I76" s="29" t="s">
        <v>2127</v>
      </c>
      <c r="J76" s="29" t="s">
        <v>2156</v>
      </c>
      <c r="K76" s="29" t="s">
        <v>2129</v>
      </c>
      <c r="L76" s="29" t="s">
        <v>2178</v>
      </c>
      <c r="M76" s="29" t="s">
        <v>2130</v>
      </c>
      <c r="N76" s="29" t="s">
        <v>2129</v>
      </c>
      <c r="O76" s="29" t="s">
        <v>2180</v>
      </c>
      <c r="P76" s="29" t="s">
        <v>2156</v>
      </c>
      <c r="Q76" s="29" t="s">
        <v>2156</v>
      </c>
      <c r="R76" s="45">
        <v>46073.392361111109</v>
      </c>
      <c r="S76" s="45">
        <v>46076.333333333336</v>
      </c>
      <c r="T76" s="45">
        <v>46087.717361111114</v>
      </c>
      <c r="U76" s="45"/>
      <c r="V76" s="29" t="s">
        <v>2129</v>
      </c>
      <c r="W76" s="29" t="s">
        <v>2129</v>
      </c>
      <c r="X76" s="29" t="s">
        <v>2129</v>
      </c>
      <c r="Y76" s="29">
        <v>0</v>
      </c>
      <c r="Z76" s="29" t="s">
        <v>2129</v>
      </c>
      <c r="AA76" s="29" t="s">
        <v>2129</v>
      </c>
      <c r="AB76" s="29" t="s">
        <v>2129</v>
      </c>
      <c r="AC76" s="29" t="s">
        <v>2129</v>
      </c>
      <c r="AD76" s="29" t="s">
        <v>2156</v>
      </c>
      <c r="AE76" s="29" t="s">
        <v>2129</v>
      </c>
      <c r="AF76" s="29" t="s">
        <v>2129</v>
      </c>
      <c r="AG76" s="29" t="s">
        <v>2129</v>
      </c>
      <c r="AH76" s="29" t="s">
        <v>2129</v>
      </c>
      <c r="AI76" s="29" t="s">
        <v>2129</v>
      </c>
      <c r="AJ76" s="29" t="s">
        <v>2129</v>
      </c>
      <c r="AK76" s="29" t="s">
        <v>2129</v>
      </c>
      <c r="AL76" s="29" t="s">
        <v>2129</v>
      </c>
      <c r="AM76" s="29" t="s">
        <v>2129</v>
      </c>
      <c r="AN76" s="29" t="s">
        <v>2129</v>
      </c>
      <c r="AO76" s="29" t="s">
        <v>2129</v>
      </c>
      <c r="AP76" s="29" t="s">
        <v>2129</v>
      </c>
      <c r="AQ76" s="29" t="s">
        <v>2129</v>
      </c>
      <c r="AR76" s="29" t="s">
        <v>2129</v>
      </c>
      <c r="AS76" s="29" t="s">
        <v>2129</v>
      </c>
      <c r="AT76" s="29" t="s">
        <v>2129</v>
      </c>
      <c r="AU76" s="29" t="s">
        <v>2129</v>
      </c>
      <c r="AV76" s="29" t="s">
        <v>2129</v>
      </c>
      <c r="AW76" s="29" t="s">
        <v>2129</v>
      </c>
      <c r="AX76" s="29"/>
      <c r="AY76" s="29"/>
      <c r="AZ76" s="29" t="s">
        <v>2129</v>
      </c>
      <c r="BA76" s="29" t="s">
        <v>2129</v>
      </c>
      <c r="BB76" s="29"/>
      <c r="BC76" s="29"/>
      <c r="BD76" s="29" t="s">
        <v>2129</v>
      </c>
      <c r="BE76" s="29" t="s">
        <v>2129</v>
      </c>
      <c r="BF76" s="29" t="s">
        <v>2129</v>
      </c>
      <c r="BG76" s="29" t="s">
        <v>2129</v>
      </c>
      <c r="BH76" s="29" t="s">
        <v>2129</v>
      </c>
      <c r="BI76" s="29" t="s">
        <v>2129</v>
      </c>
      <c r="BJ76" s="29" t="s">
        <v>2129</v>
      </c>
      <c r="BK76" s="29" t="s">
        <v>2129</v>
      </c>
      <c r="BL76" s="29" t="s">
        <v>2129</v>
      </c>
      <c r="BM76" s="29" t="s">
        <v>2129</v>
      </c>
      <c r="BN76" s="29" t="s">
        <v>2129</v>
      </c>
      <c r="BO76" s="29" t="s">
        <v>2129</v>
      </c>
      <c r="BP76" s="29" t="s">
        <v>2129</v>
      </c>
      <c r="BQ76" s="29" t="s">
        <v>2129</v>
      </c>
      <c r="BR76" s="29" t="s">
        <v>2129</v>
      </c>
      <c r="BS76" s="29" t="s">
        <v>2129</v>
      </c>
      <c r="BT76" s="29" t="s">
        <v>2129</v>
      </c>
      <c r="BU76" s="29" t="s">
        <v>2129</v>
      </c>
      <c r="BV76" s="29" t="s">
        <v>2129</v>
      </c>
      <c r="BW76" s="29" t="s">
        <v>2129</v>
      </c>
      <c r="BX76" s="29" t="s">
        <v>2129</v>
      </c>
      <c r="BY76" s="29" t="s">
        <v>2129</v>
      </c>
      <c r="BZ76" s="29" t="s">
        <v>2129</v>
      </c>
      <c r="CA76" s="29" t="s">
        <v>2129</v>
      </c>
      <c r="CB76" s="29" t="s">
        <v>2129</v>
      </c>
      <c r="CC76" s="29" t="s">
        <v>2129</v>
      </c>
      <c r="CD76" s="29" t="s">
        <v>2129</v>
      </c>
      <c r="CE76" s="29" t="s">
        <v>3415</v>
      </c>
      <c r="CF76" s="29" t="s">
        <v>3411</v>
      </c>
      <c r="CG76" s="29" t="s">
        <v>2129</v>
      </c>
      <c r="CH76" s="29" t="s">
        <v>2129</v>
      </c>
      <c r="CI76" s="29" t="s">
        <v>2129</v>
      </c>
      <c r="CJ76" s="29" t="s">
        <v>2129</v>
      </c>
      <c r="CK76" s="29" t="s">
        <v>2129</v>
      </c>
      <c r="CL76" s="29" t="s">
        <v>2129</v>
      </c>
      <c r="CM76" s="29" t="s">
        <v>2129</v>
      </c>
      <c r="CN76" s="29" t="s">
        <v>2129</v>
      </c>
      <c r="CO76" s="29" t="s">
        <v>2129</v>
      </c>
      <c r="CP76" s="29" t="s">
        <v>2129</v>
      </c>
      <c r="CQ76" s="29" t="s">
        <v>2129</v>
      </c>
      <c r="CR76" s="29" t="s">
        <v>2129</v>
      </c>
      <c r="CS76" s="29"/>
      <c r="CT76" s="29" t="s">
        <v>2129</v>
      </c>
      <c r="CU76" s="29" t="s">
        <v>2129</v>
      </c>
      <c r="CV76" s="29" t="s">
        <v>2129</v>
      </c>
      <c r="CW76" s="29" t="s">
        <v>2129</v>
      </c>
      <c r="CX76" s="29" t="s">
        <v>2129</v>
      </c>
      <c r="CY76" s="29" t="s">
        <v>2129</v>
      </c>
      <c r="CZ76" s="29" t="s">
        <v>2129</v>
      </c>
      <c r="DA76" s="29" t="s">
        <v>2129</v>
      </c>
      <c r="DB76" s="29" t="s">
        <v>2129</v>
      </c>
      <c r="DC76" s="29" t="s">
        <v>2129</v>
      </c>
      <c r="DD76" s="29" t="s">
        <v>2129</v>
      </c>
      <c r="DE76" s="29" t="s">
        <v>2129</v>
      </c>
      <c r="DF76" s="29" t="s">
        <v>2129</v>
      </c>
      <c r="DG76" s="29" t="s">
        <v>2129</v>
      </c>
      <c r="DH76" s="29" t="s">
        <v>2129</v>
      </c>
      <c r="DI76" s="29" t="s">
        <v>2129</v>
      </c>
      <c r="DJ76" s="29" t="s">
        <v>2129</v>
      </c>
      <c r="DK76" s="29" t="s">
        <v>2129</v>
      </c>
      <c r="DL76" s="29" t="s">
        <v>2129</v>
      </c>
      <c r="DM76" s="29" t="s">
        <v>2129</v>
      </c>
      <c r="DN76" s="29" t="s">
        <v>2129</v>
      </c>
      <c r="DO76" s="29" t="s">
        <v>2129</v>
      </c>
      <c r="DP76" s="29" t="s">
        <v>2129</v>
      </c>
      <c r="DQ76" s="42" t="s">
        <v>2129</v>
      </c>
    </row>
    <row r="77" spans="1:121" x14ac:dyDescent="0.25">
      <c r="A77" s="36" t="s">
        <v>2135</v>
      </c>
      <c r="B77" s="30" t="s">
        <v>3416</v>
      </c>
      <c r="C77" s="30">
        <v>22999</v>
      </c>
      <c r="D77" s="30"/>
      <c r="E77" s="30" t="s">
        <v>2136</v>
      </c>
      <c r="F77" s="30" t="s">
        <v>10</v>
      </c>
      <c r="G77" s="30" t="s">
        <v>2177</v>
      </c>
      <c r="H77" s="30" t="s">
        <v>44</v>
      </c>
      <c r="I77" s="30" t="s">
        <v>2127</v>
      </c>
      <c r="J77" s="30" t="s">
        <v>2156</v>
      </c>
      <c r="K77" s="30" t="s">
        <v>2129</v>
      </c>
      <c r="L77" s="30" t="s">
        <v>2178</v>
      </c>
      <c r="M77" s="30" t="s">
        <v>2130</v>
      </c>
      <c r="N77" s="30" t="s">
        <v>2129</v>
      </c>
      <c r="O77" s="30" t="s">
        <v>2137</v>
      </c>
      <c r="P77" s="30" t="s">
        <v>2156</v>
      </c>
      <c r="Q77" s="30" t="s">
        <v>2156</v>
      </c>
      <c r="R77" s="46">
        <v>46073.392361111109</v>
      </c>
      <c r="S77" s="46">
        <v>46079.701388888891</v>
      </c>
      <c r="T77" s="46">
        <v>46087.717361111114</v>
      </c>
      <c r="U77" s="46"/>
      <c r="V77" s="30" t="s">
        <v>2129</v>
      </c>
      <c r="W77" s="30" t="s">
        <v>2129</v>
      </c>
      <c r="X77" s="30" t="s">
        <v>2129</v>
      </c>
      <c r="Y77" s="30">
        <v>0</v>
      </c>
      <c r="Z77" s="30" t="s">
        <v>2129</v>
      </c>
      <c r="AA77" s="30" t="s">
        <v>2129</v>
      </c>
      <c r="AB77" s="30" t="s">
        <v>2129</v>
      </c>
      <c r="AC77" s="30" t="s">
        <v>2129</v>
      </c>
      <c r="AD77" s="30" t="s">
        <v>2156</v>
      </c>
      <c r="AE77" s="30" t="s">
        <v>2129</v>
      </c>
      <c r="AF77" s="30" t="s">
        <v>2129</v>
      </c>
      <c r="AG77" s="30" t="s">
        <v>2129</v>
      </c>
      <c r="AH77" s="30" t="s">
        <v>2129</v>
      </c>
      <c r="AI77" s="30" t="s">
        <v>3417</v>
      </c>
      <c r="AJ77" s="30" t="s">
        <v>2129</v>
      </c>
      <c r="AK77" s="30" t="s">
        <v>2129</v>
      </c>
      <c r="AL77" s="30" t="s">
        <v>2129</v>
      </c>
      <c r="AM77" s="30" t="s">
        <v>2129</v>
      </c>
      <c r="AN77" s="30" t="s">
        <v>2129</v>
      </c>
      <c r="AO77" s="30" t="s">
        <v>2129</v>
      </c>
      <c r="AP77" s="30" t="s">
        <v>2129</v>
      </c>
      <c r="AQ77" s="30" t="s">
        <v>2129</v>
      </c>
      <c r="AR77" s="30" t="s">
        <v>2129</v>
      </c>
      <c r="AS77" s="30" t="s">
        <v>2129</v>
      </c>
      <c r="AT77" s="30" t="s">
        <v>2129</v>
      </c>
      <c r="AU77" s="30" t="s">
        <v>2129</v>
      </c>
      <c r="AV77" s="30" t="s">
        <v>2129</v>
      </c>
      <c r="AW77" s="30" t="s">
        <v>2129</v>
      </c>
      <c r="AX77" s="30">
        <v>0</v>
      </c>
      <c r="AY77" s="30">
        <v>3600</v>
      </c>
      <c r="AZ77" s="30" t="s">
        <v>2129</v>
      </c>
      <c r="BA77" s="30" t="s">
        <v>2129</v>
      </c>
      <c r="BB77" s="30">
        <v>0</v>
      </c>
      <c r="BC77" s="30">
        <v>3600</v>
      </c>
      <c r="BD77" s="30" t="s">
        <v>2129</v>
      </c>
      <c r="BE77" s="30" t="s">
        <v>2129</v>
      </c>
      <c r="BF77" s="30" t="s">
        <v>2129</v>
      </c>
      <c r="BG77" s="30" t="s">
        <v>2129</v>
      </c>
      <c r="BH77" s="30" t="s">
        <v>2129</v>
      </c>
      <c r="BI77" s="30" t="s">
        <v>2129</v>
      </c>
      <c r="BJ77" s="30" t="s">
        <v>2129</v>
      </c>
      <c r="BK77" s="30" t="s">
        <v>2129</v>
      </c>
      <c r="BL77" s="30" t="s">
        <v>2129</v>
      </c>
      <c r="BM77" s="30" t="s">
        <v>2129</v>
      </c>
      <c r="BN77" s="30" t="s">
        <v>2129</v>
      </c>
      <c r="BO77" s="30" t="s">
        <v>2129</v>
      </c>
      <c r="BP77" s="30" t="s">
        <v>2129</v>
      </c>
      <c r="BQ77" s="30" t="s">
        <v>2129</v>
      </c>
      <c r="BR77" s="30" t="s">
        <v>2129</v>
      </c>
      <c r="BS77" s="30" t="s">
        <v>2129</v>
      </c>
      <c r="BT77" s="30" t="s">
        <v>2129</v>
      </c>
      <c r="BU77" s="30" t="s">
        <v>2129</v>
      </c>
      <c r="BV77" s="30" t="s">
        <v>2129</v>
      </c>
      <c r="BW77" s="30" t="s">
        <v>2129</v>
      </c>
      <c r="BX77" s="30" t="s">
        <v>2129</v>
      </c>
      <c r="BY77" s="30" t="s">
        <v>2129</v>
      </c>
      <c r="BZ77" s="30" t="s">
        <v>2129</v>
      </c>
      <c r="CA77" s="30" t="s">
        <v>2129</v>
      </c>
      <c r="CB77" s="30" t="s">
        <v>2129</v>
      </c>
      <c r="CC77" s="30" t="s">
        <v>2129</v>
      </c>
      <c r="CD77" s="30" t="s">
        <v>2129</v>
      </c>
      <c r="CE77" s="30" t="s">
        <v>3418</v>
      </c>
      <c r="CF77" s="30" t="s">
        <v>3411</v>
      </c>
      <c r="CG77" s="30" t="s">
        <v>2129</v>
      </c>
      <c r="CH77" s="30" t="s">
        <v>2129</v>
      </c>
      <c r="CI77" s="30" t="s">
        <v>2129</v>
      </c>
      <c r="CJ77" s="30" t="s">
        <v>2129</v>
      </c>
      <c r="CK77" s="30" t="s">
        <v>2129</v>
      </c>
      <c r="CL77" s="30" t="s">
        <v>2129</v>
      </c>
      <c r="CM77" s="30" t="s">
        <v>2129</v>
      </c>
      <c r="CN77" s="30" t="s">
        <v>2129</v>
      </c>
      <c r="CO77" s="30" t="s">
        <v>2129</v>
      </c>
      <c r="CP77" s="30" t="s">
        <v>2129</v>
      </c>
      <c r="CQ77" s="30" t="s">
        <v>2129</v>
      </c>
      <c r="CR77" s="30" t="s">
        <v>2129</v>
      </c>
      <c r="CS77" s="30"/>
      <c r="CT77" s="30" t="s">
        <v>2129</v>
      </c>
      <c r="CU77" s="30" t="s">
        <v>2129</v>
      </c>
      <c r="CV77" s="30" t="s">
        <v>2129</v>
      </c>
      <c r="CW77" s="30" t="s">
        <v>2129</v>
      </c>
      <c r="CX77" s="30" t="s">
        <v>2129</v>
      </c>
      <c r="CY77" s="30" t="s">
        <v>2129</v>
      </c>
      <c r="CZ77" s="30" t="s">
        <v>2129</v>
      </c>
      <c r="DA77" s="30" t="s">
        <v>2129</v>
      </c>
      <c r="DB77" s="30" t="s">
        <v>2129</v>
      </c>
      <c r="DC77" s="30" t="s">
        <v>2129</v>
      </c>
      <c r="DD77" s="30" t="s">
        <v>2129</v>
      </c>
      <c r="DE77" s="30" t="s">
        <v>2129</v>
      </c>
      <c r="DF77" s="30" t="s">
        <v>2129</v>
      </c>
      <c r="DG77" s="30" t="s">
        <v>2129</v>
      </c>
      <c r="DH77" s="30" t="s">
        <v>2129</v>
      </c>
      <c r="DI77" s="30" t="s">
        <v>2129</v>
      </c>
      <c r="DJ77" s="30" t="s">
        <v>2129</v>
      </c>
      <c r="DK77" s="30" t="s">
        <v>2129</v>
      </c>
      <c r="DL77" s="30" t="s">
        <v>2129</v>
      </c>
      <c r="DM77" s="30" t="s">
        <v>2129</v>
      </c>
      <c r="DN77" s="30" t="s">
        <v>2129</v>
      </c>
      <c r="DO77" s="30" t="s">
        <v>2129</v>
      </c>
      <c r="DP77" s="30" t="s">
        <v>2129</v>
      </c>
      <c r="DQ77" s="43" t="s">
        <v>2129</v>
      </c>
    </row>
    <row r="78" spans="1:121" x14ac:dyDescent="0.25">
      <c r="A78" s="39" t="s">
        <v>2159</v>
      </c>
      <c r="B78" s="29" t="s">
        <v>2936</v>
      </c>
      <c r="C78" s="29">
        <v>22947</v>
      </c>
      <c r="D78" s="29"/>
      <c r="E78" s="29" t="s">
        <v>2136</v>
      </c>
      <c r="F78" s="29" t="s">
        <v>16</v>
      </c>
      <c r="G78" s="29" t="s">
        <v>2177</v>
      </c>
      <c r="H78" s="29" t="s">
        <v>44</v>
      </c>
      <c r="I78" s="29" t="s">
        <v>2127</v>
      </c>
      <c r="J78" s="29" t="s">
        <v>2156</v>
      </c>
      <c r="K78" s="29" t="s">
        <v>2129</v>
      </c>
      <c r="L78" s="29" t="s">
        <v>2178</v>
      </c>
      <c r="M78" s="29" t="s">
        <v>2130</v>
      </c>
      <c r="N78" s="29" t="s">
        <v>16</v>
      </c>
      <c r="O78" s="29" t="s">
        <v>2156</v>
      </c>
      <c r="P78" s="29" t="s">
        <v>2156</v>
      </c>
      <c r="Q78" s="29" t="s">
        <v>2156</v>
      </c>
      <c r="R78" s="45">
        <v>46062.328472222223</v>
      </c>
      <c r="S78" s="45">
        <v>46076.331944444442</v>
      </c>
      <c r="T78" s="45">
        <v>46087.717361111114</v>
      </c>
      <c r="U78" s="45">
        <v>46076.331944444442</v>
      </c>
      <c r="V78" s="29" t="s">
        <v>2129</v>
      </c>
      <c r="W78" s="29" t="s">
        <v>2129</v>
      </c>
      <c r="X78" s="29" t="s">
        <v>2129</v>
      </c>
      <c r="Y78" s="29">
        <v>0</v>
      </c>
      <c r="Z78" s="29" t="s">
        <v>2129</v>
      </c>
      <c r="AA78" s="29" t="s">
        <v>2129</v>
      </c>
      <c r="AB78" s="29" t="s">
        <v>2129</v>
      </c>
      <c r="AC78" s="29" t="s">
        <v>2129</v>
      </c>
      <c r="AD78" s="29" t="s">
        <v>2156</v>
      </c>
      <c r="AE78" s="29" t="s">
        <v>2129</v>
      </c>
      <c r="AF78" s="29" t="s">
        <v>2129</v>
      </c>
      <c r="AG78" s="29" t="s">
        <v>2129</v>
      </c>
      <c r="AH78" s="29" t="s">
        <v>2129</v>
      </c>
      <c r="AI78" s="29" t="s">
        <v>2937</v>
      </c>
      <c r="AJ78" s="29" t="s">
        <v>2938</v>
      </c>
      <c r="AK78" s="29" t="s">
        <v>2939</v>
      </c>
      <c r="AL78" s="29" t="s">
        <v>3419</v>
      </c>
      <c r="AM78" s="29" t="s">
        <v>2129</v>
      </c>
      <c r="AN78" s="29" t="s">
        <v>2129</v>
      </c>
      <c r="AO78" s="29" t="s">
        <v>2129</v>
      </c>
      <c r="AP78" s="29" t="s">
        <v>2129</v>
      </c>
      <c r="AQ78" s="29" t="s">
        <v>2129</v>
      </c>
      <c r="AR78" s="29" t="s">
        <v>2129</v>
      </c>
      <c r="AS78" s="29" t="s">
        <v>2129</v>
      </c>
      <c r="AT78" s="29" t="s">
        <v>2129</v>
      </c>
      <c r="AU78" s="29" t="s">
        <v>2129</v>
      </c>
      <c r="AV78" s="29" t="s">
        <v>2129</v>
      </c>
      <c r="AW78" s="29" t="s">
        <v>2129</v>
      </c>
      <c r="AX78" s="29">
        <v>0</v>
      </c>
      <c r="AY78" s="29">
        <v>10800</v>
      </c>
      <c r="AZ78" s="29" t="s">
        <v>2129</v>
      </c>
      <c r="BA78" s="29" t="s">
        <v>2129</v>
      </c>
      <c r="BB78" s="29">
        <v>0</v>
      </c>
      <c r="BC78" s="29">
        <v>10800</v>
      </c>
      <c r="BD78" s="29" t="s">
        <v>2129</v>
      </c>
      <c r="BE78" s="29" t="s">
        <v>2129</v>
      </c>
      <c r="BF78" s="29" t="s">
        <v>2129</v>
      </c>
      <c r="BG78" s="29" t="s">
        <v>2129</v>
      </c>
      <c r="BH78" s="29" t="s">
        <v>2129</v>
      </c>
      <c r="BI78" s="29" t="s">
        <v>2129</v>
      </c>
      <c r="BJ78" s="29" t="s">
        <v>2129</v>
      </c>
      <c r="BK78" s="29" t="s">
        <v>2129</v>
      </c>
      <c r="BL78" s="29" t="s">
        <v>2129</v>
      </c>
      <c r="BM78" s="29" t="s">
        <v>2129</v>
      </c>
      <c r="BN78" s="29" t="s">
        <v>2129</v>
      </c>
      <c r="BO78" s="29" t="s">
        <v>2129</v>
      </c>
      <c r="BP78" s="29" t="s">
        <v>2129</v>
      </c>
      <c r="BQ78" s="29" t="s">
        <v>2129</v>
      </c>
      <c r="BR78" s="29" t="s">
        <v>2129</v>
      </c>
      <c r="BS78" s="29" t="s">
        <v>2129</v>
      </c>
      <c r="BT78" s="29" t="s">
        <v>2129</v>
      </c>
      <c r="BU78" s="29" t="s">
        <v>2129</v>
      </c>
      <c r="BV78" s="29" t="s">
        <v>2129</v>
      </c>
      <c r="BW78" s="29" t="s">
        <v>2129</v>
      </c>
      <c r="BX78" s="29" t="s">
        <v>2129</v>
      </c>
      <c r="BY78" s="29" t="s">
        <v>2129</v>
      </c>
      <c r="BZ78" s="29" t="s">
        <v>2129</v>
      </c>
      <c r="CA78" s="29" t="s">
        <v>2129</v>
      </c>
      <c r="CB78" s="29" t="s">
        <v>2129</v>
      </c>
      <c r="CC78" s="29" t="s">
        <v>2129</v>
      </c>
      <c r="CD78" s="29" t="s">
        <v>2129</v>
      </c>
      <c r="CE78" s="29" t="s">
        <v>2940</v>
      </c>
      <c r="CF78" s="29" t="s">
        <v>2941</v>
      </c>
      <c r="CG78" s="29" t="s">
        <v>2129</v>
      </c>
      <c r="CH78" s="29" t="s">
        <v>2129</v>
      </c>
      <c r="CI78" s="29" t="s">
        <v>2129</v>
      </c>
      <c r="CJ78" s="29" t="s">
        <v>2129</v>
      </c>
      <c r="CK78" s="29" t="s">
        <v>2129</v>
      </c>
      <c r="CL78" s="29" t="s">
        <v>2129</v>
      </c>
      <c r="CM78" s="29" t="s">
        <v>2129</v>
      </c>
      <c r="CN78" s="29" t="s">
        <v>2129</v>
      </c>
      <c r="CO78" s="29" t="s">
        <v>2129</v>
      </c>
      <c r="CP78" s="29" t="s">
        <v>2129</v>
      </c>
      <c r="CQ78" s="29" t="s">
        <v>2129</v>
      </c>
      <c r="CR78" s="29" t="s">
        <v>2129</v>
      </c>
      <c r="CS78" s="29"/>
      <c r="CT78" s="29" t="s">
        <v>2129</v>
      </c>
      <c r="CU78" s="29" t="s">
        <v>2129</v>
      </c>
      <c r="CV78" s="29" t="s">
        <v>2129</v>
      </c>
      <c r="CW78" s="29" t="s">
        <v>2129</v>
      </c>
      <c r="CX78" s="29" t="s">
        <v>2129</v>
      </c>
      <c r="CY78" s="29" t="s">
        <v>2129</v>
      </c>
      <c r="CZ78" s="29" t="s">
        <v>2129</v>
      </c>
      <c r="DA78" s="29" t="s">
        <v>2129</v>
      </c>
      <c r="DB78" s="29" t="s">
        <v>2129</v>
      </c>
      <c r="DC78" s="29" t="s">
        <v>2129</v>
      </c>
      <c r="DD78" s="29" t="s">
        <v>2129</v>
      </c>
      <c r="DE78" s="29" t="s">
        <v>2129</v>
      </c>
      <c r="DF78" s="29" t="s">
        <v>2129</v>
      </c>
      <c r="DG78" s="29" t="s">
        <v>2129</v>
      </c>
      <c r="DH78" s="29" t="s">
        <v>2129</v>
      </c>
      <c r="DI78" s="29" t="s">
        <v>2129</v>
      </c>
      <c r="DJ78" s="29" t="s">
        <v>2129</v>
      </c>
      <c r="DK78" s="29" t="s">
        <v>2129</v>
      </c>
      <c r="DL78" s="29" t="s">
        <v>2129</v>
      </c>
      <c r="DM78" s="29" t="s">
        <v>2129</v>
      </c>
      <c r="DN78" s="29" t="s">
        <v>2129</v>
      </c>
      <c r="DO78" s="29" t="s">
        <v>2129</v>
      </c>
      <c r="DP78" s="29" t="s">
        <v>2129</v>
      </c>
      <c r="DQ78" s="42" t="s">
        <v>2129</v>
      </c>
    </row>
    <row r="79" spans="1:121" x14ac:dyDescent="0.25">
      <c r="A79" s="36" t="s">
        <v>2159</v>
      </c>
      <c r="B79" s="30" t="s">
        <v>2942</v>
      </c>
      <c r="C79" s="30">
        <v>22946</v>
      </c>
      <c r="D79" s="30"/>
      <c r="E79" s="30" t="s">
        <v>2136</v>
      </c>
      <c r="F79" s="30" t="s">
        <v>16</v>
      </c>
      <c r="G79" s="30" t="s">
        <v>2177</v>
      </c>
      <c r="H79" s="30" t="s">
        <v>44</v>
      </c>
      <c r="I79" s="30" t="s">
        <v>2127</v>
      </c>
      <c r="J79" s="30" t="s">
        <v>2156</v>
      </c>
      <c r="K79" s="30" t="s">
        <v>2129</v>
      </c>
      <c r="L79" s="30" t="s">
        <v>2178</v>
      </c>
      <c r="M79" s="30" t="s">
        <v>2130</v>
      </c>
      <c r="N79" s="30" t="s">
        <v>16</v>
      </c>
      <c r="O79" s="30" t="s">
        <v>2156</v>
      </c>
      <c r="P79" s="30" t="s">
        <v>2156</v>
      </c>
      <c r="Q79" s="30" t="s">
        <v>2156</v>
      </c>
      <c r="R79" s="46">
        <v>46062.327777777777</v>
      </c>
      <c r="S79" s="46">
        <v>46076.331944444442</v>
      </c>
      <c r="T79" s="46">
        <v>46087.717361111114</v>
      </c>
      <c r="U79" s="46">
        <v>46076.331944444442</v>
      </c>
      <c r="V79" s="30" t="s">
        <v>2129</v>
      </c>
      <c r="W79" s="30" t="s">
        <v>2129</v>
      </c>
      <c r="X79" s="30" t="s">
        <v>2129</v>
      </c>
      <c r="Y79" s="30">
        <v>0</v>
      </c>
      <c r="Z79" s="30" t="s">
        <v>2129</v>
      </c>
      <c r="AA79" s="30" t="s">
        <v>2129</v>
      </c>
      <c r="AB79" s="30" t="s">
        <v>2129</v>
      </c>
      <c r="AC79" s="30" t="s">
        <v>2129</v>
      </c>
      <c r="AD79" s="30" t="s">
        <v>2156</v>
      </c>
      <c r="AE79" s="30" t="s">
        <v>2129</v>
      </c>
      <c r="AF79" s="30" t="s">
        <v>2129</v>
      </c>
      <c r="AG79" s="30" t="s">
        <v>2129</v>
      </c>
      <c r="AH79" s="30" t="s">
        <v>2129</v>
      </c>
      <c r="AI79" s="30" t="s">
        <v>2129</v>
      </c>
      <c r="AJ79" s="30" t="s">
        <v>2129</v>
      </c>
      <c r="AK79" s="30" t="s">
        <v>2129</v>
      </c>
      <c r="AL79" s="30" t="s">
        <v>2129</v>
      </c>
      <c r="AM79" s="30" t="s">
        <v>2129</v>
      </c>
      <c r="AN79" s="30" t="s">
        <v>2129</v>
      </c>
      <c r="AO79" s="30" t="s">
        <v>2129</v>
      </c>
      <c r="AP79" s="30" t="s">
        <v>2129</v>
      </c>
      <c r="AQ79" s="30" t="s">
        <v>2129</v>
      </c>
      <c r="AR79" s="30" t="s">
        <v>2129</v>
      </c>
      <c r="AS79" s="30" t="s">
        <v>2129</v>
      </c>
      <c r="AT79" s="30" t="s">
        <v>2129</v>
      </c>
      <c r="AU79" s="30" t="s">
        <v>2129</v>
      </c>
      <c r="AV79" s="30" t="s">
        <v>2129</v>
      </c>
      <c r="AW79" s="30" t="s">
        <v>2129</v>
      </c>
      <c r="AX79" s="30"/>
      <c r="AY79" s="30"/>
      <c r="AZ79" s="30" t="s">
        <v>2129</v>
      </c>
      <c r="BA79" s="30" t="s">
        <v>2129</v>
      </c>
      <c r="BB79" s="30"/>
      <c r="BC79" s="30"/>
      <c r="BD79" s="30" t="s">
        <v>2129</v>
      </c>
      <c r="BE79" s="30" t="s">
        <v>2129</v>
      </c>
      <c r="BF79" s="30" t="s">
        <v>2129</v>
      </c>
      <c r="BG79" s="30" t="s">
        <v>2129</v>
      </c>
      <c r="BH79" s="30" t="s">
        <v>2129</v>
      </c>
      <c r="BI79" s="30" t="s">
        <v>2129</v>
      </c>
      <c r="BJ79" s="30" t="s">
        <v>2129</v>
      </c>
      <c r="BK79" s="30" t="s">
        <v>2129</v>
      </c>
      <c r="BL79" s="30" t="s">
        <v>2129</v>
      </c>
      <c r="BM79" s="30" t="s">
        <v>2129</v>
      </c>
      <c r="BN79" s="30" t="s">
        <v>2129</v>
      </c>
      <c r="BO79" s="30" t="s">
        <v>2129</v>
      </c>
      <c r="BP79" s="30" t="s">
        <v>2129</v>
      </c>
      <c r="BQ79" s="30" t="s">
        <v>2129</v>
      </c>
      <c r="BR79" s="30" t="s">
        <v>2129</v>
      </c>
      <c r="BS79" s="30" t="s">
        <v>2129</v>
      </c>
      <c r="BT79" s="30" t="s">
        <v>2129</v>
      </c>
      <c r="BU79" s="30" t="s">
        <v>2129</v>
      </c>
      <c r="BV79" s="30" t="s">
        <v>2129</v>
      </c>
      <c r="BW79" s="30" t="s">
        <v>2129</v>
      </c>
      <c r="BX79" s="30" t="s">
        <v>2129</v>
      </c>
      <c r="BY79" s="30" t="s">
        <v>2129</v>
      </c>
      <c r="BZ79" s="30" t="s">
        <v>2129</v>
      </c>
      <c r="CA79" s="30" t="s">
        <v>2129</v>
      </c>
      <c r="CB79" s="30" t="s">
        <v>2129</v>
      </c>
      <c r="CC79" s="30" t="s">
        <v>2129</v>
      </c>
      <c r="CD79" s="30" t="s">
        <v>2129</v>
      </c>
      <c r="CE79" s="30" t="s">
        <v>2943</v>
      </c>
      <c r="CF79" s="30" t="s">
        <v>2941</v>
      </c>
      <c r="CG79" s="30" t="s">
        <v>2129</v>
      </c>
      <c r="CH79" s="30" t="s">
        <v>2129</v>
      </c>
      <c r="CI79" s="30" t="s">
        <v>2129</v>
      </c>
      <c r="CJ79" s="30" t="s">
        <v>2129</v>
      </c>
      <c r="CK79" s="30" t="s">
        <v>2129</v>
      </c>
      <c r="CL79" s="30" t="s">
        <v>2129</v>
      </c>
      <c r="CM79" s="30" t="s">
        <v>2129</v>
      </c>
      <c r="CN79" s="30" t="s">
        <v>2129</v>
      </c>
      <c r="CO79" s="30" t="s">
        <v>2129</v>
      </c>
      <c r="CP79" s="30" t="s">
        <v>2129</v>
      </c>
      <c r="CQ79" s="30" t="s">
        <v>2129</v>
      </c>
      <c r="CR79" s="30" t="s">
        <v>2129</v>
      </c>
      <c r="CS79" s="30"/>
      <c r="CT79" s="30" t="s">
        <v>2129</v>
      </c>
      <c r="CU79" s="30" t="s">
        <v>2129</v>
      </c>
      <c r="CV79" s="30" t="s">
        <v>2129</v>
      </c>
      <c r="CW79" s="30" t="s">
        <v>2129</v>
      </c>
      <c r="CX79" s="30" t="s">
        <v>2129</v>
      </c>
      <c r="CY79" s="30" t="s">
        <v>2129</v>
      </c>
      <c r="CZ79" s="30" t="s">
        <v>2129</v>
      </c>
      <c r="DA79" s="30" t="s">
        <v>2129</v>
      </c>
      <c r="DB79" s="30" t="s">
        <v>2129</v>
      </c>
      <c r="DC79" s="30" t="s">
        <v>2129</v>
      </c>
      <c r="DD79" s="30" t="s">
        <v>2129</v>
      </c>
      <c r="DE79" s="30" t="s">
        <v>2129</v>
      </c>
      <c r="DF79" s="30" t="s">
        <v>2129</v>
      </c>
      <c r="DG79" s="30" t="s">
        <v>2129</v>
      </c>
      <c r="DH79" s="30" t="s">
        <v>2129</v>
      </c>
      <c r="DI79" s="30" t="s">
        <v>2129</v>
      </c>
      <c r="DJ79" s="30" t="s">
        <v>2129</v>
      </c>
      <c r="DK79" s="30" t="s">
        <v>2129</v>
      </c>
      <c r="DL79" s="30" t="s">
        <v>2129</v>
      </c>
      <c r="DM79" s="30" t="s">
        <v>2129</v>
      </c>
      <c r="DN79" s="30" t="s">
        <v>2129</v>
      </c>
      <c r="DO79" s="30" t="s">
        <v>2129</v>
      </c>
      <c r="DP79" s="30" t="s">
        <v>2129</v>
      </c>
      <c r="DQ79" s="43" t="s">
        <v>2129</v>
      </c>
    </row>
    <row r="80" spans="1:121" x14ac:dyDescent="0.25">
      <c r="A80" s="39" t="s">
        <v>2159</v>
      </c>
      <c r="B80" s="29" t="s">
        <v>2944</v>
      </c>
      <c r="C80" s="29">
        <v>22945</v>
      </c>
      <c r="D80" s="29"/>
      <c r="E80" s="29" t="s">
        <v>2136</v>
      </c>
      <c r="F80" s="29" t="s">
        <v>16</v>
      </c>
      <c r="G80" s="29" t="s">
        <v>2177</v>
      </c>
      <c r="H80" s="29" t="s">
        <v>44</v>
      </c>
      <c r="I80" s="29" t="s">
        <v>2127</v>
      </c>
      <c r="J80" s="29" t="s">
        <v>2156</v>
      </c>
      <c r="K80" s="29" t="s">
        <v>2129</v>
      </c>
      <c r="L80" s="29" t="s">
        <v>2178</v>
      </c>
      <c r="M80" s="29" t="s">
        <v>2130</v>
      </c>
      <c r="N80" s="29" t="s">
        <v>16</v>
      </c>
      <c r="O80" s="29" t="s">
        <v>2156</v>
      </c>
      <c r="P80" s="29" t="s">
        <v>2156</v>
      </c>
      <c r="Q80" s="29" t="s">
        <v>2156</v>
      </c>
      <c r="R80" s="45">
        <v>46062.327777777777</v>
      </c>
      <c r="S80" s="45">
        <v>46076.331944444442</v>
      </c>
      <c r="T80" s="45">
        <v>46087.717361111114</v>
      </c>
      <c r="U80" s="45">
        <v>46076.331944444442</v>
      </c>
      <c r="V80" s="29" t="s">
        <v>2129</v>
      </c>
      <c r="W80" s="29" t="s">
        <v>2129</v>
      </c>
      <c r="X80" s="29" t="s">
        <v>2129</v>
      </c>
      <c r="Y80" s="29">
        <v>0</v>
      </c>
      <c r="Z80" s="29" t="s">
        <v>2129</v>
      </c>
      <c r="AA80" s="29" t="s">
        <v>2129</v>
      </c>
      <c r="AB80" s="29" t="s">
        <v>2129</v>
      </c>
      <c r="AC80" s="29" t="s">
        <v>2129</v>
      </c>
      <c r="AD80" s="29" t="s">
        <v>2156</v>
      </c>
      <c r="AE80" s="29" t="s">
        <v>2129</v>
      </c>
      <c r="AF80" s="29" t="s">
        <v>2129</v>
      </c>
      <c r="AG80" s="29" t="s">
        <v>2129</v>
      </c>
      <c r="AH80" s="29" t="s">
        <v>2129</v>
      </c>
      <c r="AI80" s="29" t="s">
        <v>2129</v>
      </c>
      <c r="AJ80" s="29" t="s">
        <v>2129</v>
      </c>
      <c r="AK80" s="29" t="s">
        <v>2129</v>
      </c>
      <c r="AL80" s="29" t="s">
        <v>2129</v>
      </c>
      <c r="AM80" s="29" t="s">
        <v>2129</v>
      </c>
      <c r="AN80" s="29" t="s">
        <v>2129</v>
      </c>
      <c r="AO80" s="29" t="s">
        <v>2129</v>
      </c>
      <c r="AP80" s="29" t="s">
        <v>2129</v>
      </c>
      <c r="AQ80" s="29" t="s">
        <v>2129</v>
      </c>
      <c r="AR80" s="29" t="s">
        <v>2129</v>
      </c>
      <c r="AS80" s="29" t="s">
        <v>2129</v>
      </c>
      <c r="AT80" s="29" t="s">
        <v>2129</v>
      </c>
      <c r="AU80" s="29" t="s">
        <v>2129</v>
      </c>
      <c r="AV80" s="29" t="s">
        <v>2129</v>
      </c>
      <c r="AW80" s="29" t="s">
        <v>2129</v>
      </c>
      <c r="AX80" s="29"/>
      <c r="AY80" s="29"/>
      <c r="AZ80" s="29" t="s">
        <v>2129</v>
      </c>
      <c r="BA80" s="29" t="s">
        <v>2129</v>
      </c>
      <c r="BB80" s="29"/>
      <c r="BC80" s="29"/>
      <c r="BD80" s="29" t="s">
        <v>2129</v>
      </c>
      <c r="BE80" s="29" t="s">
        <v>2129</v>
      </c>
      <c r="BF80" s="29" t="s">
        <v>2129</v>
      </c>
      <c r="BG80" s="29" t="s">
        <v>2129</v>
      </c>
      <c r="BH80" s="29" t="s">
        <v>2129</v>
      </c>
      <c r="BI80" s="29" t="s">
        <v>2129</v>
      </c>
      <c r="BJ80" s="29" t="s">
        <v>2129</v>
      </c>
      <c r="BK80" s="29" t="s">
        <v>2129</v>
      </c>
      <c r="BL80" s="29" t="s">
        <v>2129</v>
      </c>
      <c r="BM80" s="29" t="s">
        <v>2129</v>
      </c>
      <c r="BN80" s="29" t="s">
        <v>2129</v>
      </c>
      <c r="BO80" s="29" t="s">
        <v>2129</v>
      </c>
      <c r="BP80" s="29" t="s">
        <v>2129</v>
      </c>
      <c r="BQ80" s="29" t="s">
        <v>2129</v>
      </c>
      <c r="BR80" s="29" t="s">
        <v>2129</v>
      </c>
      <c r="BS80" s="29" t="s">
        <v>2129</v>
      </c>
      <c r="BT80" s="29" t="s">
        <v>2129</v>
      </c>
      <c r="BU80" s="29" t="s">
        <v>2129</v>
      </c>
      <c r="BV80" s="29" t="s">
        <v>2129</v>
      </c>
      <c r="BW80" s="29" t="s">
        <v>2129</v>
      </c>
      <c r="BX80" s="29" t="s">
        <v>2129</v>
      </c>
      <c r="BY80" s="29" t="s">
        <v>2129</v>
      </c>
      <c r="BZ80" s="29" t="s">
        <v>2129</v>
      </c>
      <c r="CA80" s="29" t="s">
        <v>2129</v>
      </c>
      <c r="CB80" s="29" t="s">
        <v>2129</v>
      </c>
      <c r="CC80" s="29" t="s">
        <v>2129</v>
      </c>
      <c r="CD80" s="29" t="s">
        <v>2129</v>
      </c>
      <c r="CE80" s="29" t="s">
        <v>2945</v>
      </c>
      <c r="CF80" s="29" t="s">
        <v>2941</v>
      </c>
      <c r="CG80" s="29" t="s">
        <v>2129</v>
      </c>
      <c r="CH80" s="29" t="s">
        <v>2129</v>
      </c>
      <c r="CI80" s="29" t="s">
        <v>2129</v>
      </c>
      <c r="CJ80" s="29" t="s">
        <v>2129</v>
      </c>
      <c r="CK80" s="29" t="s">
        <v>2129</v>
      </c>
      <c r="CL80" s="29" t="s">
        <v>2129</v>
      </c>
      <c r="CM80" s="29" t="s">
        <v>2129</v>
      </c>
      <c r="CN80" s="29" t="s">
        <v>2129</v>
      </c>
      <c r="CO80" s="29" t="s">
        <v>2129</v>
      </c>
      <c r="CP80" s="29" t="s">
        <v>2129</v>
      </c>
      <c r="CQ80" s="29" t="s">
        <v>2129</v>
      </c>
      <c r="CR80" s="29" t="s">
        <v>2129</v>
      </c>
      <c r="CS80" s="29"/>
      <c r="CT80" s="29" t="s">
        <v>2129</v>
      </c>
      <c r="CU80" s="29" t="s">
        <v>2129</v>
      </c>
      <c r="CV80" s="29" t="s">
        <v>2129</v>
      </c>
      <c r="CW80" s="29" t="s">
        <v>2129</v>
      </c>
      <c r="CX80" s="29" t="s">
        <v>2129</v>
      </c>
      <c r="CY80" s="29" t="s">
        <v>2129</v>
      </c>
      <c r="CZ80" s="29" t="s">
        <v>2129</v>
      </c>
      <c r="DA80" s="29" t="s">
        <v>2129</v>
      </c>
      <c r="DB80" s="29" t="s">
        <v>2129</v>
      </c>
      <c r="DC80" s="29" t="s">
        <v>2129</v>
      </c>
      <c r="DD80" s="29" t="s">
        <v>2129</v>
      </c>
      <c r="DE80" s="29" t="s">
        <v>2129</v>
      </c>
      <c r="DF80" s="29" t="s">
        <v>2129</v>
      </c>
      <c r="DG80" s="29" t="s">
        <v>2129</v>
      </c>
      <c r="DH80" s="29" t="s">
        <v>2129</v>
      </c>
      <c r="DI80" s="29" t="s">
        <v>2129</v>
      </c>
      <c r="DJ80" s="29" t="s">
        <v>2129</v>
      </c>
      <c r="DK80" s="29" t="s">
        <v>2129</v>
      </c>
      <c r="DL80" s="29" t="s">
        <v>2129</v>
      </c>
      <c r="DM80" s="29" t="s">
        <v>2129</v>
      </c>
      <c r="DN80" s="29" t="s">
        <v>2129</v>
      </c>
      <c r="DO80" s="29" t="s">
        <v>2129</v>
      </c>
      <c r="DP80" s="29" t="s">
        <v>2129</v>
      </c>
      <c r="DQ80" s="42" t="s">
        <v>2129</v>
      </c>
    </row>
    <row r="81" spans="1:121" x14ac:dyDescent="0.25">
      <c r="A81" s="36" t="s">
        <v>2658</v>
      </c>
      <c r="B81" s="30" t="s">
        <v>2656</v>
      </c>
      <c r="C81" s="30">
        <v>22877</v>
      </c>
      <c r="D81" s="30"/>
      <c r="E81" s="30" t="s">
        <v>14</v>
      </c>
      <c r="F81" s="30" t="s">
        <v>16</v>
      </c>
      <c r="G81" s="30" t="s">
        <v>2177</v>
      </c>
      <c r="H81" s="30" t="s">
        <v>44</v>
      </c>
      <c r="I81" s="30" t="s">
        <v>2127</v>
      </c>
      <c r="J81" s="30" t="s">
        <v>2156</v>
      </c>
      <c r="K81" s="30" t="s">
        <v>2129</v>
      </c>
      <c r="L81" s="30" t="s">
        <v>2178</v>
      </c>
      <c r="M81" s="30" t="s">
        <v>2130</v>
      </c>
      <c r="N81" s="30" t="s">
        <v>2153</v>
      </c>
      <c r="O81" s="30" t="s">
        <v>2180</v>
      </c>
      <c r="P81" s="30" t="s">
        <v>2145</v>
      </c>
      <c r="Q81" s="30" t="s">
        <v>2156</v>
      </c>
      <c r="R81" s="46">
        <v>46045.501388888886</v>
      </c>
      <c r="S81" s="46">
        <v>46083.612500000003</v>
      </c>
      <c r="T81" s="46">
        <v>46048.338888888888</v>
      </c>
      <c r="U81" s="46">
        <v>46083.612500000003</v>
      </c>
      <c r="V81" s="30" t="s">
        <v>2129</v>
      </c>
      <c r="W81" s="30" t="s">
        <v>2129</v>
      </c>
      <c r="X81" s="30" t="s">
        <v>2129</v>
      </c>
      <c r="Y81" s="30">
        <v>0</v>
      </c>
      <c r="Z81" s="30" t="s">
        <v>2129</v>
      </c>
      <c r="AA81" s="30" t="s">
        <v>2129</v>
      </c>
      <c r="AB81" s="30" t="s">
        <v>2718</v>
      </c>
      <c r="AC81" s="30" t="s">
        <v>2129</v>
      </c>
      <c r="AD81" s="30" t="s">
        <v>2946</v>
      </c>
      <c r="AE81" s="30" t="s">
        <v>2180</v>
      </c>
      <c r="AF81" s="30" t="s">
        <v>2156</v>
      </c>
      <c r="AG81" s="30" t="s">
        <v>2129</v>
      </c>
      <c r="AH81" s="30" t="s">
        <v>2129</v>
      </c>
      <c r="AI81" s="30" t="s">
        <v>2947</v>
      </c>
      <c r="AJ81" s="30" t="s">
        <v>2948</v>
      </c>
      <c r="AK81" s="30" t="s">
        <v>2949</v>
      </c>
      <c r="AL81" s="30" t="s">
        <v>2950</v>
      </c>
      <c r="AM81" s="30" t="s">
        <v>2951</v>
      </c>
      <c r="AN81" s="30" t="s">
        <v>2952</v>
      </c>
      <c r="AO81" s="30" t="s">
        <v>2953</v>
      </c>
      <c r="AP81" s="30" t="s">
        <v>2129</v>
      </c>
      <c r="AQ81" s="30" t="s">
        <v>2129</v>
      </c>
      <c r="AR81" s="30" t="s">
        <v>2129</v>
      </c>
      <c r="AS81" s="30" t="s">
        <v>2129</v>
      </c>
      <c r="AT81" s="30" t="s">
        <v>2129</v>
      </c>
      <c r="AU81" s="30" t="s">
        <v>2129</v>
      </c>
      <c r="AV81" s="30" t="s">
        <v>2129</v>
      </c>
      <c r="AW81" s="30" t="s">
        <v>2129</v>
      </c>
      <c r="AX81" s="30">
        <v>0</v>
      </c>
      <c r="AY81" s="30">
        <v>133200</v>
      </c>
      <c r="AZ81" s="30" t="s">
        <v>2129</v>
      </c>
      <c r="BA81" s="30" t="s">
        <v>2129</v>
      </c>
      <c r="BB81" s="30">
        <v>0</v>
      </c>
      <c r="BC81" s="30">
        <v>133200</v>
      </c>
      <c r="BD81" s="30" t="s">
        <v>2129</v>
      </c>
      <c r="BE81" s="30" t="s">
        <v>2129</v>
      </c>
      <c r="BF81" s="30" t="s">
        <v>2129</v>
      </c>
      <c r="BG81" s="30" t="s">
        <v>2129</v>
      </c>
      <c r="BH81" s="30" t="s">
        <v>2129</v>
      </c>
      <c r="BI81" s="30" t="s">
        <v>2129</v>
      </c>
      <c r="BJ81" s="30" t="s">
        <v>2129</v>
      </c>
      <c r="BK81" s="30" t="s">
        <v>2954</v>
      </c>
      <c r="BL81" s="30" t="s">
        <v>2955</v>
      </c>
      <c r="BM81" s="30" t="s">
        <v>2129</v>
      </c>
      <c r="BN81" s="30" t="s">
        <v>2129</v>
      </c>
      <c r="BO81" s="30" t="s">
        <v>2129</v>
      </c>
      <c r="BP81" s="30" t="s">
        <v>2129</v>
      </c>
      <c r="BQ81" s="30" t="s">
        <v>2129</v>
      </c>
      <c r="BR81" s="30" t="s">
        <v>2129</v>
      </c>
      <c r="BS81" s="30" t="s">
        <v>2129</v>
      </c>
      <c r="BT81" s="30" t="s">
        <v>2129</v>
      </c>
      <c r="BU81" s="30" t="s">
        <v>2129</v>
      </c>
      <c r="BV81" s="30" t="s">
        <v>2129</v>
      </c>
      <c r="BW81" s="30" t="s">
        <v>2129</v>
      </c>
      <c r="BX81" s="30" t="s">
        <v>2129</v>
      </c>
      <c r="BY81" s="30" t="s">
        <v>2129</v>
      </c>
      <c r="BZ81" s="30" t="s">
        <v>2129</v>
      </c>
      <c r="CA81" s="30" t="s">
        <v>2129</v>
      </c>
      <c r="CB81" s="30" t="s">
        <v>2129</v>
      </c>
      <c r="CC81" s="30" t="s">
        <v>2129</v>
      </c>
      <c r="CD81" s="30" t="s">
        <v>2129</v>
      </c>
      <c r="CE81" s="30" t="s">
        <v>2719</v>
      </c>
      <c r="CF81" s="30" t="s">
        <v>2624</v>
      </c>
      <c r="CG81" s="30" t="s">
        <v>2717</v>
      </c>
      <c r="CH81" s="30" t="s">
        <v>2941</v>
      </c>
      <c r="CI81" s="30" t="s">
        <v>3411</v>
      </c>
      <c r="CJ81" s="30" t="s">
        <v>2129</v>
      </c>
      <c r="CK81" s="30" t="s">
        <v>2129</v>
      </c>
      <c r="CL81" s="30" t="s">
        <v>2129</v>
      </c>
      <c r="CM81" s="30" t="s">
        <v>2129</v>
      </c>
      <c r="CN81" s="30" t="s">
        <v>2129</v>
      </c>
      <c r="CO81" s="30" t="s">
        <v>2129</v>
      </c>
      <c r="CP81" s="30" t="s">
        <v>2129</v>
      </c>
      <c r="CQ81" s="30" t="s">
        <v>2129</v>
      </c>
      <c r="CR81" s="30" t="s">
        <v>2129</v>
      </c>
      <c r="CS81" s="30">
        <v>30</v>
      </c>
      <c r="CT81" s="30" t="s">
        <v>2129</v>
      </c>
      <c r="CU81" s="30" t="s">
        <v>2129</v>
      </c>
      <c r="CV81" s="30" t="s">
        <v>2720</v>
      </c>
      <c r="CW81" s="30" t="s">
        <v>2956</v>
      </c>
      <c r="CX81" s="30" t="s">
        <v>2957</v>
      </c>
      <c r="CY81" s="30" t="s">
        <v>3420</v>
      </c>
      <c r="CZ81" s="30" t="s">
        <v>2129</v>
      </c>
      <c r="DA81" s="30" t="s">
        <v>2129</v>
      </c>
      <c r="DB81" s="30" t="s">
        <v>2129</v>
      </c>
      <c r="DC81" s="30" t="s">
        <v>2129</v>
      </c>
      <c r="DD81" s="30" t="s">
        <v>2129</v>
      </c>
      <c r="DE81" s="30" t="s">
        <v>2129</v>
      </c>
      <c r="DF81" s="30" t="s">
        <v>2129</v>
      </c>
      <c r="DG81" s="30" t="s">
        <v>2129</v>
      </c>
      <c r="DH81" s="30" t="s">
        <v>2129</v>
      </c>
      <c r="DI81" s="30" t="s">
        <v>2129</v>
      </c>
      <c r="DJ81" s="30" t="s">
        <v>2129</v>
      </c>
      <c r="DK81" s="30" t="s">
        <v>2129</v>
      </c>
      <c r="DL81" s="30" t="s">
        <v>2129</v>
      </c>
      <c r="DM81" s="30" t="s">
        <v>2129</v>
      </c>
      <c r="DN81" s="30" t="s">
        <v>2129</v>
      </c>
      <c r="DO81" s="30" t="s">
        <v>2129</v>
      </c>
      <c r="DP81" s="30" t="s">
        <v>2129</v>
      </c>
      <c r="DQ81" s="43" t="s">
        <v>2129</v>
      </c>
    </row>
    <row r="82" spans="1:121" x14ac:dyDescent="0.25">
      <c r="A82" s="39" t="s">
        <v>2337</v>
      </c>
      <c r="B82" s="29" t="s">
        <v>2329</v>
      </c>
      <c r="C82" s="29">
        <v>22674</v>
      </c>
      <c r="D82" s="29"/>
      <c r="E82" s="29" t="s">
        <v>14</v>
      </c>
      <c r="F82" s="29" t="s">
        <v>16</v>
      </c>
      <c r="G82" s="29" t="s">
        <v>2177</v>
      </c>
      <c r="H82" s="29" t="s">
        <v>44</v>
      </c>
      <c r="I82" s="29" t="s">
        <v>2127</v>
      </c>
      <c r="J82" s="29" t="s">
        <v>2156</v>
      </c>
      <c r="K82" s="29" t="s">
        <v>2129</v>
      </c>
      <c r="L82" s="29" t="s">
        <v>2178</v>
      </c>
      <c r="M82" s="29" t="s">
        <v>2381</v>
      </c>
      <c r="N82" s="29" t="s">
        <v>2153</v>
      </c>
      <c r="O82" s="29" t="s">
        <v>2380</v>
      </c>
      <c r="P82" s="29" t="s">
        <v>2145</v>
      </c>
      <c r="Q82" s="29" t="s">
        <v>2145</v>
      </c>
      <c r="R82" s="45">
        <v>46008.609722222223</v>
      </c>
      <c r="S82" s="45">
        <v>46083.561111111114</v>
      </c>
      <c r="T82" s="45">
        <v>46070.417361111111</v>
      </c>
      <c r="U82" s="45">
        <v>46083.561111111114</v>
      </c>
      <c r="V82" s="29" t="s">
        <v>2129</v>
      </c>
      <c r="W82" s="29" t="s">
        <v>2129</v>
      </c>
      <c r="X82" s="29" t="s">
        <v>2129</v>
      </c>
      <c r="Y82" s="29">
        <v>0</v>
      </c>
      <c r="Z82" s="29" t="s">
        <v>2129</v>
      </c>
      <c r="AA82" s="29" t="s">
        <v>2129</v>
      </c>
      <c r="AB82" s="29" t="s">
        <v>3421</v>
      </c>
      <c r="AC82" s="29" t="s">
        <v>2129</v>
      </c>
      <c r="AD82" s="29" t="s">
        <v>2145</v>
      </c>
      <c r="AE82" s="29" t="s">
        <v>2150</v>
      </c>
      <c r="AF82" s="29" t="s">
        <v>3422</v>
      </c>
      <c r="AG82" s="29" t="s">
        <v>2156</v>
      </c>
      <c r="AH82" s="29" t="s">
        <v>2380</v>
      </c>
      <c r="AI82" s="29" t="s">
        <v>3423</v>
      </c>
      <c r="AJ82" s="29" t="s">
        <v>2129</v>
      </c>
      <c r="AK82" s="29" t="s">
        <v>2129</v>
      </c>
      <c r="AL82" s="29" t="s">
        <v>2129</v>
      </c>
      <c r="AM82" s="29" t="s">
        <v>2129</v>
      </c>
      <c r="AN82" s="29" t="s">
        <v>2129</v>
      </c>
      <c r="AO82" s="29" t="s">
        <v>2129</v>
      </c>
      <c r="AP82" s="29" t="s">
        <v>2129</v>
      </c>
      <c r="AQ82" s="29" t="s">
        <v>2129</v>
      </c>
      <c r="AR82" s="29" t="s">
        <v>2129</v>
      </c>
      <c r="AS82" s="29" t="s">
        <v>2129</v>
      </c>
      <c r="AT82" s="29" t="s">
        <v>2129</v>
      </c>
      <c r="AU82" s="29" t="s">
        <v>2129</v>
      </c>
      <c r="AV82" s="29" t="s">
        <v>2129</v>
      </c>
      <c r="AW82" s="29" t="s">
        <v>2129</v>
      </c>
      <c r="AX82" s="29">
        <v>0</v>
      </c>
      <c r="AY82" s="29">
        <v>64800</v>
      </c>
      <c r="AZ82" s="29" t="s">
        <v>2129</v>
      </c>
      <c r="BA82" s="29" t="s">
        <v>2129</v>
      </c>
      <c r="BB82" s="29">
        <v>0</v>
      </c>
      <c r="BC82" s="29">
        <v>64800</v>
      </c>
      <c r="BD82" s="29" t="s">
        <v>2129</v>
      </c>
      <c r="BE82" s="29" t="s">
        <v>2129</v>
      </c>
      <c r="BF82" s="29" t="s">
        <v>2129</v>
      </c>
      <c r="BG82" s="29" t="s">
        <v>2129</v>
      </c>
      <c r="BH82" s="29" t="s">
        <v>2129</v>
      </c>
      <c r="BI82" s="29" t="s">
        <v>2129</v>
      </c>
      <c r="BJ82" s="29" t="s">
        <v>2129</v>
      </c>
      <c r="BK82" s="29" t="s">
        <v>3424</v>
      </c>
      <c r="BL82" s="29" t="s">
        <v>3425</v>
      </c>
      <c r="BM82" s="29" t="s">
        <v>3426</v>
      </c>
      <c r="BN82" s="29" t="s">
        <v>3427</v>
      </c>
      <c r="BO82" s="29" t="s">
        <v>3428</v>
      </c>
      <c r="BP82" s="29" t="s">
        <v>2129</v>
      </c>
      <c r="BQ82" s="29" t="s">
        <v>2129</v>
      </c>
      <c r="BR82" s="29" t="s">
        <v>2129</v>
      </c>
      <c r="BS82" s="29" t="s">
        <v>2129</v>
      </c>
      <c r="BT82" s="29" t="s">
        <v>2129</v>
      </c>
      <c r="BU82" s="29" t="s">
        <v>2129</v>
      </c>
      <c r="BV82" s="29" t="s">
        <v>2129</v>
      </c>
      <c r="BW82" s="29" t="s">
        <v>2129</v>
      </c>
      <c r="BX82" s="29" t="s">
        <v>2129</v>
      </c>
      <c r="BY82" s="29" t="s">
        <v>2129</v>
      </c>
      <c r="BZ82" s="29" t="s">
        <v>2129</v>
      </c>
      <c r="CA82" s="29" t="s">
        <v>2129</v>
      </c>
      <c r="CB82" s="29" t="s">
        <v>2129</v>
      </c>
      <c r="CC82" s="29" t="s">
        <v>2129</v>
      </c>
      <c r="CD82" s="29" t="s">
        <v>2129</v>
      </c>
      <c r="CE82" s="29" t="s">
        <v>3429</v>
      </c>
      <c r="CF82" s="29" t="s">
        <v>2390</v>
      </c>
      <c r="CG82" s="29" t="s">
        <v>2389</v>
      </c>
      <c r="CH82" s="29" t="s">
        <v>2624</v>
      </c>
      <c r="CI82" s="29" t="s">
        <v>2717</v>
      </c>
      <c r="CJ82" s="29" t="s">
        <v>2941</v>
      </c>
      <c r="CK82" s="29" t="s">
        <v>3411</v>
      </c>
      <c r="CL82" s="29" t="s">
        <v>2129</v>
      </c>
      <c r="CM82" s="29" t="s">
        <v>2129</v>
      </c>
      <c r="CN82" s="29" t="s">
        <v>2129</v>
      </c>
      <c r="CO82" s="29" t="s">
        <v>2129</v>
      </c>
      <c r="CP82" s="29" t="s">
        <v>2129</v>
      </c>
      <c r="CQ82" s="29" t="s">
        <v>2129</v>
      </c>
      <c r="CR82" s="29" t="s">
        <v>2129</v>
      </c>
      <c r="CS82" s="29">
        <v>80</v>
      </c>
      <c r="CT82" s="29" t="s">
        <v>2129</v>
      </c>
      <c r="CU82" s="29" t="s">
        <v>2129</v>
      </c>
      <c r="CV82" s="29" t="s">
        <v>3430</v>
      </c>
      <c r="CW82" s="29" t="s">
        <v>3431</v>
      </c>
      <c r="CX82" s="29" t="s">
        <v>3432</v>
      </c>
      <c r="CY82" s="29" t="s">
        <v>3433</v>
      </c>
      <c r="CZ82" s="29" t="s">
        <v>3434</v>
      </c>
      <c r="DA82" s="29" t="s">
        <v>2129</v>
      </c>
      <c r="DB82" s="29" t="s">
        <v>2129</v>
      </c>
      <c r="DC82" s="29" t="s">
        <v>2129</v>
      </c>
      <c r="DD82" s="29" t="s">
        <v>2129</v>
      </c>
      <c r="DE82" s="29" t="s">
        <v>2129</v>
      </c>
      <c r="DF82" s="29" t="s">
        <v>2129</v>
      </c>
      <c r="DG82" s="29" t="s">
        <v>2129</v>
      </c>
      <c r="DH82" s="29" t="s">
        <v>2129</v>
      </c>
      <c r="DI82" s="29" t="s">
        <v>2129</v>
      </c>
      <c r="DJ82" s="29" t="s">
        <v>2129</v>
      </c>
      <c r="DK82" s="29" t="s">
        <v>2129</v>
      </c>
      <c r="DL82" s="29" t="s">
        <v>2129</v>
      </c>
      <c r="DM82" s="29" t="s">
        <v>2129</v>
      </c>
      <c r="DN82" s="29" t="s">
        <v>2129</v>
      </c>
      <c r="DO82" s="29" t="s">
        <v>2129</v>
      </c>
      <c r="DP82" s="29" t="s">
        <v>2129</v>
      </c>
      <c r="DQ82" s="42" t="s">
        <v>2129</v>
      </c>
    </row>
    <row r="83" spans="1:121" x14ac:dyDescent="0.25">
      <c r="A83" s="36" t="s">
        <v>1756</v>
      </c>
      <c r="B83" s="30" t="s">
        <v>1755</v>
      </c>
      <c r="C83" s="30">
        <v>22352</v>
      </c>
      <c r="D83" s="30"/>
      <c r="E83" s="30" t="s">
        <v>14</v>
      </c>
      <c r="F83" s="30" t="s">
        <v>27</v>
      </c>
      <c r="G83" s="30" t="s">
        <v>2177</v>
      </c>
      <c r="H83" s="30" t="s">
        <v>44</v>
      </c>
      <c r="I83" s="30" t="s">
        <v>2127</v>
      </c>
      <c r="J83" s="30" t="s">
        <v>2156</v>
      </c>
      <c r="K83" s="30" t="s">
        <v>2129</v>
      </c>
      <c r="L83" s="30" t="s">
        <v>2178</v>
      </c>
      <c r="M83" s="30" t="s">
        <v>2130</v>
      </c>
      <c r="N83" s="30" t="s">
        <v>2129</v>
      </c>
      <c r="O83" s="30" t="s">
        <v>2145</v>
      </c>
      <c r="P83" s="30" t="s">
        <v>2145</v>
      </c>
      <c r="Q83" s="30" t="s">
        <v>2145</v>
      </c>
      <c r="R83" s="46">
        <v>45946.806250000001</v>
      </c>
      <c r="S83" s="46">
        <v>46078.657638888886</v>
      </c>
      <c r="T83" s="46">
        <v>46056.686111111114</v>
      </c>
      <c r="U83" s="46"/>
      <c r="V83" s="30" t="s">
        <v>2129</v>
      </c>
      <c r="W83" s="30" t="s">
        <v>2129</v>
      </c>
      <c r="X83" s="30" t="s">
        <v>2129</v>
      </c>
      <c r="Y83" s="30">
        <v>0</v>
      </c>
      <c r="Z83" s="30" t="s">
        <v>2129</v>
      </c>
      <c r="AA83" s="30" t="s">
        <v>2129</v>
      </c>
      <c r="AB83" s="30" t="s">
        <v>2391</v>
      </c>
      <c r="AC83" s="30" t="s">
        <v>2129</v>
      </c>
      <c r="AD83" s="30" t="s">
        <v>2145</v>
      </c>
      <c r="AE83" s="30" t="s">
        <v>2156</v>
      </c>
      <c r="AF83" s="30" t="s">
        <v>2129</v>
      </c>
      <c r="AG83" s="30" t="s">
        <v>2129</v>
      </c>
      <c r="AH83" s="30" t="s">
        <v>2129</v>
      </c>
      <c r="AI83" s="30" t="s">
        <v>2129</v>
      </c>
      <c r="AJ83" s="30" t="s">
        <v>2129</v>
      </c>
      <c r="AK83" s="30" t="s">
        <v>2129</v>
      </c>
      <c r="AL83" s="30" t="s">
        <v>2129</v>
      </c>
      <c r="AM83" s="30" t="s">
        <v>2129</v>
      </c>
      <c r="AN83" s="30" t="s">
        <v>2129</v>
      </c>
      <c r="AO83" s="30" t="s">
        <v>2129</v>
      </c>
      <c r="AP83" s="30" t="s">
        <v>2129</v>
      </c>
      <c r="AQ83" s="30" t="s">
        <v>2129</v>
      </c>
      <c r="AR83" s="30" t="s">
        <v>2129</v>
      </c>
      <c r="AS83" s="30" t="s">
        <v>2129</v>
      </c>
      <c r="AT83" s="30" t="s">
        <v>2129</v>
      </c>
      <c r="AU83" s="30" t="s">
        <v>2129</v>
      </c>
      <c r="AV83" s="30" t="s">
        <v>2129</v>
      </c>
      <c r="AW83" s="30" t="s">
        <v>2129</v>
      </c>
      <c r="AX83" s="30"/>
      <c r="AY83" s="30"/>
      <c r="AZ83" s="30" t="s">
        <v>2129</v>
      </c>
      <c r="BA83" s="30" t="s">
        <v>2129</v>
      </c>
      <c r="BB83" s="30"/>
      <c r="BC83" s="30"/>
      <c r="BD83" s="30" t="s">
        <v>2129</v>
      </c>
      <c r="BE83" s="30" t="s">
        <v>2129</v>
      </c>
      <c r="BF83" s="30" t="s">
        <v>2129</v>
      </c>
      <c r="BG83" s="30" t="s">
        <v>1165</v>
      </c>
      <c r="BH83" s="30" t="s">
        <v>2129</v>
      </c>
      <c r="BI83" s="30" t="s">
        <v>2129</v>
      </c>
      <c r="BJ83" s="30" t="s">
        <v>2129</v>
      </c>
      <c r="BK83" s="30" t="s">
        <v>2392</v>
      </c>
      <c r="BL83" s="30" t="s">
        <v>3435</v>
      </c>
      <c r="BM83" s="30" t="s">
        <v>2393</v>
      </c>
      <c r="BN83" s="30" t="s">
        <v>2394</v>
      </c>
      <c r="BO83" s="30" t="s">
        <v>2395</v>
      </c>
      <c r="BP83" s="30" t="s">
        <v>2129</v>
      </c>
      <c r="BQ83" s="30" t="s">
        <v>2129</v>
      </c>
      <c r="BR83" s="30" t="s">
        <v>2129</v>
      </c>
      <c r="BS83" s="30" t="s">
        <v>2129</v>
      </c>
      <c r="BT83" s="30" t="s">
        <v>2129</v>
      </c>
      <c r="BU83" s="30" t="s">
        <v>2129</v>
      </c>
      <c r="BV83" s="30" t="s">
        <v>2129</v>
      </c>
      <c r="BW83" s="30" t="s">
        <v>2129</v>
      </c>
      <c r="BX83" s="30" t="s">
        <v>2129</v>
      </c>
      <c r="BY83" s="30" t="s">
        <v>2129</v>
      </c>
      <c r="BZ83" s="30" t="s">
        <v>2129</v>
      </c>
      <c r="CA83" s="30" t="s">
        <v>2129</v>
      </c>
      <c r="CB83" s="30" t="s">
        <v>2129</v>
      </c>
      <c r="CC83" s="30" t="s">
        <v>2129</v>
      </c>
      <c r="CD83" s="30" t="s">
        <v>2129</v>
      </c>
      <c r="CE83" s="30" t="s">
        <v>2396</v>
      </c>
      <c r="CF83" s="30" t="s">
        <v>2181</v>
      </c>
      <c r="CG83" s="30" t="s">
        <v>2179</v>
      </c>
      <c r="CH83" s="30" t="s">
        <v>2311</v>
      </c>
      <c r="CI83" s="30" t="s">
        <v>2390</v>
      </c>
      <c r="CJ83" s="30" t="s">
        <v>2389</v>
      </c>
      <c r="CK83" s="30" t="s">
        <v>2624</v>
      </c>
      <c r="CL83" s="30" t="s">
        <v>2717</v>
      </c>
      <c r="CM83" s="30" t="s">
        <v>2941</v>
      </c>
      <c r="CN83" s="30" t="s">
        <v>3411</v>
      </c>
      <c r="CO83" s="30" t="s">
        <v>2129</v>
      </c>
      <c r="CP83" s="30" t="s">
        <v>2129</v>
      </c>
      <c r="CQ83" s="30" t="s">
        <v>2129</v>
      </c>
      <c r="CR83" s="30" t="s">
        <v>2129</v>
      </c>
      <c r="CS83" s="30"/>
      <c r="CT83" s="30" t="s">
        <v>2129</v>
      </c>
      <c r="CU83" s="30" t="s">
        <v>2129</v>
      </c>
      <c r="CV83" s="30" t="s">
        <v>2397</v>
      </c>
      <c r="CW83" s="30" t="s">
        <v>2398</v>
      </c>
      <c r="CX83" s="30" t="s">
        <v>2721</v>
      </c>
      <c r="CY83" s="30" t="s">
        <v>3436</v>
      </c>
      <c r="CZ83" s="30" t="s">
        <v>2129</v>
      </c>
      <c r="DA83" s="30" t="s">
        <v>2129</v>
      </c>
      <c r="DB83" s="30" t="s">
        <v>2129</v>
      </c>
      <c r="DC83" s="30" t="s">
        <v>2129</v>
      </c>
      <c r="DD83" s="30" t="s">
        <v>2129</v>
      </c>
      <c r="DE83" s="30" t="s">
        <v>2129</v>
      </c>
      <c r="DF83" s="30" t="s">
        <v>2129</v>
      </c>
      <c r="DG83" s="30" t="s">
        <v>2129</v>
      </c>
      <c r="DH83" s="30" t="s">
        <v>2129</v>
      </c>
      <c r="DI83" s="30" t="s">
        <v>2129</v>
      </c>
      <c r="DJ83" s="30" t="s">
        <v>2129</v>
      </c>
      <c r="DK83" s="30" t="s">
        <v>2129</v>
      </c>
      <c r="DL83" s="30" t="s">
        <v>2129</v>
      </c>
      <c r="DM83" s="30" t="s">
        <v>2129</v>
      </c>
      <c r="DN83" s="30" t="s">
        <v>2129</v>
      </c>
      <c r="DO83" s="30" t="s">
        <v>2129</v>
      </c>
      <c r="DP83" s="30" t="s">
        <v>2129</v>
      </c>
      <c r="DQ83" s="43" t="s">
        <v>2129</v>
      </c>
    </row>
    <row r="84" spans="1:121" x14ac:dyDescent="0.25">
      <c r="A84" s="39" t="s">
        <v>3437</v>
      </c>
      <c r="B84" s="29" t="s">
        <v>3438</v>
      </c>
      <c r="C84" s="29">
        <v>22983</v>
      </c>
      <c r="D84" s="29"/>
      <c r="E84" s="29" t="s">
        <v>77</v>
      </c>
      <c r="F84" s="29" t="s">
        <v>16</v>
      </c>
      <c r="G84" s="29" t="s">
        <v>3439</v>
      </c>
      <c r="H84" s="29" t="s">
        <v>1386</v>
      </c>
      <c r="I84" s="29" t="s">
        <v>2127</v>
      </c>
      <c r="J84" s="29" t="s">
        <v>2128</v>
      </c>
      <c r="K84" s="29" t="s">
        <v>2129</v>
      </c>
      <c r="L84" s="29" t="s">
        <v>2129</v>
      </c>
      <c r="M84" s="29" t="s">
        <v>3440</v>
      </c>
      <c r="N84" s="29" t="s">
        <v>2153</v>
      </c>
      <c r="O84" s="29" t="s">
        <v>2128</v>
      </c>
      <c r="P84" s="29" t="s">
        <v>2128</v>
      </c>
      <c r="Q84" s="29" t="s">
        <v>2128</v>
      </c>
      <c r="R84" s="45">
        <v>46071.631249999999</v>
      </c>
      <c r="S84" s="45">
        <v>46077.588888888888</v>
      </c>
      <c r="T84" s="45">
        <v>46087.717361111114</v>
      </c>
      <c r="U84" s="45">
        <v>46077.588888888888</v>
      </c>
      <c r="V84" s="29" t="s">
        <v>3441</v>
      </c>
      <c r="W84" s="29" t="s">
        <v>2129</v>
      </c>
      <c r="X84" s="29" t="s">
        <v>2129</v>
      </c>
      <c r="Y84" s="29">
        <v>0</v>
      </c>
      <c r="Z84" s="29" t="s">
        <v>2129</v>
      </c>
      <c r="AA84" s="29" t="s">
        <v>2129</v>
      </c>
      <c r="AB84" s="29" t="s">
        <v>3442</v>
      </c>
      <c r="AC84" s="29" t="s">
        <v>2129</v>
      </c>
      <c r="AD84" s="29" t="s">
        <v>2128</v>
      </c>
      <c r="AE84" s="29" t="s">
        <v>2129</v>
      </c>
      <c r="AF84" s="29" t="s">
        <v>2129</v>
      </c>
      <c r="AG84" s="29" t="s">
        <v>2129</v>
      </c>
      <c r="AH84" s="29" t="s">
        <v>2129</v>
      </c>
      <c r="AI84" s="29" t="s">
        <v>3443</v>
      </c>
      <c r="AJ84" s="29" t="s">
        <v>2129</v>
      </c>
      <c r="AK84" s="29" t="s">
        <v>2129</v>
      </c>
      <c r="AL84" s="29" t="s">
        <v>2129</v>
      </c>
      <c r="AM84" s="29" t="s">
        <v>2129</v>
      </c>
      <c r="AN84" s="29" t="s">
        <v>2129</v>
      </c>
      <c r="AO84" s="29" t="s">
        <v>2129</v>
      </c>
      <c r="AP84" s="29" t="s">
        <v>2129</v>
      </c>
      <c r="AQ84" s="29" t="s">
        <v>2129</v>
      </c>
      <c r="AR84" s="29" t="s">
        <v>2129</v>
      </c>
      <c r="AS84" s="29" t="s">
        <v>2129</v>
      </c>
      <c r="AT84" s="29" t="s">
        <v>2129</v>
      </c>
      <c r="AU84" s="29" t="s">
        <v>2129</v>
      </c>
      <c r="AV84" s="29" t="s">
        <v>2129</v>
      </c>
      <c r="AW84" s="29" t="s">
        <v>2129</v>
      </c>
      <c r="AX84" s="29">
        <v>0</v>
      </c>
      <c r="AY84" s="29">
        <v>3600</v>
      </c>
      <c r="AZ84" s="29" t="s">
        <v>2129</v>
      </c>
      <c r="BA84" s="29" t="s">
        <v>2129</v>
      </c>
      <c r="BB84" s="29">
        <v>0</v>
      </c>
      <c r="BC84" s="29">
        <v>3600</v>
      </c>
      <c r="BD84" s="29" t="s">
        <v>2129</v>
      </c>
      <c r="BE84" s="29" t="s">
        <v>2129</v>
      </c>
      <c r="BF84" s="29" t="s">
        <v>2129</v>
      </c>
      <c r="BG84" s="29" t="s">
        <v>2129</v>
      </c>
      <c r="BH84" s="29" t="s">
        <v>2129</v>
      </c>
      <c r="BI84" s="29" t="s">
        <v>2129</v>
      </c>
      <c r="BJ84" s="29" t="s">
        <v>2129</v>
      </c>
      <c r="BK84" s="29" t="s">
        <v>2129</v>
      </c>
      <c r="BL84" s="29" t="s">
        <v>2129</v>
      </c>
      <c r="BM84" s="29" t="s">
        <v>2129</v>
      </c>
      <c r="BN84" s="29" t="s">
        <v>2129</v>
      </c>
      <c r="BO84" s="29" t="s">
        <v>2129</v>
      </c>
      <c r="BP84" s="29" t="s">
        <v>2129</v>
      </c>
      <c r="BQ84" s="29" t="s">
        <v>2129</v>
      </c>
      <c r="BR84" s="29" t="s">
        <v>2129</v>
      </c>
      <c r="BS84" s="29" t="s">
        <v>2129</v>
      </c>
      <c r="BT84" s="29" t="s">
        <v>2129</v>
      </c>
      <c r="BU84" s="29" t="s">
        <v>2129</v>
      </c>
      <c r="BV84" s="29" t="s">
        <v>2129</v>
      </c>
      <c r="BW84" s="29" t="s">
        <v>2129</v>
      </c>
      <c r="BX84" s="29" t="s">
        <v>2129</v>
      </c>
      <c r="BY84" s="29" t="s">
        <v>2129</v>
      </c>
      <c r="BZ84" s="29" t="s">
        <v>2129</v>
      </c>
      <c r="CA84" s="29" t="s">
        <v>2129</v>
      </c>
      <c r="CB84" s="29" t="s">
        <v>2129</v>
      </c>
      <c r="CC84" s="29" t="s">
        <v>2129</v>
      </c>
      <c r="CD84" s="29" t="s">
        <v>2129</v>
      </c>
      <c r="CE84" s="29" t="s">
        <v>3444</v>
      </c>
      <c r="CF84" s="29" t="s">
        <v>2129</v>
      </c>
      <c r="CG84" s="29" t="s">
        <v>2129</v>
      </c>
      <c r="CH84" s="29" t="s">
        <v>2129</v>
      </c>
      <c r="CI84" s="29" t="s">
        <v>2129</v>
      </c>
      <c r="CJ84" s="29" t="s">
        <v>2129</v>
      </c>
      <c r="CK84" s="29" t="s">
        <v>2129</v>
      </c>
      <c r="CL84" s="29" t="s">
        <v>2129</v>
      </c>
      <c r="CM84" s="29" t="s">
        <v>2129</v>
      </c>
      <c r="CN84" s="29" t="s">
        <v>2129</v>
      </c>
      <c r="CO84" s="29" t="s">
        <v>2129</v>
      </c>
      <c r="CP84" s="29" t="s">
        <v>2129</v>
      </c>
      <c r="CQ84" s="29" t="s">
        <v>2129</v>
      </c>
      <c r="CR84" s="29" t="s">
        <v>2129</v>
      </c>
      <c r="CS84" s="29"/>
      <c r="CT84" s="29" t="s">
        <v>2129</v>
      </c>
      <c r="CU84" s="29" t="s">
        <v>2129</v>
      </c>
      <c r="CV84" s="29" t="s">
        <v>2129</v>
      </c>
      <c r="CW84" s="29" t="s">
        <v>2129</v>
      </c>
      <c r="CX84" s="29" t="s">
        <v>2129</v>
      </c>
      <c r="CY84" s="29" t="s">
        <v>2129</v>
      </c>
      <c r="CZ84" s="29" t="s">
        <v>2129</v>
      </c>
      <c r="DA84" s="29" t="s">
        <v>2129</v>
      </c>
      <c r="DB84" s="29" t="s">
        <v>2129</v>
      </c>
      <c r="DC84" s="29" t="s">
        <v>2129</v>
      </c>
      <c r="DD84" s="29" t="s">
        <v>2129</v>
      </c>
      <c r="DE84" s="29" t="s">
        <v>2129</v>
      </c>
      <c r="DF84" s="29" t="s">
        <v>2129</v>
      </c>
      <c r="DG84" s="29" t="s">
        <v>2129</v>
      </c>
      <c r="DH84" s="29" t="s">
        <v>2129</v>
      </c>
      <c r="DI84" s="29" t="s">
        <v>2129</v>
      </c>
      <c r="DJ84" s="29" t="s">
        <v>2129</v>
      </c>
      <c r="DK84" s="29" t="s">
        <v>2129</v>
      </c>
      <c r="DL84" s="29" t="s">
        <v>2129</v>
      </c>
      <c r="DM84" s="29" t="s">
        <v>2129</v>
      </c>
      <c r="DN84" s="29" t="s">
        <v>2129</v>
      </c>
      <c r="DO84" s="29" t="s">
        <v>2129</v>
      </c>
      <c r="DP84" s="29" t="s">
        <v>2129</v>
      </c>
      <c r="DQ84" s="42" t="s">
        <v>2129</v>
      </c>
    </row>
    <row r="85" spans="1:121" x14ac:dyDescent="0.25">
      <c r="A85" s="36" t="s">
        <v>3445</v>
      </c>
      <c r="B85" s="30" t="s">
        <v>3446</v>
      </c>
      <c r="C85" s="30">
        <v>23011</v>
      </c>
      <c r="D85" s="30">
        <v>22785</v>
      </c>
      <c r="E85" s="30" t="s">
        <v>1379</v>
      </c>
      <c r="F85" s="30" t="s">
        <v>16</v>
      </c>
      <c r="G85" s="30" t="s">
        <v>2185</v>
      </c>
      <c r="H85" s="30" t="s">
        <v>41</v>
      </c>
      <c r="I85" s="30" t="s">
        <v>2127</v>
      </c>
      <c r="J85" s="30" t="s">
        <v>2128</v>
      </c>
      <c r="K85" s="30" t="s">
        <v>2186</v>
      </c>
      <c r="L85" s="30" t="s">
        <v>2187</v>
      </c>
      <c r="M85" s="30" t="s">
        <v>2130</v>
      </c>
      <c r="N85" s="30" t="s">
        <v>16</v>
      </c>
      <c r="O85" s="30" t="s">
        <v>2180</v>
      </c>
      <c r="P85" s="30" t="s">
        <v>2128</v>
      </c>
      <c r="Q85" s="30" t="s">
        <v>2128</v>
      </c>
      <c r="R85" s="46">
        <v>46073.584027777775</v>
      </c>
      <c r="S85" s="46">
        <v>46079.645138888889</v>
      </c>
      <c r="T85" s="46">
        <v>46087.717361111114</v>
      </c>
      <c r="U85" s="46">
        <v>46079.645138888889</v>
      </c>
      <c r="V85" s="30" t="s">
        <v>2129</v>
      </c>
      <c r="W85" s="30" t="s">
        <v>2129</v>
      </c>
      <c r="X85" s="30" t="s">
        <v>2129</v>
      </c>
      <c r="Y85" s="30">
        <v>0</v>
      </c>
      <c r="Z85" s="30" t="s">
        <v>2129</v>
      </c>
      <c r="AA85" s="30" t="s">
        <v>2129</v>
      </c>
      <c r="AB85" s="30" t="s">
        <v>3447</v>
      </c>
      <c r="AC85" s="30" t="s">
        <v>2129</v>
      </c>
      <c r="AD85" s="30" t="s">
        <v>2128</v>
      </c>
      <c r="AE85" s="30" t="s">
        <v>2129</v>
      </c>
      <c r="AF85" s="30" t="s">
        <v>2129</v>
      </c>
      <c r="AG85" s="30" t="s">
        <v>2129</v>
      </c>
      <c r="AH85" s="30" t="s">
        <v>2129</v>
      </c>
      <c r="AI85" s="30" t="s">
        <v>2129</v>
      </c>
      <c r="AJ85" s="30" t="s">
        <v>2129</v>
      </c>
      <c r="AK85" s="30" t="s">
        <v>2129</v>
      </c>
      <c r="AL85" s="30" t="s">
        <v>2129</v>
      </c>
      <c r="AM85" s="30" t="s">
        <v>2129</v>
      </c>
      <c r="AN85" s="30" t="s">
        <v>2129</v>
      </c>
      <c r="AO85" s="30" t="s">
        <v>2129</v>
      </c>
      <c r="AP85" s="30" t="s">
        <v>2129</v>
      </c>
      <c r="AQ85" s="30" t="s">
        <v>2129</v>
      </c>
      <c r="AR85" s="30" t="s">
        <v>2129</v>
      </c>
      <c r="AS85" s="30" t="s">
        <v>2129</v>
      </c>
      <c r="AT85" s="30" t="s">
        <v>2129</v>
      </c>
      <c r="AU85" s="30" t="s">
        <v>2129</v>
      </c>
      <c r="AV85" s="30" t="s">
        <v>2129</v>
      </c>
      <c r="AW85" s="30" t="s">
        <v>2129</v>
      </c>
      <c r="AX85" s="30"/>
      <c r="AY85" s="30"/>
      <c r="AZ85" s="30" t="s">
        <v>2129</v>
      </c>
      <c r="BA85" s="30" t="s">
        <v>2129</v>
      </c>
      <c r="BB85" s="30"/>
      <c r="BC85" s="30"/>
      <c r="BD85" s="30" t="s">
        <v>2129</v>
      </c>
      <c r="BE85" s="30" t="s">
        <v>2129</v>
      </c>
      <c r="BF85" s="30" t="s">
        <v>2129</v>
      </c>
      <c r="BG85" s="30" t="s">
        <v>2129</v>
      </c>
      <c r="BH85" s="30" t="s">
        <v>2129</v>
      </c>
      <c r="BI85" s="30" t="s">
        <v>2129</v>
      </c>
      <c r="BJ85" s="30" t="s">
        <v>2129</v>
      </c>
      <c r="BK85" s="30" t="s">
        <v>2129</v>
      </c>
      <c r="BL85" s="30" t="s">
        <v>2129</v>
      </c>
      <c r="BM85" s="30" t="s">
        <v>2129</v>
      </c>
      <c r="BN85" s="30" t="s">
        <v>2129</v>
      </c>
      <c r="BO85" s="30" t="s">
        <v>2129</v>
      </c>
      <c r="BP85" s="30" t="s">
        <v>2129</v>
      </c>
      <c r="BQ85" s="30" t="s">
        <v>2129</v>
      </c>
      <c r="BR85" s="30" t="s">
        <v>2129</v>
      </c>
      <c r="BS85" s="30" t="s">
        <v>2129</v>
      </c>
      <c r="BT85" s="30" t="s">
        <v>2129</v>
      </c>
      <c r="BU85" s="30" t="s">
        <v>2129</v>
      </c>
      <c r="BV85" s="30" t="s">
        <v>2129</v>
      </c>
      <c r="BW85" s="30" t="s">
        <v>2129</v>
      </c>
      <c r="BX85" s="30" t="s">
        <v>2129</v>
      </c>
      <c r="BY85" s="30" t="s">
        <v>2129</v>
      </c>
      <c r="BZ85" s="30" t="s">
        <v>2129</v>
      </c>
      <c r="CA85" s="30" t="s">
        <v>2129</v>
      </c>
      <c r="CB85" s="30" t="s">
        <v>2129</v>
      </c>
      <c r="CC85" s="30" t="s">
        <v>2129</v>
      </c>
      <c r="CD85" s="30" t="s">
        <v>2129</v>
      </c>
      <c r="CE85" s="30" t="s">
        <v>3448</v>
      </c>
      <c r="CF85" s="30" t="s">
        <v>2539</v>
      </c>
      <c r="CG85" s="30" t="s">
        <v>2722</v>
      </c>
      <c r="CH85" s="30" t="s">
        <v>2973</v>
      </c>
      <c r="CI85" s="30" t="s">
        <v>3449</v>
      </c>
      <c r="CJ85" s="30" t="s">
        <v>3450</v>
      </c>
      <c r="CK85" s="30" t="s">
        <v>2129</v>
      </c>
      <c r="CL85" s="30" t="s">
        <v>2129</v>
      </c>
      <c r="CM85" s="30" t="s">
        <v>2129</v>
      </c>
      <c r="CN85" s="30" t="s">
        <v>2129</v>
      </c>
      <c r="CO85" s="30" t="s">
        <v>2129</v>
      </c>
      <c r="CP85" s="30" t="s">
        <v>2129</v>
      </c>
      <c r="CQ85" s="30" t="s">
        <v>2129</v>
      </c>
      <c r="CR85" s="30" t="s">
        <v>2129</v>
      </c>
      <c r="CS85" s="30"/>
      <c r="CT85" s="30" t="s">
        <v>2129</v>
      </c>
      <c r="CU85" s="30" t="s">
        <v>2129</v>
      </c>
      <c r="CV85" s="30" t="s">
        <v>2129</v>
      </c>
      <c r="CW85" s="30" t="s">
        <v>2129</v>
      </c>
      <c r="CX85" s="30" t="s">
        <v>2129</v>
      </c>
      <c r="CY85" s="30" t="s">
        <v>2129</v>
      </c>
      <c r="CZ85" s="30" t="s">
        <v>2129</v>
      </c>
      <c r="DA85" s="30" t="s">
        <v>2129</v>
      </c>
      <c r="DB85" s="30" t="s">
        <v>2129</v>
      </c>
      <c r="DC85" s="30" t="s">
        <v>2129</v>
      </c>
      <c r="DD85" s="30" t="s">
        <v>2129</v>
      </c>
      <c r="DE85" s="30" t="s">
        <v>2129</v>
      </c>
      <c r="DF85" s="30" t="s">
        <v>2129</v>
      </c>
      <c r="DG85" s="30" t="s">
        <v>2129</v>
      </c>
      <c r="DH85" s="30" t="s">
        <v>2129</v>
      </c>
      <c r="DI85" s="30" t="s">
        <v>2129</v>
      </c>
      <c r="DJ85" s="30" t="s">
        <v>2129</v>
      </c>
      <c r="DK85" s="30" t="s">
        <v>2129</v>
      </c>
      <c r="DL85" s="30" t="s">
        <v>2129</v>
      </c>
      <c r="DM85" s="30" t="s">
        <v>2129</v>
      </c>
      <c r="DN85" s="30" t="s">
        <v>2129</v>
      </c>
      <c r="DO85" s="30" t="s">
        <v>2129</v>
      </c>
      <c r="DP85" s="30" t="s">
        <v>2129</v>
      </c>
      <c r="DQ85" s="43" t="s">
        <v>2129</v>
      </c>
    </row>
    <row r="86" spans="1:121" x14ac:dyDescent="0.25">
      <c r="A86" s="39" t="s">
        <v>2958</v>
      </c>
      <c r="B86" s="29" t="s">
        <v>2959</v>
      </c>
      <c r="C86" s="29">
        <v>22967</v>
      </c>
      <c r="D86" s="29"/>
      <c r="E86" s="29" t="s">
        <v>14</v>
      </c>
      <c r="F86" s="29" t="s">
        <v>16</v>
      </c>
      <c r="G86" s="29" t="s">
        <v>2185</v>
      </c>
      <c r="H86" s="29" t="s">
        <v>41</v>
      </c>
      <c r="I86" s="29" t="s">
        <v>2127</v>
      </c>
      <c r="J86" s="29" t="s">
        <v>2128</v>
      </c>
      <c r="K86" s="29" t="s">
        <v>2186</v>
      </c>
      <c r="L86" s="29" t="s">
        <v>2187</v>
      </c>
      <c r="M86" s="29" t="s">
        <v>2960</v>
      </c>
      <c r="N86" s="29" t="s">
        <v>2153</v>
      </c>
      <c r="O86" s="29" t="s">
        <v>2190</v>
      </c>
      <c r="P86" s="29" t="s">
        <v>2190</v>
      </c>
      <c r="Q86" s="29" t="s">
        <v>2190</v>
      </c>
      <c r="R86" s="45">
        <v>46064.51666666667</v>
      </c>
      <c r="S86" s="45">
        <v>46085.368055555555</v>
      </c>
      <c r="T86" s="45">
        <v>46087.717361111114</v>
      </c>
      <c r="U86" s="45">
        <v>46085.368055555555</v>
      </c>
      <c r="V86" s="29" t="s">
        <v>2129</v>
      </c>
      <c r="W86" s="29" t="s">
        <v>2129</v>
      </c>
      <c r="X86" s="29" t="s">
        <v>2129</v>
      </c>
      <c r="Y86" s="29">
        <v>0</v>
      </c>
      <c r="Z86" s="29" t="s">
        <v>2129</v>
      </c>
      <c r="AA86" s="29" t="s">
        <v>2129</v>
      </c>
      <c r="AB86" s="29" t="s">
        <v>2961</v>
      </c>
      <c r="AC86" s="29" t="s">
        <v>2129</v>
      </c>
      <c r="AD86" s="29" t="s">
        <v>2190</v>
      </c>
      <c r="AE86" s="29" t="s">
        <v>2129</v>
      </c>
      <c r="AF86" s="29" t="s">
        <v>2129</v>
      </c>
      <c r="AG86" s="29" t="s">
        <v>2129</v>
      </c>
      <c r="AH86" s="29" t="s">
        <v>2129</v>
      </c>
      <c r="AI86" s="29" t="s">
        <v>2962</v>
      </c>
      <c r="AJ86" s="29" t="s">
        <v>2963</v>
      </c>
      <c r="AK86" s="29" t="s">
        <v>2129</v>
      </c>
      <c r="AL86" s="29" t="s">
        <v>2129</v>
      </c>
      <c r="AM86" s="29" t="s">
        <v>2129</v>
      </c>
      <c r="AN86" s="29" t="s">
        <v>2129</v>
      </c>
      <c r="AO86" s="29" t="s">
        <v>2129</v>
      </c>
      <c r="AP86" s="29" t="s">
        <v>2129</v>
      </c>
      <c r="AQ86" s="29" t="s">
        <v>2129</v>
      </c>
      <c r="AR86" s="29" t="s">
        <v>2129</v>
      </c>
      <c r="AS86" s="29" t="s">
        <v>2129</v>
      </c>
      <c r="AT86" s="29" t="s">
        <v>2129</v>
      </c>
      <c r="AU86" s="29" t="s">
        <v>2129</v>
      </c>
      <c r="AV86" s="29" t="s">
        <v>2129</v>
      </c>
      <c r="AW86" s="29" t="s">
        <v>2129</v>
      </c>
      <c r="AX86" s="29">
        <v>0</v>
      </c>
      <c r="AY86" s="29">
        <v>14400</v>
      </c>
      <c r="AZ86" s="29" t="s">
        <v>2129</v>
      </c>
      <c r="BA86" s="29" t="s">
        <v>2129</v>
      </c>
      <c r="BB86" s="29">
        <v>0</v>
      </c>
      <c r="BC86" s="29">
        <v>14400</v>
      </c>
      <c r="BD86" s="29" t="s">
        <v>2129</v>
      </c>
      <c r="BE86" s="29" t="s">
        <v>2129</v>
      </c>
      <c r="BF86" s="29" t="s">
        <v>2593</v>
      </c>
      <c r="BG86" s="29" t="s">
        <v>2129</v>
      </c>
      <c r="BH86" s="29" t="s">
        <v>2129</v>
      </c>
      <c r="BI86" s="29" t="s">
        <v>2129</v>
      </c>
      <c r="BJ86" s="29" t="s">
        <v>2129</v>
      </c>
      <c r="BK86" s="29" t="s">
        <v>2129</v>
      </c>
      <c r="BL86" s="29" t="s">
        <v>2129</v>
      </c>
      <c r="BM86" s="29" t="s">
        <v>2129</v>
      </c>
      <c r="BN86" s="29" t="s">
        <v>2129</v>
      </c>
      <c r="BO86" s="29" t="s">
        <v>2129</v>
      </c>
      <c r="BP86" s="29" t="s">
        <v>2129</v>
      </c>
      <c r="BQ86" s="29" t="s">
        <v>2129</v>
      </c>
      <c r="BR86" s="29" t="s">
        <v>2129</v>
      </c>
      <c r="BS86" s="29" t="s">
        <v>2129</v>
      </c>
      <c r="BT86" s="29" t="s">
        <v>2129</v>
      </c>
      <c r="BU86" s="29" t="s">
        <v>2129</v>
      </c>
      <c r="BV86" s="29" t="s">
        <v>2129</v>
      </c>
      <c r="BW86" s="29" t="s">
        <v>2129</v>
      </c>
      <c r="BX86" s="29" t="s">
        <v>2129</v>
      </c>
      <c r="BY86" s="29" t="s">
        <v>2129</v>
      </c>
      <c r="BZ86" s="29" t="s">
        <v>2129</v>
      </c>
      <c r="CA86" s="29" t="s">
        <v>2129</v>
      </c>
      <c r="CB86" s="29" t="s">
        <v>2129</v>
      </c>
      <c r="CC86" s="29" t="s">
        <v>2129</v>
      </c>
      <c r="CD86" s="29" t="s">
        <v>2129</v>
      </c>
      <c r="CE86" s="29" t="s">
        <v>2964</v>
      </c>
      <c r="CF86" s="29" t="s">
        <v>2539</v>
      </c>
      <c r="CG86" s="29" t="s">
        <v>2129</v>
      </c>
      <c r="CH86" s="29" t="s">
        <v>2129</v>
      </c>
      <c r="CI86" s="29" t="s">
        <v>2129</v>
      </c>
      <c r="CJ86" s="29" t="s">
        <v>2129</v>
      </c>
      <c r="CK86" s="29" t="s">
        <v>2129</v>
      </c>
      <c r="CL86" s="29" t="s">
        <v>2129</v>
      </c>
      <c r="CM86" s="29" t="s">
        <v>2129</v>
      </c>
      <c r="CN86" s="29" t="s">
        <v>2129</v>
      </c>
      <c r="CO86" s="29" t="s">
        <v>2129</v>
      </c>
      <c r="CP86" s="29" t="s">
        <v>2129</v>
      </c>
      <c r="CQ86" s="29" t="s">
        <v>2129</v>
      </c>
      <c r="CR86" s="29" t="s">
        <v>2129</v>
      </c>
      <c r="CS86" s="29"/>
      <c r="CT86" s="29" t="s">
        <v>2129</v>
      </c>
      <c r="CU86" s="29" t="s">
        <v>2129</v>
      </c>
      <c r="CV86" s="29" t="s">
        <v>2965</v>
      </c>
      <c r="CW86" s="29" t="s">
        <v>2129</v>
      </c>
      <c r="CX86" s="29" t="s">
        <v>2129</v>
      </c>
      <c r="CY86" s="29" t="s">
        <v>2129</v>
      </c>
      <c r="CZ86" s="29" t="s">
        <v>2129</v>
      </c>
      <c r="DA86" s="29" t="s">
        <v>2129</v>
      </c>
      <c r="DB86" s="29" t="s">
        <v>2129</v>
      </c>
      <c r="DC86" s="29" t="s">
        <v>2129</v>
      </c>
      <c r="DD86" s="29" t="s">
        <v>2129</v>
      </c>
      <c r="DE86" s="29" t="s">
        <v>2129</v>
      </c>
      <c r="DF86" s="29" t="s">
        <v>2129</v>
      </c>
      <c r="DG86" s="29" t="s">
        <v>2129</v>
      </c>
      <c r="DH86" s="29" t="s">
        <v>2129</v>
      </c>
      <c r="DI86" s="29" t="s">
        <v>2129</v>
      </c>
      <c r="DJ86" s="29" t="s">
        <v>2129</v>
      </c>
      <c r="DK86" s="29" t="s">
        <v>2129</v>
      </c>
      <c r="DL86" s="29" t="s">
        <v>2129</v>
      </c>
      <c r="DM86" s="29" t="s">
        <v>2129</v>
      </c>
      <c r="DN86" s="29" t="s">
        <v>2129</v>
      </c>
      <c r="DO86" s="29" t="s">
        <v>2129</v>
      </c>
      <c r="DP86" s="29" t="s">
        <v>2129</v>
      </c>
      <c r="DQ86" s="42" t="s">
        <v>2129</v>
      </c>
    </row>
    <row r="87" spans="1:121" x14ac:dyDescent="0.25">
      <c r="A87" s="36" t="s">
        <v>2751</v>
      </c>
      <c r="B87" s="30" t="s">
        <v>2750</v>
      </c>
      <c r="C87" s="30">
        <v>22941</v>
      </c>
      <c r="D87" s="30"/>
      <c r="E87" s="30" t="s">
        <v>14</v>
      </c>
      <c r="F87" s="30" t="s">
        <v>16</v>
      </c>
      <c r="G87" s="30" t="s">
        <v>2185</v>
      </c>
      <c r="H87" s="30" t="s">
        <v>41</v>
      </c>
      <c r="I87" s="30" t="s">
        <v>2127</v>
      </c>
      <c r="J87" s="30" t="s">
        <v>2128</v>
      </c>
      <c r="K87" s="30" t="s">
        <v>2186</v>
      </c>
      <c r="L87" s="30" t="s">
        <v>2187</v>
      </c>
      <c r="M87" s="30" t="s">
        <v>2130</v>
      </c>
      <c r="N87" s="30" t="s">
        <v>2153</v>
      </c>
      <c r="O87" s="30" t="s">
        <v>2182</v>
      </c>
      <c r="P87" s="30" t="s">
        <v>2190</v>
      </c>
      <c r="Q87" s="30" t="s">
        <v>2190</v>
      </c>
      <c r="R87" s="46">
        <v>46059.594444444447</v>
      </c>
      <c r="S87" s="46">
        <v>46085.381944444445</v>
      </c>
      <c r="T87" s="46">
        <v>46087.717361111114</v>
      </c>
      <c r="U87" s="46">
        <v>46080.7</v>
      </c>
      <c r="V87" s="30" t="s">
        <v>3055</v>
      </c>
      <c r="W87" s="30" t="s">
        <v>2129</v>
      </c>
      <c r="X87" s="30" t="s">
        <v>2129</v>
      </c>
      <c r="Y87" s="30">
        <v>0</v>
      </c>
      <c r="Z87" s="30" t="s">
        <v>2129</v>
      </c>
      <c r="AA87" s="30" t="s">
        <v>2129</v>
      </c>
      <c r="AB87" s="30" t="s">
        <v>3451</v>
      </c>
      <c r="AC87" s="30" t="s">
        <v>2129</v>
      </c>
      <c r="AD87" s="30" t="s">
        <v>2190</v>
      </c>
      <c r="AE87" s="30" t="s">
        <v>2128</v>
      </c>
      <c r="AF87" s="30" t="s">
        <v>2129</v>
      </c>
      <c r="AG87" s="30" t="s">
        <v>2129</v>
      </c>
      <c r="AH87" s="30" t="s">
        <v>2129</v>
      </c>
      <c r="AI87" s="30" t="s">
        <v>3452</v>
      </c>
      <c r="AJ87" s="30" t="s">
        <v>3453</v>
      </c>
      <c r="AK87" s="30" t="s">
        <v>3454</v>
      </c>
      <c r="AL87" s="30" t="s">
        <v>2129</v>
      </c>
      <c r="AM87" s="30" t="s">
        <v>2129</v>
      </c>
      <c r="AN87" s="30" t="s">
        <v>2129</v>
      </c>
      <c r="AO87" s="30" t="s">
        <v>2129</v>
      </c>
      <c r="AP87" s="30" t="s">
        <v>2129</v>
      </c>
      <c r="AQ87" s="30" t="s">
        <v>2129</v>
      </c>
      <c r="AR87" s="30" t="s">
        <v>2129</v>
      </c>
      <c r="AS87" s="30" t="s">
        <v>2129</v>
      </c>
      <c r="AT87" s="30" t="s">
        <v>2129</v>
      </c>
      <c r="AU87" s="30" t="s">
        <v>2129</v>
      </c>
      <c r="AV87" s="30" t="s">
        <v>2129</v>
      </c>
      <c r="AW87" s="30" t="s">
        <v>2129</v>
      </c>
      <c r="AX87" s="30">
        <v>0</v>
      </c>
      <c r="AY87" s="30">
        <v>79200</v>
      </c>
      <c r="AZ87" s="30" t="s">
        <v>2129</v>
      </c>
      <c r="BA87" s="30" t="s">
        <v>2129</v>
      </c>
      <c r="BB87" s="30">
        <v>0</v>
      </c>
      <c r="BC87" s="30">
        <v>79200</v>
      </c>
      <c r="BD87" s="30" t="s">
        <v>2129</v>
      </c>
      <c r="BE87" s="30" t="s">
        <v>2129</v>
      </c>
      <c r="BF87" s="30" t="s">
        <v>2129</v>
      </c>
      <c r="BG87" s="30" t="s">
        <v>2129</v>
      </c>
      <c r="BH87" s="30" t="s">
        <v>2129</v>
      </c>
      <c r="BI87" s="30" t="s">
        <v>2129</v>
      </c>
      <c r="BJ87" s="30" t="s">
        <v>2129</v>
      </c>
      <c r="BK87" s="30" t="s">
        <v>2129</v>
      </c>
      <c r="BL87" s="30" t="s">
        <v>2129</v>
      </c>
      <c r="BM87" s="30" t="s">
        <v>2129</v>
      </c>
      <c r="BN87" s="30" t="s">
        <v>2129</v>
      </c>
      <c r="BO87" s="30" t="s">
        <v>2129</v>
      </c>
      <c r="BP87" s="30" t="s">
        <v>2129</v>
      </c>
      <c r="BQ87" s="30" t="s">
        <v>2129</v>
      </c>
      <c r="BR87" s="30" t="s">
        <v>2129</v>
      </c>
      <c r="BS87" s="30" t="s">
        <v>2129</v>
      </c>
      <c r="BT87" s="30" t="s">
        <v>2129</v>
      </c>
      <c r="BU87" s="30" t="s">
        <v>2129</v>
      </c>
      <c r="BV87" s="30" t="s">
        <v>2129</v>
      </c>
      <c r="BW87" s="30" t="s">
        <v>2129</v>
      </c>
      <c r="BX87" s="30" t="s">
        <v>2129</v>
      </c>
      <c r="BY87" s="30" t="s">
        <v>2129</v>
      </c>
      <c r="BZ87" s="30" t="s">
        <v>2129</v>
      </c>
      <c r="CA87" s="30" t="s">
        <v>2129</v>
      </c>
      <c r="CB87" s="30" t="s">
        <v>2129</v>
      </c>
      <c r="CC87" s="30" t="s">
        <v>2129</v>
      </c>
      <c r="CD87" s="30" t="s">
        <v>2129</v>
      </c>
      <c r="CE87" s="30" t="s">
        <v>3455</v>
      </c>
      <c r="CF87" s="30" t="s">
        <v>2722</v>
      </c>
      <c r="CG87" s="30" t="s">
        <v>2973</v>
      </c>
      <c r="CH87" s="30" t="s">
        <v>3449</v>
      </c>
      <c r="CI87" s="30" t="s">
        <v>2129</v>
      </c>
      <c r="CJ87" s="30" t="s">
        <v>2129</v>
      </c>
      <c r="CK87" s="30" t="s">
        <v>2129</v>
      </c>
      <c r="CL87" s="30" t="s">
        <v>2129</v>
      </c>
      <c r="CM87" s="30" t="s">
        <v>2129</v>
      </c>
      <c r="CN87" s="30" t="s">
        <v>2129</v>
      </c>
      <c r="CO87" s="30" t="s">
        <v>2129</v>
      </c>
      <c r="CP87" s="30" t="s">
        <v>2129</v>
      </c>
      <c r="CQ87" s="30" t="s">
        <v>2129</v>
      </c>
      <c r="CR87" s="30" t="s">
        <v>2129</v>
      </c>
      <c r="CS87" s="30">
        <v>50</v>
      </c>
      <c r="CT87" s="30" t="s">
        <v>2129</v>
      </c>
      <c r="CU87" s="30" t="s">
        <v>2129</v>
      </c>
      <c r="CV87" s="30" t="s">
        <v>2129</v>
      </c>
      <c r="CW87" s="30" t="s">
        <v>2129</v>
      </c>
      <c r="CX87" s="30" t="s">
        <v>2129</v>
      </c>
      <c r="CY87" s="30" t="s">
        <v>2129</v>
      </c>
      <c r="CZ87" s="30" t="s">
        <v>2129</v>
      </c>
      <c r="DA87" s="30" t="s">
        <v>2129</v>
      </c>
      <c r="DB87" s="30" t="s">
        <v>2129</v>
      </c>
      <c r="DC87" s="30" t="s">
        <v>2129</v>
      </c>
      <c r="DD87" s="30" t="s">
        <v>2129</v>
      </c>
      <c r="DE87" s="30" t="s">
        <v>2129</v>
      </c>
      <c r="DF87" s="30" t="s">
        <v>2129</v>
      </c>
      <c r="DG87" s="30" t="s">
        <v>2129</v>
      </c>
      <c r="DH87" s="30" t="s">
        <v>2129</v>
      </c>
      <c r="DI87" s="30" t="s">
        <v>2129</v>
      </c>
      <c r="DJ87" s="30" t="s">
        <v>2129</v>
      </c>
      <c r="DK87" s="30" t="s">
        <v>2129</v>
      </c>
      <c r="DL87" s="30" t="s">
        <v>2129</v>
      </c>
      <c r="DM87" s="30" t="s">
        <v>2129</v>
      </c>
      <c r="DN87" s="30" t="s">
        <v>2129</v>
      </c>
      <c r="DO87" s="30" t="s">
        <v>2129</v>
      </c>
      <c r="DP87" s="30" t="s">
        <v>2129</v>
      </c>
      <c r="DQ87" s="43" t="s">
        <v>2129</v>
      </c>
    </row>
    <row r="88" spans="1:121" x14ac:dyDescent="0.25">
      <c r="A88" s="39" t="s">
        <v>2749</v>
      </c>
      <c r="B88" s="29" t="s">
        <v>2748</v>
      </c>
      <c r="C88" s="29">
        <v>22920</v>
      </c>
      <c r="D88" s="29"/>
      <c r="E88" s="29" t="s">
        <v>14</v>
      </c>
      <c r="F88" s="29" t="s">
        <v>16</v>
      </c>
      <c r="G88" s="29" t="s">
        <v>2185</v>
      </c>
      <c r="H88" s="29" t="s">
        <v>41</v>
      </c>
      <c r="I88" s="29" t="s">
        <v>2127</v>
      </c>
      <c r="J88" s="29" t="s">
        <v>2128</v>
      </c>
      <c r="K88" s="29" t="s">
        <v>2186</v>
      </c>
      <c r="L88" s="29" t="s">
        <v>2187</v>
      </c>
      <c r="M88" s="29" t="s">
        <v>2130</v>
      </c>
      <c r="N88" s="29" t="s">
        <v>2153</v>
      </c>
      <c r="O88" s="29" t="s">
        <v>2182</v>
      </c>
      <c r="P88" s="29" t="s">
        <v>2190</v>
      </c>
      <c r="Q88" s="29" t="s">
        <v>2190</v>
      </c>
      <c r="R88" s="45">
        <v>46055.381249999999</v>
      </c>
      <c r="S88" s="45">
        <v>46085.381944444445</v>
      </c>
      <c r="T88" s="45">
        <v>46077.381249999999</v>
      </c>
      <c r="U88" s="45">
        <v>46064.679861111108</v>
      </c>
      <c r="V88" s="29" t="s">
        <v>3055</v>
      </c>
      <c r="W88" s="29" t="s">
        <v>2129</v>
      </c>
      <c r="X88" s="29" t="s">
        <v>2129</v>
      </c>
      <c r="Y88" s="29">
        <v>0</v>
      </c>
      <c r="Z88" s="29" t="s">
        <v>2129</v>
      </c>
      <c r="AA88" s="29" t="s">
        <v>2129</v>
      </c>
      <c r="AB88" s="29" t="s">
        <v>2966</v>
      </c>
      <c r="AC88" s="29" t="s">
        <v>2129</v>
      </c>
      <c r="AD88" s="29" t="s">
        <v>2190</v>
      </c>
      <c r="AE88" s="29" t="s">
        <v>2128</v>
      </c>
      <c r="AF88" s="29" t="s">
        <v>2129</v>
      </c>
      <c r="AG88" s="29" t="s">
        <v>2129</v>
      </c>
      <c r="AH88" s="29" t="s">
        <v>2129</v>
      </c>
      <c r="AI88" s="29" t="s">
        <v>2967</v>
      </c>
      <c r="AJ88" s="29" t="s">
        <v>2968</v>
      </c>
      <c r="AK88" s="29" t="s">
        <v>2969</v>
      </c>
      <c r="AL88" s="29" t="s">
        <v>2970</v>
      </c>
      <c r="AM88" s="29" t="s">
        <v>2971</v>
      </c>
      <c r="AN88" s="29" t="s">
        <v>2129</v>
      </c>
      <c r="AO88" s="29" t="s">
        <v>2129</v>
      </c>
      <c r="AP88" s="29" t="s">
        <v>2129</v>
      </c>
      <c r="AQ88" s="29" t="s">
        <v>2129</v>
      </c>
      <c r="AR88" s="29" t="s">
        <v>2129</v>
      </c>
      <c r="AS88" s="29" t="s">
        <v>2129</v>
      </c>
      <c r="AT88" s="29" t="s">
        <v>2129</v>
      </c>
      <c r="AU88" s="29" t="s">
        <v>2129</v>
      </c>
      <c r="AV88" s="29" t="s">
        <v>2129</v>
      </c>
      <c r="AW88" s="29" t="s">
        <v>2129</v>
      </c>
      <c r="AX88" s="29">
        <v>0</v>
      </c>
      <c r="AY88" s="29">
        <v>86400</v>
      </c>
      <c r="AZ88" s="29" t="s">
        <v>2129</v>
      </c>
      <c r="BA88" s="29" t="s">
        <v>2129</v>
      </c>
      <c r="BB88" s="29">
        <v>0</v>
      </c>
      <c r="BC88" s="29">
        <v>86400</v>
      </c>
      <c r="BD88" s="29" t="s">
        <v>2129</v>
      </c>
      <c r="BE88" s="29" t="s">
        <v>2129</v>
      </c>
      <c r="BF88" s="29" t="s">
        <v>2129</v>
      </c>
      <c r="BG88" s="29" t="s">
        <v>2129</v>
      </c>
      <c r="BH88" s="29" t="s">
        <v>2129</v>
      </c>
      <c r="BI88" s="29" t="s">
        <v>2129</v>
      </c>
      <c r="BJ88" s="29" t="s">
        <v>2129</v>
      </c>
      <c r="BK88" s="29" t="s">
        <v>2129</v>
      </c>
      <c r="BL88" s="29" t="s">
        <v>2129</v>
      </c>
      <c r="BM88" s="29" t="s">
        <v>2129</v>
      </c>
      <c r="BN88" s="29" t="s">
        <v>2129</v>
      </c>
      <c r="BO88" s="29" t="s">
        <v>2129</v>
      </c>
      <c r="BP88" s="29" t="s">
        <v>2129</v>
      </c>
      <c r="BQ88" s="29" t="s">
        <v>2129</v>
      </c>
      <c r="BR88" s="29" t="s">
        <v>2129</v>
      </c>
      <c r="BS88" s="29" t="s">
        <v>2129</v>
      </c>
      <c r="BT88" s="29" t="s">
        <v>2129</v>
      </c>
      <c r="BU88" s="29" t="s">
        <v>2129</v>
      </c>
      <c r="BV88" s="29" t="s">
        <v>2129</v>
      </c>
      <c r="BW88" s="29" t="s">
        <v>2129</v>
      </c>
      <c r="BX88" s="29" t="s">
        <v>2129</v>
      </c>
      <c r="BY88" s="29" t="s">
        <v>2129</v>
      </c>
      <c r="BZ88" s="29" t="s">
        <v>2129</v>
      </c>
      <c r="CA88" s="29" t="s">
        <v>2129</v>
      </c>
      <c r="CB88" s="29" t="s">
        <v>2129</v>
      </c>
      <c r="CC88" s="29" t="s">
        <v>2129</v>
      </c>
      <c r="CD88" s="29" t="s">
        <v>2129</v>
      </c>
      <c r="CE88" s="29" t="s">
        <v>2972</v>
      </c>
      <c r="CF88" s="29" t="s">
        <v>2722</v>
      </c>
      <c r="CG88" s="29" t="s">
        <v>2973</v>
      </c>
      <c r="CH88" s="29" t="s">
        <v>2129</v>
      </c>
      <c r="CI88" s="29" t="s">
        <v>2129</v>
      </c>
      <c r="CJ88" s="29" t="s">
        <v>2129</v>
      </c>
      <c r="CK88" s="29" t="s">
        <v>2129</v>
      </c>
      <c r="CL88" s="29" t="s">
        <v>2129</v>
      </c>
      <c r="CM88" s="29" t="s">
        <v>2129</v>
      </c>
      <c r="CN88" s="29" t="s">
        <v>2129</v>
      </c>
      <c r="CO88" s="29" t="s">
        <v>2129</v>
      </c>
      <c r="CP88" s="29" t="s">
        <v>2129</v>
      </c>
      <c r="CQ88" s="29" t="s">
        <v>2129</v>
      </c>
      <c r="CR88" s="29" t="s">
        <v>2129</v>
      </c>
      <c r="CS88" s="29">
        <v>50</v>
      </c>
      <c r="CT88" s="29" t="s">
        <v>2129</v>
      </c>
      <c r="CU88" s="29" t="s">
        <v>2129</v>
      </c>
      <c r="CV88" s="29" t="s">
        <v>2129</v>
      </c>
      <c r="CW88" s="29" t="s">
        <v>2129</v>
      </c>
      <c r="CX88" s="29" t="s">
        <v>2129</v>
      </c>
      <c r="CY88" s="29" t="s">
        <v>2129</v>
      </c>
      <c r="CZ88" s="29" t="s">
        <v>2129</v>
      </c>
      <c r="DA88" s="29" t="s">
        <v>2129</v>
      </c>
      <c r="DB88" s="29" t="s">
        <v>2129</v>
      </c>
      <c r="DC88" s="29" t="s">
        <v>2129</v>
      </c>
      <c r="DD88" s="29" t="s">
        <v>2129</v>
      </c>
      <c r="DE88" s="29" t="s">
        <v>2129</v>
      </c>
      <c r="DF88" s="29" t="s">
        <v>2129</v>
      </c>
      <c r="DG88" s="29" t="s">
        <v>2129</v>
      </c>
      <c r="DH88" s="29" t="s">
        <v>2129</v>
      </c>
      <c r="DI88" s="29" t="s">
        <v>2129</v>
      </c>
      <c r="DJ88" s="29" t="s">
        <v>2129</v>
      </c>
      <c r="DK88" s="29" t="s">
        <v>2129</v>
      </c>
      <c r="DL88" s="29" t="s">
        <v>2129</v>
      </c>
      <c r="DM88" s="29" t="s">
        <v>2129</v>
      </c>
      <c r="DN88" s="29" t="s">
        <v>2129</v>
      </c>
      <c r="DO88" s="29" t="s">
        <v>2129</v>
      </c>
      <c r="DP88" s="29" t="s">
        <v>2129</v>
      </c>
      <c r="DQ88" s="42" t="s">
        <v>2129</v>
      </c>
    </row>
    <row r="89" spans="1:121" x14ac:dyDescent="0.25">
      <c r="A89" s="36" t="s">
        <v>3456</v>
      </c>
      <c r="B89" s="30" t="s">
        <v>3149</v>
      </c>
      <c r="C89" s="30">
        <v>23046</v>
      </c>
      <c r="D89" s="30"/>
      <c r="E89" s="30" t="s">
        <v>2154</v>
      </c>
      <c r="F89" s="30" t="s">
        <v>10</v>
      </c>
      <c r="G89" s="30" t="s">
        <v>2195</v>
      </c>
      <c r="H89" s="30" t="s">
        <v>38</v>
      </c>
      <c r="I89" s="30" t="s">
        <v>2127</v>
      </c>
      <c r="J89" s="30" t="s">
        <v>2128</v>
      </c>
      <c r="K89" s="30" t="s">
        <v>2129</v>
      </c>
      <c r="L89" s="30" t="s">
        <v>2196</v>
      </c>
      <c r="M89" s="30" t="s">
        <v>2130</v>
      </c>
      <c r="N89" s="30" t="s">
        <v>2129</v>
      </c>
      <c r="O89" s="30" t="s">
        <v>2129</v>
      </c>
      <c r="P89" s="30" t="s">
        <v>2145</v>
      </c>
      <c r="Q89" s="30" t="s">
        <v>2145</v>
      </c>
      <c r="R89" s="46">
        <v>46079.380555555559</v>
      </c>
      <c r="S89" s="46">
        <v>46083.425000000003</v>
      </c>
      <c r="T89" s="46">
        <v>46087.717361111114</v>
      </c>
      <c r="U89" s="46"/>
      <c r="V89" s="30" t="s">
        <v>2129</v>
      </c>
      <c r="W89" s="30" t="s">
        <v>2129</v>
      </c>
      <c r="X89" s="30" t="s">
        <v>2129</v>
      </c>
      <c r="Y89" s="30">
        <v>0</v>
      </c>
      <c r="Z89" s="30" t="s">
        <v>2129</v>
      </c>
      <c r="AA89" s="30" t="s">
        <v>2129</v>
      </c>
      <c r="AB89" s="30" t="s">
        <v>3457</v>
      </c>
      <c r="AC89" s="30" t="s">
        <v>2129</v>
      </c>
      <c r="AD89" s="30" t="s">
        <v>2145</v>
      </c>
      <c r="AE89" s="30" t="s">
        <v>2129</v>
      </c>
      <c r="AF89" s="30" t="s">
        <v>2129</v>
      </c>
      <c r="AG89" s="30" t="s">
        <v>2129</v>
      </c>
      <c r="AH89" s="30" t="s">
        <v>2129</v>
      </c>
      <c r="AI89" s="30" t="s">
        <v>2129</v>
      </c>
      <c r="AJ89" s="30" t="s">
        <v>2129</v>
      </c>
      <c r="AK89" s="30" t="s">
        <v>2129</v>
      </c>
      <c r="AL89" s="30" t="s">
        <v>2129</v>
      </c>
      <c r="AM89" s="30" t="s">
        <v>2129</v>
      </c>
      <c r="AN89" s="30" t="s">
        <v>2129</v>
      </c>
      <c r="AO89" s="30" t="s">
        <v>2129</v>
      </c>
      <c r="AP89" s="30" t="s">
        <v>2129</v>
      </c>
      <c r="AQ89" s="30" t="s">
        <v>2129</v>
      </c>
      <c r="AR89" s="30" t="s">
        <v>2129</v>
      </c>
      <c r="AS89" s="30" t="s">
        <v>2129</v>
      </c>
      <c r="AT89" s="30" t="s">
        <v>2129</v>
      </c>
      <c r="AU89" s="30" t="s">
        <v>2129</v>
      </c>
      <c r="AV89" s="30" t="s">
        <v>2129</v>
      </c>
      <c r="AW89" s="30" t="s">
        <v>2129</v>
      </c>
      <c r="AX89" s="30"/>
      <c r="AY89" s="30"/>
      <c r="AZ89" s="30" t="s">
        <v>2129</v>
      </c>
      <c r="BA89" s="30" t="s">
        <v>2129</v>
      </c>
      <c r="BB89" s="30"/>
      <c r="BC89" s="30"/>
      <c r="BD89" s="30" t="s">
        <v>2129</v>
      </c>
      <c r="BE89" s="30" t="s">
        <v>2129</v>
      </c>
      <c r="BF89" s="30" t="s">
        <v>2129</v>
      </c>
      <c r="BG89" s="30" t="s">
        <v>2129</v>
      </c>
      <c r="BH89" s="30" t="s">
        <v>2129</v>
      </c>
      <c r="BI89" s="30" t="s">
        <v>2129</v>
      </c>
      <c r="BJ89" s="30" t="s">
        <v>2129</v>
      </c>
      <c r="BK89" s="30" t="s">
        <v>2129</v>
      </c>
      <c r="BL89" s="30" t="s">
        <v>2129</v>
      </c>
      <c r="BM89" s="30" t="s">
        <v>2129</v>
      </c>
      <c r="BN89" s="30" t="s">
        <v>2129</v>
      </c>
      <c r="BO89" s="30" t="s">
        <v>2129</v>
      </c>
      <c r="BP89" s="30" t="s">
        <v>2129</v>
      </c>
      <c r="BQ89" s="30" t="s">
        <v>2129</v>
      </c>
      <c r="BR89" s="30" t="s">
        <v>2129</v>
      </c>
      <c r="BS89" s="30" t="s">
        <v>2129</v>
      </c>
      <c r="BT89" s="30" t="s">
        <v>2129</v>
      </c>
      <c r="BU89" s="30" t="s">
        <v>2129</v>
      </c>
      <c r="BV89" s="30" t="s">
        <v>2129</v>
      </c>
      <c r="BW89" s="30" t="s">
        <v>3458</v>
      </c>
      <c r="BX89" s="30" t="s">
        <v>2129</v>
      </c>
      <c r="BY89" s="30" t="s">
        <v>3456</v>
      </c>
      <c r="BZ89" s="30" t="s">
        <v>10</v>
      </c>
      <c r="CA89" s="30" t="s">
        <v>2129</v>
      </c>
      <c r="CB89" s="30" t="s">
        <v>2129</v>
      </c>
      <c r="CC89" s="30" t="s">
        <v>2129</v>
      </c>
      <c r="CD89" s="30" t="s">
        <v>2129</v>
      </c>
      <c r="CE89" s="30" t="s">
        <v>3459</v>
      </c>
      <c r="CF89" s="30" t="s">
        <v>2129</v>
      </c>
      <c r="CG89" s="30" t="s">
        <v>2129</v>
      </c>
      <c r="CH89" s="30" t="s">
        <v>2129</v>
      </c>
      <c r="CI89" s="30" t="s">
        <v>2129</v>
      </c>
      <c r="CJ89" s="30" t="s">
        <v>2129</v>
      </c>
      <c r="CK89" s="30" t="s">
        <v>2129</v>
      </c>
      <c r="CL89" s="30" t="s">
        <v>2129</v>
      </c>
      <c r="CM89" s="30" t="s">
        <v>2129</v>
      </c>
      <c r="CN89" s="30" t="s">
        <v>2129</v>
      </c>
      <c r="CO89" s="30" t="s">
        <v>2129</v>
      </c>
      <c r="CP89" s="30" t="s">
        <v>2129</v>
      </c>
      <c r="CQ89" s="30" t="s">
        <v>2129</v>
      </c>
      <c r="CR89" s="30" t="s">
        <v>2129</v>
      </c>
      <c r="CS89" s="30"/>
      <c r="CT89" s="30" t="s">
        <v>2129</v>
      </c>
      <c r="CU89" s="30" t="s">
        <v>2129</v>
      </c>
      <c r="CV89" s="30" t="s">
        <v>2129</v>
      </c>
      <c r="CW89" s="30" t="s">
        <v>2129</v>
      </c>
      <c r="CX89" s="30" t="s">
        <v>2129</v>
      </c>
      <c r="CY89" s="30" t="s">
        <v>2129</v>
      </c>
      <c r="CZ89" s="30" t="s">
        <v>2129</v>
      </c>
      <c r="DA89" s="30" t="s">
        <v>2129</v>
      </c>
      <c r="DB89" s="30" t="s">
        <v>2129</v>
      </c>
      <c r="DC89" s="30" t="s">
        <v>2129</v>
      </c>
      <c r="DD89" s="30" t="s">
        <v>2129</v>
      </c>
      <c r="DE89" s="30" t="s">
        <v>2129</v>
      </c>
      <c r="DF89" s="30" t="s">
        <v>2129</v>
      </c>
      <c r="DG89" s="30" t="s">
        <v>2129</v>
      </c>
      <c r="DH89" s="30" t="s">
        <v>2129</v>
      </c>
      <c r="DI89" s="30" t="s">
        <v>2129</v>
      </c>
      <c r="DJ89" s="30" t="s">
        <v>2129</v>
      </c>
      <c r="DK89" s="30" t="s">
        <v>2129</v>
      </c>
      <c r="DL89" s="30" t="s">
        <v>2129</v>
      </c>
      <c r="DM89" s="30" t="s">
        <v>2129</v>
      </c>
      <c r="DN89" s="30" t="s">
        <v>2129</v>
      </c>
      <c r="DO89" s="30" t="s">
        <v>2129</v>
      </c>
      <c r="DP89" s="30" t="s">
        <v>2129</v>
      </c>
      <c r="DQ89" s="43" t="s">
        <v>2129</v>
      </c>
    </row>
    <row r="90" spans="1:121" x14ac:dyDescent="0.25">
      <c r="A90" s="39" t="s">
        <v>3460</v>
      </c>
      <c r="B90" s="29" t="s">
        <v>3461</v>
      </c>
      <c r="C90" s="29">
        <v>23044</v>
      </c>
      <c r="D90" s="29"/>
      <c r="E90" s="29" t="s">
        <v>14</v>
      </c>
      <c r="F90" s="29" t="s">
        <v>10</v>
      </c>
      <c r="G90" s="29" t="s">
        <v>2195</v>
      </c>
      <c r="H90" s="29" t="s">
        <v>38</v>
      </c>
      <c r="I90" s="29" t="s">
        <v>2127</v>
      </c>
      <c r="J90" s="29" t="s">
        <v>2128</v>
      </c>
      <c r="K90" s="29" t="s">
        <v>2129</v>
      </c>
      <c r="L90" s="29" t="s">
        <v>2196</v>
      </c>
      <c r="M90" s="29" t="s">
        <v>2130</v>
      </c>
      <c r="N90" s="29" t="s">
        <v>2129</v>
      </c>
      <c r="O90" s="29" t="s">
        <v>2129</v>
      </c>
      <c r="P90" s="29" t="s">
        <v>2190</v>
      </c>
      <c r="Q90" s="29" t="s">
        <v>2190</v>
      </c>
      <c r="R90" s="45">
        <v>46078.657638888886</v>
      </c>
      <c r="S90" s="45">
        <v>46078.660416666666</v>
      </c>
      <c r="T90" s="45">
        <v>46087.717361111114</v>
      </c>
      <c r="U90" s="45"/>
      <c r="V90" s="29" t="s">
        <v>2129</v>
      </c>
      <c r="W90" s="29" t="s">
        <v>2129</v>
      </c>
      <c r="X90" s="29" t="s">
        <v>2129</v>
      </c>
      <c r="Y90" s="29">
        <v>0</v>
      </c>
      <c r="Z90" s="29" t="s">
        <v>2129</v>
      </c>
      <c r="AA90" s="29" t="s">
        <v>2129</v>
      </c>
      <c r="AB90" s="29" t="s">
        <v>3462</v>
      </c>
      <c r="AC90" s="29" t="s">
        <v>2129</v>
      </c>
      <c r="AD90" s="29" t="s">
        <v>2190</v>
      </c>
      <c r="AE90" s="29" t="s">
        <v>2129</v>
      </c>
      <c r="AF90" s="29" t="s">
        <v>2129</v>
      </c>
      <c r="AG90" s="29" t="s">
        <v>2129</v>
      </c>
      <c r="AH90" s="29" t="s">
        <v>2129</v>
      </c>
      <c r="AI90" s="29" t="s">
        <v>2129</v>
      </c>
      <c r="AJ90" s="29" t="s">
        <v>2129</v>
      </c>
      <c r="AK90" s="29" t="s">
        <v>2129</v>
      </c>
      <c r="AL90" s="29" t="s">
        <v>2129</v>
      </c>
      <c r="AM90" s="29" t="s">
        <v>2129</v>
      </c>
      <c r="AN90" s="29" t="s">
        <v>2129</v>
      </c>
      <c r="AO90" s="29" t="s">
        <v>2129</v>
      </c>
      <c r="AP90" s="29" t="s">
        <v>2129</v>
      </c>
      <c r="AQ90" s="29" t="s">
        <v>2129</v>
      </c>
      <c r="AR90" s="29" t="s">
        <v>2129</v>
      </c>
      <c r="AS90" s="29" t="s">
        <v>2129</v>
      </c>
      <c r="AT90" s="29" t="s">
        <v>2129</v>
      </c>
      <c r="AU90" s="29" t="s">
        <v>2129</v>
      </c>
      <c r="AV90" s="29" t="s">
        <v>2129</v>
      </c>
      <c r="AW90" s="29" t="s">
        <v>2129</v>
      </c>
      <c r="AX90" s="29"/>
      <c r="AY90" s="29"/>
      <c r="AZ90" s="29" t="s">
        <v>2129</v>
      </c>
      <c r="BA90" s="29" t="s">
        <v>2129</v>
      </c>
      <c r="BB90" s="29"/>
      <c r="BC90" s="29"/>
      <c r="BD90" s="29" t="s">
        <v>2129</v>
      </c>
      <c r="BE90" s="29" t="s">
        <v>2129</v>
      </c>
      <c r="BF90" s="29" t="s">
        <v>2129</v>
      </c>
      <c r="BG90" s="29" t="s">
        <v>2129</v>
      </c>
      <c r="BH90" s="29" t="s">
        <v>2129</v>
      </c>
      <c r="BI90" s="29" t="s">
        <v>2129</v>
      </c>
      <c r="BJ90" s="29" t="s">
        <v>2129</v>
      </c>
      <c r="BK90" s="29" t="s">
        <v>2129</v>
      </c>
      <c r="BL90" s="29" t="s">
        <v>2129</v>
      </c>
      <c r="BM90" s="29" t="s">
        <v>2129</v>
      </c>
      <c r="BN90" s="29" t="s">
        <v>2129</v>
      </c>
      <c r="BO90" s="29" t="s">
        <v>2129</v>
      </c>
      <c r="BP90" s="29" t="s">
        <v>2129</v>
      </c>
      <c r="BQ90" s="29" t="s">
        <v>2129</v>
      </c>
      <c r="BR90" s="29" t="s">
        <v>2129</v>
      </c>
      <c r="BS90" s="29" t="s">
        <v>2129</v>
      </c>
      <c r="BT90" s="29" t="s">
        <v>2129</v>
      </c>
      <c r="BU90" s="29" t="s">
        <v>2129</v>
      </c>
      <c r="BV90" s="29" t="s">
        <v>2129</v>
      </c>
      <c r="BW90" s="29" t="s">
        <v>2129</v>
      </c>
      <c r="BX90" s="29" t="s">
        <v>3463</v>
      </c>
      <c r="BY90" s="29" t="s">
        <v>2129</v>
      </c>
      <c r="BZ90" s="29" t="s">
        <v>2129</v>
      </c>
      <c r="CA90" s="29" t="s">
        <v>2129</v>
      </c>
      <c r="CB90" s="29" t="s">
        <v>2129</v>
      </c>
      <c r="CC90" s="29" t="s">
        <v>2129</v>
      </c>
      <c r="CD90" s="29" t="s">
        <v>2129</v>
      </c>
      <c r="CE90" s="29" t="s">
        <v>3464</v>
      </c>
      <c r="CF90" s="29" t="s">
        <v>2129</v>
      </c>
      <c r="CG90" s="29" t="s">
        <v>2129</v>
      </c>
      <c r="CH90" s="29" t="s">
        <v>2129</v>
      </c>
      <c r="CI90" s="29" t="s">
        <v>2129</v>
      </c>
      <c r="CJ90" s="29" t="s">
        <v>2129</v>
      </c>
      <c r="CK90" s="29" t="s">
        <v>2129</v>
      </c>
      <c r="CL90" s="29" t="s">
        <v>2129</v>
      </c>
      <c r="CM90" s="29" t="s">
        <v>2129</v>
      </c>
      <c r="CN90" s="29" t="s">
        <v>2129</v>
      </c>
      <c r="CO90" s="29" t="s">
        <v>2129</v>
      </c>
      <c r="CP90" s="29" t="s">
        <v>2129</v>
      </c>
      <c r="CQ90" s="29" t="s">
        <v>2129</v>
      </c>
      <c r="CR90" s="29" t="s">
        <v>2129</v>
      </c>
      <c r="CS90" s="29"/>
      <c r="CT90" s="29" t="s">
        <v>2129</v>
      </c>
      <c r="CU90" s="29" t="s">
        <v>2129</v>
      </c>
      <c r="CV90" s="29" t="s">
        <v>2129</v>
      </c>
      <c r="CW90" s="29" t="s">
        <v>2129</v>
      </c>
      <c r="CX90" s="29" t="s">
        <v>2129</v>
      </c>
      <c r="CY90" s="29" t="s">
        <v>2129</v>
      </c>
      <c r="CZ90" s="29" t="s">
        <v>2129</v>
      </c>
      <c r="DA90" s="29" t="s">
        <v>2129</v>
      </c>
      <c r="DB90" s="29" t="s">
        <v>2129</v>
      </c>
      <c r="DC90" s="29" t="s">
        <v>2129</v>
      </c>
      <c r="DD90" s="29" t="s">
        <v>2129</v>
      </c>
      <c r="DE90" s="29" t="s">
        <v>2129</v>
      </c>
      <c r="DF90" s="29" t="s">
        <v>2129</v>
      </c>
      <c r="DG90" s="29" t="s">
        <v>2129</v>
      </c>
      <c r="DH90" s="29" t="s">
        <v>2129</v>
      </c>
      <c r="DI90" s="29" t="s">
        <v>2129</v>
      </c>
      <c r="DJ90" s="29" t="s">
        <v>2129</v>
      </c>
      <c r="DK90" s="29" t="s">
        <v>2129</v>
      </c>
      <c r="DL90" s="29" t="s">
        <v>2129</v>
      </c>
      <c r="DM90" s="29" t="s">
        <v>2129</v>
      </c>
      <c r="DN90" s="29" t="s">
        <v>2129</v>
      </c>
      <c r="DO90" s="29" t="s">
        <v>2129</v>
      </c>
      <c r="DP90" s="29" t="s">
        <v>2129</v>
      </c>
      <c r="DQ90" s="42" t="s">
        <v>2129</v>
      </c>
    </row>
    <row r="91" spans="1:121" x14ac:dyDescent="0.25">
      <c r="A91" s="36" t="s">
        <v>2736</v>
      </c>
      <c r="B91" s="30" t="s">
        <v>2737</v>
      </c>
      <c r="C91" s="30">
        <v>22907</v>
      </c>
      <c r="D91" s="30"/>
      <c r="E91" s="30" t="s">
        <v>77</v>
      </c>
      <c r="F91" s="30" t="s">
        <v>10</v>
      </c>
      <c r="G91" s="30" t="s">
        <v>2195</v>
      </c>
      <c r="H91" s="30" t="s">
        <v>38</v>
      </c>
      <c r="I91" s="30" t="s">
        <v>2127</v>
      </c>
      <c r="J91" s="30" t="s">
        <v>2128</v>
      </c>
      <c r="K91" s="30" t="s">
        <v>2129</v>
      </c>
      <c r="L91" s="30" t="s">
        <v>2196</v>
      </c>
      <c r="M91" s="30" t="s">
        <v>2130</v>
      </c>
      <c r="N91" s="30" t="s">
        <v>2129</v>
      </c>
      <c r="O91" s="30" t="s">
        <v>2974</v>
      </c>
      <c r="P91" s="30" t="s">
        <v>2128</v>
      </c>
      <c r="Q91" s="30" t="s">
        <v>2128</v>
      </c>
      <c r="R91" s="46">
        <v>46051.45</v>
      </c>
      <c r="S91" s="46">
        <v>46083.686805555553</v>
      </c>
      <c r="T91" s="46">
        <v>46087.717361111114</v>
      </c>
      <c r="U91" s="46"/>
      <c r="V91" s="30" t="s">
        <v>2129</v>
      </c>
      <c r="W91" s="30" t="s">
        <v>2129</v>
      </c>
      <c r="X91" s="30" t="s">
        <v>2129</v>
      </c>
      <c r="Y91" s="30">
        <v>0</v>
      </c>
      <c r="Z91" s="30" t="s">
        <v>2129</v>
      </c>
      <c r="AA91" s="30" t="s">
        <v>2129</v>
      </c>
      <c r="AB91" s="30" t="s">
        <v>3465</v>
      </c>
      <c r="AC91" s="30" t="s">
        <v>2129</v>
      </c>
      <c r="AD91" s="30" t="s">
        <v>2128</v>
      </c>
      <c r="AE91" s="30" t="s">
        <v>2129</v>
      </c>
      <c r="AF91" s="30" t="s">
        <v>2129</v>
      </c>
      <c r="AG91" s="30" t="s">
        <v>2129</v>
      </c>
      <c r="AH91" s="30" t="s">
        <v>2129</v>
      </c>
      <c r="AI91" s="30" t="s">
        <v>2129</v>
      </c>
      <c r="AJ91" s="30" t="s">
        <v>2129</v>
      </c>
      <c r="AK91" s="30" t="s">
        <v>2129</v>
      </c>
      <c r="AL91" s="30" t="s">
        <v>2129</v>
      </c>
      <c r="AM91" s="30" t="s">
        <v>2129</v>
      </c>
      <c r="AN91" s="30" t="s">
        <v>2129</v>
      </c>
      <c r="AO91" s="30" t="s">
        <v>2129</v>
      </c>
      <c r="AP91" s="30" t="s">
        <v>2129</v>
      </c>
      <c r="AQ91" s="30" t="s">
        <v>2129</v>
      </c>
      <c r="AR91" s="30" t="s">
        <v>2129</v>
      </c>
      <c r="AS91" s="30" t="s">
        <v>2129</v>
      </c>
      <c r="AT91" s="30" t="s">
        <v>2129</v>
      </c>
      <c r="AU91" s="30" t="s">
        <v>2129</v>
      </c>
      <c r="AV91" s="30" t="s">
        <v>2129</v>
      </c>
      <c r="AW91" s="30" t="s">
        <v>2129</v>
      </c>
      <c r="AX91" s="30"/>
      <c r="AY91" s="30"/>
      <c r="AZ91" s="30" t="s">
        <v>2129</v>
      </c>
      <c r="BA91" s="30" t="s">
        <v>2129</v>
      </c>
      <c r="BB91" s="30"/>
      <c r="BC91" s="30"/>
      <c r="BD91" s="30" t="s">
        <v>2129</v>
      </c>
      <c r="BE91" s="30" t="s">
        <v>2129</v>
      </c>
      <c r="BF91" s="30" t="s">
        <v>2129</v>
      </c>
      <c r="BG91" s="30" t="s">
        <v>2129</v>
      </c>
      <c r="BH91" s="30" t="s">
        <v>2129</v>
      </c>
      <c r="BI91" s="30" t="s">
        <v>2129</v>
      </c>
      <c r="BJ91" s="30" t="s">
        <v>2129</v>
      </c>
      <c r="BK91" s="30" t="s">
        <v>2129</v>
      </c>
      <c r="BL91" s="30" t="s">
        <v>2129</v>
      </c>
      <c r="BM91" s="30" t="s">
        <v>2129</v>
      </c>
      <c r="BN91" s="30" t="s">
        <v>2129</v>
      </c>
      <c r="BO91" s="30" t="s">
        <v>2129</v>
      </c>
      <c r="BP91" s="30" t="s">
        <v>2129</v>
      </c>
      <c r="BQ91" s="30" t="s">
        <v>2129</v>
      </c>
      <c r="BR91" s="30" t="s">
        <v>2129</v>
      </c>
      <c r="BS91" s="30" t="s">
        <v>2129</v>
      </c>
      <c r="BT91" s="30" t="s">
        <v>2129</v>
      </c>
      <c r="BU91" s="30" t="s">
        <v>2129</v>
      </c>
      <c r="BV91" s="30" t="s">
        <v>2129</v>
      </c>
      <c r="BW91" s="30" t="s">
        <v>2129</v>
      </c>
      <c r="BX91" s="30" t="s">
        <v>2129</v>
      </c>
      <c r="BY91" s="30" t="s">
        <v>2129</v>
      </c>
      <c r="BZ91" s="30" t="s">
        <v>2129</v>
      </c>
      <c r="CA91" s="30" t="s">
        <v>2129</v>
      </c>
      <c r="CB91" s="30" t="s">
        <v>2129</v>
      </c>
      <c r="CC91" s="30" t="s">
        <v>2129</v>
      </c>
      <c r="CD91" s="30" t="s">
        <v>2129</v>
      </c>
      <c r="CE91" s="30" t="s">
        <v>3466</v>
      </c>
      <c r="CF91" s="30" t="s">
        <v>3467</v>
      </c>
      <c r="CG91" s="30" t="s">
        <v>2129</v>
      </c>
      <c r="CH91" s="30" t="s">
        <v>2129</v>
      </c>
      <c r="CI91" s="30" t="s">
        <v>2129</v>
      </c>
      <c r="CJ91" s="30" t="s">
        <v>2129</v>
      </c>
      <c r="CK91" s="30" t="s">
        <v>2129</v>
      </c>
      <c r="CL91" s="30" t="s">
        <v>2129</v>
      </c>
      <c r="CM91" s="30" t="s">
        <v>2129</v>
      </c>
      <c r="CN91" s="30" t="s">
        <v>2129</v>
      </c>
      <c r="CO91" s="30" t="s">
        <v>2129</v>
      </c>
      <c r="CP91" s="30" t="s">
        <v>2129</v>
      </c>
      <c r="CQ91" s="30" t="s">
        <v>2129</v>
      </c>
      <c r="CR91" s="30" t="s">
        <v>2129</v>
      </c>
      <c r="CS91" s="30">
        <v>10</v>
      </c>
      <c r="CT91" s="30" t="s">
        <v>2129</v>
      </c>
      <c r="CU91" s="30" t="s">
        <v>2129</v>
      </c>
      <c r="CV91" s="30" t="s">
        <v>2129</v>
      </c>
      <c r="CW91" s="30" t="s">
        <v>2129</v>
      </c>
      <c r="CX91" s="30" t="s">
        <v>2129</v>
      </c>
      <c r="CY91" s="30" t="s">
        <v>2129</v>
      </c>
      <c r="CZ91" s="30" t="s">
        <v>2129</v>
      </c>
      <c r="DA91" s="30" t="s">
        <v>2129</v>
      </c>
      <c r="DB91" s="30" t="s">
        <v>2129</v>
      </c>
      <c r="DC91" s="30" t="s">
        <v>2129</v>
      </c>
      <c r="DD91" s="30" t="s">
        <v>2129</v>
      </c>
      <c r="DE91" s="30" t="s">
        <v>2129</v>
      </c>
      <c r="DF91" s="30" t="s">
        <v>2129</v>
      </c>
      <c r="DG91" s="30" t="s">
        <v>2129</v>
      </c>
      <c r="DH91" s="30" t="s">
        <v>2129</v>
      </c>
      <c r="DI91" s="30" t="s">
        <v>2129</v>
      </c>
      <c r="DJ91" s="30" t="s">
        <v>2129</v>
      </c>
      <c r="DK91" s="30" t="s">
        <v>2129</v>
      </c>
      <c r="DL91" s="30" t="s">
        <v>2129</v>
      </c>
      <c r="DM91" s="30" t="s">
        <v>2129</v>
      </c>
      <c r="DN91" s="30" t="s">
        <v>2129</v>
      </c>
      <c r="DO91" s="30" t="s">
        <v>2129</v>
      </c>
      <c r="DP91" s="30" t="s">
        <v>2129</v>
      </c>
      <c r="DQ91" s="43" t="s">
        <v>2129</v>
      </c>
    </row>
    <row r="92" spans="1:121" x14ac:dyDescent="0.25">
      <c r="A92" s="39" t="s">
        <v>2740</v>
      </c>
      <c r="B92" s="29" t="s">
        <v>2741</v>
      </c>
      <c r="C92" s="29">
        <v>22901</v>
      </c>
      <c r="D92" s="29"/>
      <c r="E92" s="29" t="s">
        <v>14</v>
      </c>
      <c r="F92" s="29" t="s">
        <v>10</v>
      </c>
      <c r="G92" s="29" t="s">
        <v>2195</v>
      </c>
      <c r="H92" s="29" t="s">
        <v>38</v>
      </c>
      <c r="I92" s="29" t="s">
        <v>2127</v>
      </c>
      <c r="J92" s="29" t="s">
        <v>2128</v>
      </c>
      <c r="K92" s="29" t="s">
        <v>2129</v>
      </c>
      <c r="L92" s="29" t="s">
        <v>2196</v>
      </c>
      <c r="M92" s="29" t="s">
        <v>2130</v>
      </c>
      <c r="N92" s="29" t="s">
        <v>2129</v>
      </c>
      <c r="O92" s="29" t="s">
        <v>2974</v>
      </c>
      <c r="P92" s="29" t="s">
        <v>2190</v>
      </c>
      <c r="Q92" s="29" t="s">
        <v>2190</v>
      </c>
      <c r="R92" s="45">
        <v>46049.530555555553</v>
      </c>
      <c r="S92" s="45">
        <v>46083.686111111114</v>
      </c>
      <c r="T92" s="45">
        <v>46087.717361111114</v>
      </c>
      <c r="U92" s="45"/>
      <c r="V92" s="29" t="s">
        <v>2129</v>
      </c>
      <c r="W92" s="29" t="s">
        <v>2129</v>
      </c>
      <c r="X92" s="29" t="s">
        <v>2129</v>
      </c>
      <c r="Y92" s="29">
        <v>0</v>
      </c>
      <c r="Z92" s="29" t="s">
        <v>2129</v>
      </c>
      <c r="AA92" s="29" t="s">
        <v>2129</v>
      </c>
      <c r="AB92" s="29" t="s">
        <v>3468</v>
      </c>
      <c r="AC92" s="29" t="s">
        <v>2129</v>
      </c>
      <c r="AD92" s="29" t="s">
        <v>2190</v>
      </c>
      <c r="AE92" s="29" t="s">
        <v>2128</v>
      </c>
      <c r="AF92" s="29" t="s">
        <v>2129</v>
      </c>
      <c r="AG92" s="29" t="s">
        <v>2129</v>
      </c>
      <c r="AH92" s="29" t="s">
        <v>2129</v>
      </c>
      <c r="AI92" s="29" t="s">
        <v>2129</v>
      </c>
      <c r="AJ92" s="29" t="s">
        <v>2129</v>
      </c>
      <c r="AK92" s="29" t="s">
        <v>2129</v>
      </c>
      <c r="AL92" s="29" t="s">
        <v>2129</v>
      </c>
      <c r="AM92" s="29" t="s">
        <v>2129</v>
      </c>
      <c r="AN92" s="29" t="s">
        <v>2129</v>
      </c>
      <c r="AO92" s="29" t="s">
        <v>2129</v>
      </c>
      <c r="AP92" s="29" t="s">
        <v>2129</v>
      </c>
      <c r="AQ92" s="29" t="s">
        <v>2129</v>
      </c>
      <c r="AR92" s="29" t="s">
        <v>2129</v>
      </c>
      <c r="AS92" s="29" t="s">
        <v>2129</v>
      </c>
      <c r="AT92" s="29" t="s">
        <v>2129</v>
      </c>
      <c r="AU92" s="29" t="s">
        <v>2129</v>
      </c>
      <c r="AV92" s="29" t="s">
        <v>2129</v>
      </c>
      <c r="AW92" s="29" t="s">
        <v>2129</v>
      </c>
      <c r="AX92" s="29"/>
      <c r="AY92" s="29"/>
      <c r="AZ92" s="29" t="s">
        <v>2129</v>
      </c>
      <c r="BA92" s="29" t="s">
        <v>2129</v>
      </c>
      <c r="BB92" s="29"/>
      <c r="BC92" s="29"/>
      <c r="BD92" s="29" t="s">
        <v>2129</v>
      </c>
      <c r="BE92" s="29" t="s">
        <v>2129</v>
      </c>
      <c r="BF92" s="29" t="s">
        <v>2742</v>
      </c>
      <c r="BG92" s="29" t="s">
        <v>2129</v>
      </c>
      <c r="BH92" s="29" t="s">
        <v>2129</v>
      </c>
      <c r="BI92" s="29" t="s">
        <v>2129</v>
      </c>
      <c r="BJ92" s="29" t="s">
        <v>2129</v>
      </c>
      <c r="BK92" s="29" t="s">
        <v>2129</v>
      </c>
      <c r="BL92" s="29" t="s">
        <v>2129</v>
      </c>
      <c r="BM92" s="29" t="s">
        <v>2129</v>
      </c>
      <c r="BN92" s="29" t="s">
        <v>2129</v>
      </c>
      <c r="BO92" s="29" t="s">
        <v>2129</v>
      </c>
      <c r="BP92" s="29" t="s">
        <v>2129</v>
      </c>
      <c r="BQ92" s="29" t="s">
        <v>2129</v>
      </c>
      <c r="BR92" s="29" t="s">
        <v>2129</v>
      </c>
      <c r="BS92" s="29" t="s">
        <v>2129</v>
      </c>
      <c r="BT92" s="29" t="s">
        <v>2129</v>
      </c>
      <c r="BU92" s="29" t="s">
        <v>2129</v>
      </c>
      <c r="BV92" s="29" t="s">
        <v>2129</v>
      </c>
      <c r="BW92" s="29" t="s">
        <v>2129</v>
      </c>
      <c r="BX92" s="29" t="s">
        <v>3469</v>
      </c>
      <c r="BY92" s="29" t="s">
        <v>2129</v>
      </c>
      <c r="BZ92" s="29" t="s">
        <v>2129</v>
      </c>
      <c r="CA92" s="29" t="s">
        <v>2129</v>
      </c>
      <c r="CB92" s="29" t="s">
        <v>2129</v>
      </c>
      <c r="CC92" s="29" t="s">
        <v>2129</v>
      </c>
      <c r="CD92" s="29" t="s">
        <v>2129</v>
      </c>
      <c r="CE92" s="29" t="s">
        <v>3470</v>
      </c>
      <c r="CF92" s="29" t="s">
        <v>3467</v>
      </c>
      <c r="CG92" s="29" t="s">
        <v>2129</v>
      </c>
      <c r="CH92" s="29" t="s">
        <v>2129</v>
      </c>
      <c r="CI92" s="29" t="s">
        <v>2129</v>
      </c>
      <c r="CJ92" s="29" t="s">
        <v>2129</v>
      </c>
      <c r="CK92" s="29" t="s">
        <v>2129</v>
      </c>
      <c r="CL92" s="29" t="s">
        <v>2129</v>
      </c>
      <c r="CM92" s="29" t="s">
        <v>2129</v>
      </c>
      <c r="CN92" s="29" t="s">
        <v>2129</v>
      </c>
      <c r="CO92" s="29" t="s">
        <v>2129</v>
      </c>
      <c r="CP92" s="29" t="s">
        <v>2129</v>
      </c>
      <c r="CQ92" s="29" t="s">
        <v>2129</v>
      </c>
      <c r="CR92" s="29" t="s">
        <v>2129</v>
      </c>
      <c r="CS92" s="29">
        <v>20</v>
      </c>
      <c r="CT92" s="29" t="s">
        <v>2129</v>
      </c>
      <c r="CU92" s="29" t="s">
        <v>2129</v>
      </c>
      <c r="CV92" s="29" t="s">
        <v>2129</v>
      </c>
      <c r="CW92" s="29" t="s">
        <v>2129</v>
      </c>
      <c r="CX92" s="29" t="s">
        <v>2129</v>
      </c>
      <c r="CY92" s="29" t="s">
        <v>2129</v>
      </c>
      <c r="CZ92" s="29" t="s">
        <v>2129</v>
      </c>
      <c r="DA92" s="29" t="s">
        <v>2129</v>
      </c>
      <c r="DB92" s="29" t="s">
        <v>2129</v>
      </c>
      <c r="DC92" s="29" t="s">
        <v>2129</v>
      </c>
      <c r="DD92" s="29" t="s">
        <v>2129</v>
      </c>
      <c r="DE92" s="29" t="s">
        <v>2129</v>
      </c>
      <c r="DF92" s="29" t="s">
        <v>2129</v>
      </c>
      <c r="DG92" s="29" t="s">
        <v>2129</v>
      </c>
      <c r="DH92" s="29" t="s">
        <v>2129</v>
      </c>
      <c r="DI92" s="29" t="s">
        <v>2129</v>
      </c>
      <c r="DJ92" s="29" t="s">
        <v>2129</v>
      </c>
      <c r="DK92" s="29" t="s">
        <v>2129</v>
      </c>
      <c r="DL92" s="29" t="s">
        <v>2129</v>
      </c>
      <c r="DM92" s="29" t="s">
        <v>2129</v>
      </c>
      <c r="DN92" s="29" t="s">
        <v>2129</v>
      </c>
      <c r="DO92" s="29" t="s">
        <v>2129</v>
      </c>
      <c r="DP92" s="29" t="s">
        <v>2129</v>
      </c>
      <c r="DQ92" s="42" t="s">
        <v>2129</v>
      </c>
    </row>
    <row r="93" spans="1:121" x14ac:dyDescent="0.25">
      <c r="A93" s="36" t="s">
        <v>2745</v>
      </c>
      <c r="B93" s="30" t="s">
        <v>2746</v>
      </c>
      <c r="C93" s="30">
        <v>22898</v>
      </c>
      <c r="D93" s="30"/>
      <c r="E93" s="30" t="s">
        <v>14</v>
      </c>
      <c r="F93" s="30" t="s">
        <v>10</v>
      </c>
      <c r="G93" s="30" t="s">
        <v>2195</v>
      </c>
      <c r="H93" s="30" t="s">
        <v>38</v>
      </c>
      <c r="I93" s="30" t="s">
        <v>2127</v>
      </c>
      <c r="J93" s="30" t="s">
        <v>2128</v>
      </c>
      <c r="K93" s="30" t="s">
        <v>2129</v>
      </c>
      <c r="L93" s="30" t="s">
        <v>2196</v>
      </c>
      <c r="M93" s="30" t="s">
        <v>2130</v>
      </c>
      <c r="N93" s="30" t="s">
        <v>2129</v>
      </c>
      <c r="O93" s="30" t="s">
        <v>2974</v>
      </c>
      <c r="P93" s="30" t="s">
        <v>2190</v>
      </c>
      <c r="Q93" s="30" t="s">
        <v>2190</v>
      </c>
      <c r="R93" s="46">
        <v>46049.460416666669</v>
      </c>
      <c r="S93" s="46">
        <v>46083.686805555553</v>
      </c>
      <c r="T93" s="46">
        <v>46087.717361111114</v>
      </c>
      <c r="U93" s="46"/>
      <c r="V93" s="30" t="s">
        <v>2129</v>
      </c>
      <c r="W93" s="30" t="s">
        <v>2129</v>
      </c>
      <c r="X93" s="30" t="s">
        <v>2129</v>
      </c>
      <c r="Y93" s="30">
        <v>0</v>
      </c>
      <c r="Z93" s="30" t="s">
        <v>2129</v>
      </c>
      <c r="AA93" s="30" t="s">
        <v>2129</v>
      </c>
      <c r="AB93" s="30" t="s">
        <v>3471</v>
      </c>
      <c r="AC93" s="30" t="s">
        <v>2129</v>
      </c>
      <c r="AD93" s="30" t="s">
        <v>2190</v>
      </c>
      <c r="AE93" s="30" t="s">
        <v>2128</v>
      </c>
      <c r="AF93" s="30" t="s">
        <v>2129</v>
      </c>
      <c r="AG93" s="30" t="s">
        <v>2129</v>
      </c>
      <c r="AH93" s="30" t="s">
        <v>2129</v>
      </c>
      <c r="AI93" s="30" t="s">
        <v>2129</v>
      </c>
      <c r="AJ93" s="30" t="s">
        <v>2129</v>
      </c>
      <c r="AK93" s="30" t="s">
        <v>2129</v>
      </c>
      <c r="AL93" s="30" t="s">
        <v>2129</v>
      </c>
      <c r="AM93" s="30" t="s">
        <v>2129</v>
      </c>
      <c r="AN93" s="30" t="s">
        <v>2129</v>
      </c>
      <c r="AO93" s="30" t="s">
        <v>2129</v>
      </c>
      <c r="AP93" s="30" t="s">
        <v>2129</v>
      </c>
      <c r="AQ93" s="30" t="s">
        <v>2129</v>
      </c>
      <c r="AR93" s="30" t="s">
        <v>2129</v>
      </c>
      <c r="AS93" s="30" t="s">
        <v>2129</v>
      </c>
      <c r="AT93" s="30" t="s">
        <v>2129</v>
      </c>
      <c r="AU93" s="30" t="s">
        <v>2129</v>
      </c>
      <c r="AV93" s="30" t="s">
        <v>2129</v>
      </c>
      <c r="AW93" s="30" t="s">
        <v>2129</v>
      </c>
      <c r="AX93" s="30"/>
      <c r="AY93" s="30"/>
      <c r="AZ93" s="30" t="s">
        <v>2129</v>
      </c>
      <c r="BA93" s="30" t="s">
        <v>2129</v>
      </c>
      <c r="BB93" s="30"/>
      <c r="BC93" s="30"/>
      <c r="BD93" s="30" t="s">
        <v>2129</v>
      </c>
      <c r="BE93" s="30" t="s">
        <v>2129</v>
      </c>
      <c r="BF93" s="30" t="s">
        <v>2129</v>
      </c>
      <c r="BG93" s="30" t="s">
        <v>2129</v>
      </c>
      <c r="BH93" s="30" t="s">
        <v>2129</v>
      </c>
      <c r="BI93" s="30" t="s">
        <v>2129</v>
      </c>
      <c r="BJ93" s="30" t="s">
        <v>2129</v>
      </c>
      <c r="BK93" s="30" t="s">
        <v>2129</v>
      </c>
      <c r="BL93" s="30" t="s">
        <v>2129</v>
      </c>
      <c r="BM93" s="30" t="s">
        <v>2129</v>
      </c>
      <c r="BN93" s="30" t="s">
        <v>2129</v>
      </c>
      <c r="BO93" s="30" t="s">
        <v>2129</v>
      </c>
      <c r="BP93" s="30" t="s">
        <v>2129</v>
      </c>
      <c r="BQ93" s="30" t="s">
        <v>2129</v>
      </c>
      <c r="BR93" s="30" t="s">
        <v>2129</v>
      </c>
      <c r="BS93" s="30" t="s">
        <v>2129</v>
      </c>
      <c r="BT93" s="30" t="s">
        <v>2129</v>
      </c>
      <c r="BU93" s="30" t="s">
        <v>2129</v>
      </c>
      <c r="BV93" s="30" t="s">
        <v>2129</v>
      </c>
      <c r="BW93" s="30" t="s">
        <v>2129</v>
      </c>
      <c r="BX93" s="30" t="s">
        <v>3469</v>
      </c>
      <c r="BY93" s="30" t="s">
        <v>2129</v>
      </c>
      <c r="BZ93" s="30" t="s">
        <v>2129</v>
      </c>
      <c r="CA93" s="30" t="s">
        <v>2129</v>
      </c>
      <c r="CB93" s="30" t="s">
        <v>2129</v>
      </c>
      <c r="CC93" s="30" t="s">
        <v>2129</v>
      </c>
      <c r="CD93" s="30" t="s">
        <v>2129</v>
      </c>
      <c r="CE93" s="30" t="s">
        <v>3472</v>
      </c>
      <c r="CF93" s="30" t="s">
        <v>3467</v>
      </c>
      <c r="CG93" s="30" t="s">
        <v>2129</v>
      </c>
      <c r="CH93" s="30" t="s">
        <v>2129</v>
      </c>
      <c r="CI93" s="30" t="s">
        <v>2129</v>
      </c>
      <c r="CJ93" s="30" t="s">
        <v>2129</v>
      </c>
      <c r="CK93" s="30" t="s">
        <v>2129</v>
      </c>
      <c r="CL93" s="30" t="s">
        <v>2129</v>
      </c>
      <c r="CM93" s="30" t="s">
        <v>2129</v>
      </c>
      <c r="CN93" s="30" t="s">
        <v>2129</v>
      </c>
      <c r="CO93" s="30" t="s">
        <v>2129</v>
      </c>
      <c r="CP93" s="30" t="s">
        <v>2129</v>
      </c>
      <c r="CQ93" s="30" t="s">
        <v>2129</v>
      </c>
      <c r="CR93" s="30" t="s">
        <v>2129</v>
      </c>
      <c r="CS93" s="30">
        <v>30</v>
      </c>
      <c r="CT93" s="30" t="s">
        <v>2129</v>
      </c>
      <c r="CU93" s="30" t="s">
        <v>2129</v>
      </c>
      <c r="CV93" s="30" t="s">
        <v>2129</v>
      </c>
      <c r="CW93" s="30" t="s">
        <v>2129</v>
      </c>
      <c r="CX93" s="30" t="s">
        <v>2129</v>
      </c>
      <c r="CY93" s="30" t="s">
        <v>2129</v>
      </c>
      <c r="CZ93" s="30" t="s">
        <v>2129</v>
      </c>
      <c r="DA93" s="30" t="s">
        <v>2129</v>
      </c>
      <c r="DB93" s="30" t="s">
        <v>2129</v>
      </c>
      <c r="DC93" s="30" t="s">
        <v>2129</v>
      </c>
      <c r="DD93" s="30" t="s">
        <v>2129</v>
      </c>
      <c r="DE93" s="30" t="s">
        <v>2129</v>
      </c>
      <c r="DF93" s="30" t="s">
        <v>2129</v>
      </c>
      <c r="DG93" s="30" t="s">
        <v>2129</v>
      </c>
      <c r="DH93" s="30" t="s">
        <v>2129</v>
      </c>
      <c r="DI93" s="30" t="s">
        <v>2129</v>
      </c>
      <c r="DJ93" s="30" t="s">
        <v>2129</v>
      </c>
      <c r="DK93" s="30" t="s">
        <v>2129</v>
      </c>
      <c r="DL93" s="30" t="s">
        <v>2129</v>
      </c>
      <c r="DM93" s="30" t="s">
        <v>2129</v>
      </c>
      <c r="DN93" s="30" t="s">
        <v>2129</v>
      </c>
      <c r="DO93" s="30" t="s">
        <v>2129</v>
      </c>
      <c r="DP93" s="30" t="s">
        <v>2129</v>
      </c>
      <c r="DQ93" s="43" t="s">
        <v>2129</v>
      </c>
    </row>
    <row r="94" spans="1:121" x14ac:dyDescent="0.25">
      <c r="A94" s="39" t="s">
        <v>2747</v>
      </c>
      <c r="B94" s="29" t="s">
        <v>2742</v>
      </c>
      <c r="C94" s="29">
        <v>22897</v>
      </c>
      <c r="D94" s="29"/>
      <c r="E94" s="29" t="s">
        <v>14</v>
      </c>
      <c r="F94" s="29" t="s">
        <v>10</v>
      </c>
      <c r="G94" s="29" t="s">
        <v>2195</v>
      </c>
      <c r="H94" s="29" t="s">
        <v>38</v>
      </c>
      <c r="I94" s="29" t="s">
        <v>2127</v>
      </c>
      <c r="J94" s="29" t="s">
        <v>2128</v>
      </c>
      <c r="K94" s="29" t="s">
        <v>2129</v>
      </c>
      <c r="L94" s="29" t="s">
        <v>2196</v>
      </c>
      <c r="M94" s="29" t="s">
        <v>2130</v>
      </c>
      <c r="N94" s="29" t="s">
        <v>2129</v>
      </c>
      <c r="O94" s="29" t="s">
        <v>2974</v>
      </c>
      <c r="P94" s="29" t="s">
        <v>2190</v>
      </c>
      <c r="Q94" s="29" t="s">
        <v>2190</v>
      </c>
      <c r="R94" s="45">
        <v>46049.455555555556</v>
      </c>
      <c r="S94" s="45">
        <v>46083.686111111114</v>
      </c>
      <c r="T94" s="45">
        <v>46087.717361111114</v>
      </c>
      <c r="U94" s="45"/>
      <c r="V94" s="29" t="s">
        <v>2129</v>
      </c>
      <c r="W94" s="29" t="s">
        <v>2129</v>
      </c>
      <c r="X94" s="29" t="s">
        <v>2129</v>
      </c>
      <c r="Y94" s="29">
        <v>0</v>
      </c>
      <c r="Z94" s="29" t="s">
        <v>2129</v>
      </c>
      <c r="AA94" s="29" t="s">
        <v>2129</v>
      </c>
      <c r="AB94" s="29" t="s">
        <v>3473</v>
      </c>
      <c r="AC94" s="29" t="s">
        <v>2129</v>
      </c>
      <c r="AD94" s="29" t="s">
        <v>2190</v>
      </c>
      <c r="AE94" s="29" t="s">
        <v>2128</v>
      </c>
      <c r="AF94" s="29" t="s">
        <v>2129</v>
      </c>
      <c r="AG94" s="29" t="s">
        <v>2129</v>
      </c>
      <c r="AH94" s="29" t="s">
        <v>2129</v>
      </c>
      <c r="AI94" s="29" t="s">
        <v>2129</v>
      </c>
      <c r="AJ94" s="29" t="s">
        <v>2129</v>
      </c>
      <c r="AK94" s="29" t="s">
        <v>2129</v>
      </c>
      <c r="AL94" s="29" t="s">
        <v>2129</v>
      </c>
      <c r="AM94" s="29" t="s">
        <v>2129</v>
      </c>
      <c r="AN94" s="29" t="s">
        <v>2129</v>
      </c>
      <c r="AO94" s="29" t="s">
        <v>2129</v>
      </c>
      <c r="AP94" s="29" t="s">
        <v>2129</v>
      </c>
      <c r="AQ94" s="29" t="s">
        <v>2129</v>
      </c>
      <c r="AR94" s="29" t="s">
        <v>2129</v>
      </c>
      <c r="AS94" s="29" t="s">
        <v>2129</v>
      </c>
      <c r="AT94" s="29" t="s">
        <v>2129</v>
      </c>
      <c r="AU94" s="29" t="s">
        <v>2129</v>
      </c>
      <c r="AV94" s="29" t="s">
        <v>2129</v>
      </c>
      <c r="AW94" s="29" t="s">
        <v>2129</v>
      </c>
      <c r="AX94" s="29"/>
      <c r="AY94" s="29"/>
      <c r="AZ94" s="29" t="s">
        <v>2129</v>
      </c>
      <c r="BA94" s="29" t="s">
        <v>2129</v>
      </c>
      <c r="BB94" s="29"/>
      <c r="BC94" s="29"/>
      <c r="BD94" s="29" t="s">
        <v>2129</v>
      </c>
      <c r="BE94" s="29" t="s">
        <v>2129</v>
      </c>
      <c r="BF94" s="29" t="s">
        <v>2129</v>
      </c>
      <c r="BG94" s="29" t="s">
        <v>2129</v>
      </c>
      <c r="BH94" s="29" t="s">
        <v>2129</v>
      </c>
      <c r="BI94" s="29" t="s">
        <v>2129</v>
      </c>
      <c r="BJ94" s="29" t="s">
        <v>2129</v>
      </c>
      <c r="BK94" s="29" t="s">
        <v>2129</v>
      </c>
      <c r="BL94" s="29" t="s">
        <v>2129</v>
      </c>
      <c r="BM94" s="29" t="s">
        <v>2129</v>
      </c>
      <c r="BN94" s="29" t="s">
        <v>2129</v>
      </c>
      <c r="BO94" s="29" t="s">
        <v>2129</v>
      </c>
      <c r="BP94" s="29" t="s">
        <v>2129</v>
      </c>
      <c r="BQ94" s="29" t="s">
        <v>2129</v>
      </c>
      <c r="BR94" s="29" t="s">
        <v>2129</v>
      </c>
      <c r="BS94" s="29" t="s">
        <v>2129</v>
      </c>
      <c r="BT94" s="29" t="s">
        <v>2129</v>
      </c>
      <c r="BU94" s="29" t="s">
        <v>2129</v>
      </c>
      <c r="BV94" s="29" t="s">
        <v>2129</v>
      </c>
      <c r="BW94" s="29" t="s">
        <v>2129</v>
      </c>
      <c r="BX94" s="29" t="s">
        <v>3469</v>
      </c>
      <c r="BY94" s="29" t="s">
        <v>2129</v>
      </c>
      <c r="BZ94" s="29" t="s">
        <v>2129</v>
      </c>
      <c r="CA94" s="29" t="s">
        <v>2129</v>
      </c>
      <c r="CB94" s="29" t="s">
        <v>2129</v>
      </c>
      <c r="CC94" s="29" t="s">
        <v>2129</v>
      </c>
      <c r="CD94" s="29" t="s">
        <v>2129</v>
      </c>
      <c r="CE94" s="29" t="s">
        <v>3474</v>
      </c>
      <c r="CF94" s="29" t="s">
        <v>3467</v>
      </c>
      <c r="CG94" s="29" t="s">
        <v>2129</v>
      </c>
      <c r="CH94" s="29" t="s">
        <v>2129</v>
      </c>
      <c r="CI94" s="29" t="s">
        <v>2129</v>
      </c>
      <c r="CJ94" s="29" t="s">
        <v>2129</v>
      </c>
      <c r="CK94" s="29" t="s">
        <v>2129</v>
      </c>
      <c r="CL94" s="29" t="s">
        <v>2129</v>
      </c>
      <c r="CM94" s="29" t="s">
        <v>2129</v>
      </c>
      <c r="CN94" s="29" t="s">
        <v>2129</v>
      </c>
      <c r="CO94" s="29" t="s">
        <v>2129</v>
      </c>
      <c r="CP94" s="29" t="s">
        <v>2129</v>
      </c>
      <c r="CQ94" s="29" t="s">
        <v>2129</v>
      </c>
      <c r="CR94" s="29" t="s">
        <v>2129</v>
      </c>
      <c r="CS94" s="29">
        <v>30</v>
      </c>
      <c r="CT94" s="29" t="s">
        <v>2129</v>
      </c>
      <c r="CU94" s="29" t="s">
        <v>2129</v>
      </c>
      <c r="CV94" s="29" t="s">
        <v>2129</v>
      </c>
      <c r="CW94" s="29" t="s">
        <v>2129</v>
      </c>
      <c r="CX94" s="29" t="s">
        <v>2129</v>
      </c>
      <c r="CY94" s="29" t="s">
        <v>2129</v>
      </c>
      <c r="CZ94" s="29" t="s">
        <v>2129</v>
      </c>
      <c r="DA94" s="29" t="s">
        <v>2129</v>
      </c>
      <c r="DB94" s="29" t="s">
        <v>2129</v>
      </c>
      <c r="DC94" s="29" t="s">
        <v>2129</v>
      </c>
      <c r="DD94" s="29" t="s">
        <v>2129</v>
      </c>
      <c r="DE94" s="29" t="s">
        <v>2129</v>
      </c>
      <c r="DF94" s="29" t="s">
        <v>2129</v>
      </c>
      <c r="DG94" s="29" t="s">
        <v>2129</v>
      </c>
      <c r="DH94" s="29" t="s">
        <v>2129</v>
      </c>
      <c r="DI94" s="29" t="s">
        <v>2129</v>
      </c>
      <c r="DJ94" s="29" t="s">
        <v>2129</v>
      </c>
      <c r="DK94" s="29" t="s">
        <v>2129</v>
      </c>
      <c r="DL94" s="29" t="s">
        <v>2129</v>
      </c>
      <c r="DM94" s="29" t="s">
        <v>2129</v>
      </c>
      <c r="DN94" s="29" t="s">
        <v>2129</v>
      </c>
      <c r="DO94" s="29" t="s">
        <v>2129</v>
      </c>
      <c r="DP94" s="29" t="s">
        <v>2129</v>
      </c>
      <c r="DQ94" s="42" t="s">
        <v>2129</v>
      </c>
    </row>
    <row r="95" spans="1:121" x14ac:dyDescent="0.25">
      <c r="A95" s="36" t="s">
        <v>2586</v>
      </c>
      <c r="B95" s="30" t="s">
        <v>2585</v>
      </c>
      <c r="C95" s="30">
        <v>22850</v>
      </c>
      <c r="D95" s="30"/>
      <c r="E95" s="30" t="s">
        <v>14</v>
      </c>
      <c r="F95" s="30" t="s">
        <v>94</v>
      </c>
      <c r="G95" s="30" t="s">
        <v>2195</v>
      </c>
      <c r="H95" s="30" t="s">
        <v>38</v>
      </c>
      <c r="I95" s="30" t="s">
        <v>2127</v>
      </c>
      <c r="J95" s="30" t="s">
        <v>2128</v>
      </c>
      <c r="K95" s="30" t="s">
        <v>2129</v>
      </c>
      <c r="L95" s="30" t="s">
        <v>2196</v>
      </c>
      <c r="M95" s="30" t="s">
        <v>2130</v>
      </c>
      <c r="N95" s="30" t="s">
        <v>2129</v>
      </c>
      <c r="O95" s="30" t="s">
        <v>2974</v>
      </c>
      <c r="P95" s="30" t="s">
        <v>2190</v>
      </c>
      <c r="Q95" s="30" t="s">
        <v>2190</v>
      </c>
      <c r="R95" s="46">
        <v>46041.494444444441</v>
      </c>
      <c r="S95" s="46">
        <v>46083.686111111114</v>
      </c>
      <c r="T95" s="46">
        <v>46087.717361111114</v>
      </c>
      <c r="U95" s="46"/>
      <c r="V95" s="30" t="s">
        <v>2129</v>
      </c>
      <c r="W95" s="30" t="s">
        <v>2129</v>
      </c>
      <c r="X95" s="30" t="s">
        <v>2129</v>
      </c>
      <c r="Y95" s="30">
        <v>0</v>
      </c>
      <c r="Z95" s="30" t="s">
        <v>2129</v>
      </c>
      <c r="AA95" s="30" t="s">
        <v>2129</v>
      </c>
      <c r="AB95" s="30" t="s">
        <v>3475</v>
      </c>
      <c r="AC95" s="30" t="s">
        <v>2129</v>
      </c>
      <c r="AD95" s="30" t="s">
        <v>2190</v>
      </c>
      <c r="AE95" s="30" t="s">
        <v>2128</v>
      </c>
      <c r="AF95" s="30" t="s">
        <v>2129</v>
      </c>
      <c r="AG95" s="30" t="s">
        <v>2129</v>
      </c>
      <c r="AH95" s="30" t="s">
        <v>2129</v>
      </c>
      <c r="AI95" s="30" t="s">
        <v>3476</v>
      </c>
      <c r="AJ95" s="30" t="s">
        <v>2129</v>
      </c>
      <c r="AK95" s="30" t="s">
        <v>2129</v>
      </c>
      <c r="AL95" s="30" t="s">
        <v>2129</v>
      </c>
      <c r="AM95" s="30" t="s">
        <v>2129</v>
      </c>
      <c r="AN95" s="30" t="s">
        <v>2129</v>
      </c>
      <c r="AO95" s="30" t="s">
        <v>2129</v>
      </c>
      <c r="AP95" s="30" t="s">
        <v>2129</v>
      </c>
      <c r="AQ95" s="30" t="s">
        <v>2129</v>
      </c>
      <c r="AR95" s="30" t="s">
        <v>2129</v>
      </c>
      <c r="AS95" s="30" t="s">
        <v>2129</v>
      </c>
      <c r="AT95" s="30" t="s">
        <v>2129</v>
      </c>
      <c r="AU95" s="30" t="s">
        <v>2129</v>
      </c>
      <c r="AV95" s="30" t="s">
        <v>2129</v>
      </c>
      <c r="AW95" s="30" t="s">
        <v>2129</v>
      </c>
      <c r="AX95" s="30">
        <v>0</v>
      </c>
      <c r="AY95" s="30">
        <v>64800</v>
      </c>
      <c r="AZ95" s="30" t="s">
        <v>2129</v>
      </c>
      <c r="BA95" s="30" t="s">
        <v>2129</v>
      </c>
      <c r="BB95" s="30">
        <v>0</v>
      </c>
      <c r="BC95" s="30">
        <v>64800</v>
      </c>
      <c r="BD95" s="30" t="s">
        <v>2129</v>
      </c>
      <c r="BE95" s="30" t="s">
        <v>2129</v>
      </c>
      <c r="BF95" s="30" t="s">
        <v>2129</v>
      </c>
      <c r="BG95" s="30" t="s">
        <v>2129</v>
      </c>
      <c r="BH95" s="30" t="s">
        <v>2129</v>
      </c>
      <c r="BI95" s="30" t="s">
        <v>2129</v>
      </c>
      <c r="BJ95" s="30" t="s">
        <v>2129</v>
      </c>
      <c r="BK95" s="30" t="s">
        <v>3477</v>
      </c>
      <c r="BL95" s="30" t="s">
        <v>2129</v>
      </c>
      <c r="BM95" s="30" t="s">
        <v>2129</v>
      </c>
      <c r="BN95" s="30" t="s">
        <v>2129</v>
      </c>
      <c r="BO95" s="30" t="s">
        <v>2129</v>
      </c>
      <c r="BP95" s="30" t="s">
        <v>2129</v>
      </c>
      <c r="BQ95" s="30" t="s">
        <v>2129</v>
      </c>
      <c r="BR95" s="30" t="s">
        <v>2129</v>
      </c>
      <c r="BS95" s="30" t="s">
        <v>2129</v>
      </c>
      <c r="BT95" s="30" t="s">
        <v>2129</v>
      </c>
      <c r="BU95" s="30" t="s">
        <v>2129</v>
      </c>
      <c r="BV95" s="30" t="s">
        <v>2129</v>
      </c>
      <c r="BW95" s="30" t="s">
        <v>2129</v>
      </c>
      <c r="BX95" s="30" t="s">
        <v>3469</v>
      </c>
      <c r="BY95" s="30" t="s">
        <v>2129</v>
      </c>
      <c r="BZ95" s="30" t="s">
        <v>2129</v>
      </c>
      <c r="CA95" s="30" t="s">
        <v>2129</v>
      </c>
      <c r="CB95" s="30" t="s">
        <v>2129</v>
      </c>
      <c r="CC95" s="30" t="s">
        <v>2129</v>
      </c>
      <c r="CD95" s="30" t="s">
        <v>2129</v>
      </c>
      <c r="CE95" s="30" t="s">
        <v>3478</v>
      </c>
      <c r="CF95" s="30" t="s">
        <v>2541</v>
      </c>
      <c r="CG95" s="30" t="s">
        <v>3467</v>
      </c>
      <c r="CH95" s="30" t="s">
        <v>2129</v>
      </c>
      <c r="CI95" s="30" t="s">
        <v>2129</v>
      </c>
      <c r="CJ95" s="30" t="s">
        <v>2129</v>
      </c>
      <c r="CK95" s="30" t="s">
        <v>2129</v>
      </c>
      <c r="CL95" s="30" t="s">
        <v>2129</v>
      </c>
      <c r="CM95" s="30" t="s">
        <v>2129</v>
      </c>
      <c r="CN95" s="30" t="s">
        <v>2129</v>
      </c>
      <c r="CO95" s="30" t="s">
        <v>2129</v>
      </c>
      <c r="CP95" s="30" t="s">
        <v>2129</v>
      </c>
      <c r="CQ95" s="30" t="s">
        <v>2129</v>
      </c>
      <c r="CR95" s="30" t="s">
        <v>2129</v>
      </c>
      <c r="CS95" s="30">
        <v>20</v>
      </c>
      <c r="CT95" s="30" t="s">
        <v>2129</v>
      </c>
      <c r="CU95" s="30" t="s">
        <v>2129</v>
      </c>
      <c r="CV95" s="30" t="s">
        <v>2129</v>
      </c>
      <c r="CW95" s="30" t="s">
        <v>2129</v>
      </c>
      <c r="CX95" s="30" t="s">
        <v>2129</v>
      </c>
      <c r="CY95" s="30" t="s">
        <v>2129</v>
      </c>
      <c r="CZ95" s="30" t="s">
        <v>2129</v>
      </c>
      <c r="DA95" s="30" t="s">
        <v>2129</v>
      </c>
      <c r="DB95" s="30" t="s">
        <v>2129</v>
      </c>
      <c r="DC95" s="30" t="s">
        <v>2129</v>
      </c>
      <c r="DD95" s="30" t="s">
        <v>2129</v>
      </c>
      <c r="DE95" s="30" t="s">
        <v>2129</v>
      </c>
      <c r="DF95" s="30" t="s">
        <v>2129</v>
      </c>
      <c r="DG95" s="30" t="s">
        <v>2129</v>
      </c>
      <c r="DH95" s="30" t="s">
        <v>2129</v>
      </c>
      <c r="DI95" s="30" t="s">
        <v>2129</v>
      </c>
      <c r="DJ95" s="30" t="s">
        <v>2129</v>
      </c>
      <c r="DK95" s="30" t="s">
        <v>2129</v>
      </c>
      <c r="DL95" s="30" t="s">
        <v>2129</v>
      </c>
      <c r="DM95" s="30" t="s">
        <v>2129</v>
      </c>
      <c r="DN95" s="30" t="s">
        <v>2129</v>
      </c>
      <c r="DO95" s="30" t="s">
        <v>2129</v>
      </c>
      <c r="DP95" s="30" t="s">
        <v>2129</v>
      </c>
      <c r="DQ95" s="43" t="s">
        <v>2129</v>
      </c>
    </row>
    <row r="96" spans="1:121" x14ac:dyDescent="0.25">
      <c r="A96" s="39" t="s">
        <v>2588</v>
      </c>
      <c r="B96" s="29" t="s">
        <v>2587</v>
      </c>
      <c r="C96" s="29">
        <v>22849</v>
      </c>
      <c r="D96" s="29"/>
      <c r="E96" s="29" t="s">
        <v>14</v>
      </c>
      <c r="F96" s="29" t="s">
        <v>1820</v>
      </c>
      <c r="G96" s="29" t="s">
        <v>2195</v>
      </c>
      <c r="H96" s="29" t="s">
        <v>38</v>
      </c>
      <c r="I96" s="29" t="s">
        <v>2127</v>
      </c>
      <c r="J96" s="29" t="s">
        <v>2128</v>
      </c>
      <c r="K96" s="29" t="s">
        <v>2129</v>
      </c>
      <c r="L96" s="29" t="s">
        <v>2196</v>
      </c>
      <c r="M96" s="29" t="s">
        <v>2130</v>
      </c>
      <c r="N96" s="29" t="s">
        <v>2129</v>
      </c>
      <c r="O96" s="29" t="s">
        <v>2974</v>
      </c>
      <c r="P96" s="29" t="s">
        <v>2190</v>
      </c>
      <c r="Q96" s="29" t="s">
        <v>2190</v>
      </c>
      <c r="R96" s="45">
        <v>46041.48333333333</v>
      </c>
      <c r="S96" s="45">
        <v>46083.686111111114</v>
      </c>
      <c r="T96" s="45">
        <v>46087.717361111114</v>
      </c>
      <c r="U96" s="45"/>
      <c r="V96" s="29" t="s">
        <v>2129</v>
      </c>
      <c r="W96" s="29" t="s">
        <v>2129</v>
      </c>
      <c r="X96" s="29" t="s">
        <v>2129</v>
      </c>
      <c r="Y96" s="29">
        <v>0</v>
      </c>
      <c r="Z96" s="29" t="s">
        <v>2129</v>
      </c>
      <c r="AA96" s="29" t="s">
        <v>2129</v>
      </c>
      <c r="AB96" s="29" t="s">
        <v>3479</v>
      </c>
      <c r="AC96" s="29" t="s">
        <v>2129</v>
      </c>
      <c r="AD96" s="29" t="s">
        <v>2190</v>
      </c>
      <c r="AE96" s="29" t="s">
        <v>2974</v>
      </c>
      <c r="AF96" s="29" t="s">
        <v>2128</v>
      </c>
      <c r="AG96" s="29" t="s">
        <v>2129</v>
      </c>
      <c r="AH96" s="29" t="s">
        <v>2129</v>
      </c>
      <c r="AI96" s="29" t="s">
        <v>3480</v>
      </c>
      <c r="AJ96" s="29" t="s">
        <v>3481</v>
      </c>
      <c r="AK96" s="29" t="s">
        <v>3482</v>
      </c>
      <c r="AL96" s="29" t="s">
        <v>3483</v>
      </c>
      <c r="AM96" s="29" t="s">
        <v>3484</v>
      </c>
      <c r="AN96" s="29" t="s">
        <v>3485</v>
      </c>
      <c r="AO96" s="29" t="s">
        <v>3486</v>
      </c>
      <c r="AP96" s="29" t="s">
        <v>3487</v>
      </c>
      <c r="AQ96" s="29" t="s">
        <v>2129</v>
      </c>
      <c r="AR96" s="29" t="s">
        <v>2129</v>
      </c>
      <c r="AS96" s="29" t="s">
        <v>2129</v>
      </c>
      <c r="AT96" s="29" t="s">
        <v>2129</v>
      </c>
      <c r="AU96" s="29" t="s">
        <v>2129</v>
      </c>
      <c r="AV96" s="29" t="s">
        <v>2129</v>
      </c>
      <c r="AW96" s="29" t="s">
        <v>2129</v>
      </c>
      <c r="AX96" s="29">
        <v>0</v>
      </c>
      <c r="AY96" s="29">
        <v>280800</v>
      </c>
      <c r="AZ96" s="29" t="s">
        <v>2129</v>
      </c>
      <c r="BA96" s="29" t="s">
        <v>2129</v>
      </c>
      <c r="BB96" s="29">
        <v>0</v>
      </c>
      <c r="BC96" s="29">
        <v>280800</v>
      </c>
      <c r="BD96" s="29" t="s">
        <v>2129</v>
      </c>
      <c r="BE96" s="29" t="s">
        <v>2129</v>
      </c>
      <c r="BF96" s="29" t="s">
        <v>2129</v>
      </c>
      <c r="BG96" s="29" t="s">
        <v>2129</v>
      </c>
      <c r="BH96" s="29" t="s">
        <v>2129</v>
      </c>
      <c r="BI96" s="29" t="s">
        <v>2129</v>
      </c>
      <c r="BJ96" s="29" t="s">
        <v>2129</v>
      </c>
      <c r="BK96" s="29" t="s">
        <v>3488</v>
      </c>
      <c r="BL96" s="29" t="s">
        <v>3489</v>
      </c>
      <c r="BM96" s="29" t="s">
        <v>3490</v>
      </c>
      <c r="BN96" s="29" t="s">
        <v>3491</v>
      </c>
      <c r="BO96" s="29" t="s">
        <v>3492</v>
      </c>
      <c r="BP96" s="29" t="s">
        <v>2129</v>
      </c>
      <c r="BQ96" s="29" t="s">
        <v>2129</v>
      </c>
      <c r="BR96" s="29" t="s">
        <v>2129</v>
      </c>
      <c r="BS96" s="29" t="s">
        <v>2129</v>
      </c>
      <c r="BT96" s="29" t="s">
        <v>2129</v>
      </c>
      <c r="BU96" s="29" t="s">
        <v>2129</v>
      </c>
      <c r="BV96" s="29" t="s">
        <v>2129</v>
      </c>
      <c r="BW96" s="29" t="s">
        <v>2129</v>
      </c>
      <c r="BX96" s="29" t="s">
        <v>3469</v>
      </c>
      <c r="BY96" s="29" t="s">
        <v>2129</v>
      </c>
      <c r="BZ96" s="29" t="s">
        <v>2129</v>
      </c>
      <c r="CA96" s="29" t="s">
        <v>2129</v>
      </c>
      <c r="CB96" s="29" t="s">
        <v>2129</v>
      </c>
      <c r="CC96" s="29" t="s">
        <v>2129</v>
      </c>
      <c r="CD96" s="29" t="s">
        <v>2129</v>
      </c>
      <c r="CE96" s="29" t="s">
        <v>3493</v>
      </c>
      <c r="CF96" s="29" t="s">
        <v>2541</v>
      </c>
      <c r="CG96" s="29" t="s">
        <v>3467</v>
      </c>
      <c r="CH96" s="29" t="s">
        <v>2129</v>
      </c>
      <c r="CI96" s="29" t="s">
        <v>2129</v>
      </c>
      <c r="CJ96" s="29" t="s">
        <v>2129</v>
      </c>
      <c r="CK96" s="29" t="s">
        <v>2129</v>
      </c>
      <c r="CL96" s="29" t="s">
        <v>2129</v>
      </c>
      <c r="CM96" s="29" t="s">
        <v>2129</v>
      </c>
      <c r="CN96" s="29" t="s">
        <v>2129</v>
      </c>
      <c r="CO96" s="29" t="s">
        <v>2129</v>
      </c>
      <c r="CP96" s="29" t="s">
        <v>2129</v>
      </c>
      <c r="CQ96" s="29" t="s">
        <v>2129</v>
      </c>
      <c r="CR96" s="29" t="s">
        <v>2129</v>
      </c>
      <c r="CS96" s="29">
        <v>130</v>
      </c>
      <c r="CT96" s="29" t="s">
        <v>2129</v>
      </c>
      <c r="CU96" s="29" t="s">
        <v>2129</v>
      </c>
      <c r="CV96" s="29" t="s">
        <v>3494</v>
      </c>
      <c r="CW96" s="29" t="s">
        <v>3495</v>
      </c>
      <c r="CX96" s="29" t="s">
        <v>2129</v>
      </c>
      <c r="CY96" s="29" t="s">
        <v>2129</v>
      </c>
      <c r="CZ96" s="29" t="s">
        <v>2129</v>
      </c>
      <c r="DA96" s="29" t="s">
        <v>2129</v>
      </c>
      <c r="DB96" s="29" t="s">
        <v>2129</v>
      </c>
      <c r="DC96" s="29" t="s">
        <v>2129</v>
      </c>
      <c r="DD96" s="29" t="s">
        <v>2129</v>
      </c>
      <c r="DE96" s="29" t="s">
        <v>2129</v>
      </c>
      <c r="DF96" s="29" t="s">
        <v>2129</v>
      </c>
      <c r="DG96" s="29" t="s">
        <v>2129</v>
      </c>
      <c r="DH96" s="29" t="s">
        <v>2129</v>
      </c>
      <c r="DI96" s="29" t="s">
        <v>2129</v>
      </c>
      <c r="DJ96" s="29" t="s">
        <v>2129</v>
      </c>
      <c r="DK96" s="29" t="s">
        <v>2129</v>
      </c>
      <c r="DL96" s="29" t="s">
        <v>2129</v>
      </c>
      <c r="DM96" s="29" t="s">
        <v>2129</v>
      </c>
      <c r="DN96" s="29" t="s">
        <v>2129</v>
      </c>
      <c r="DO96" s="29" t="s">
        <v>2129</v>
      </c>
      <c r="DP96" s="29" t="s">
        <v>2129</v>
      </c>
      <c r="DQ96" s="42" t="s">
        <v>2129</v>
      </c>
    </row>
    <row r="97" spans="1:121" x14ac:dyDescent="0.25">
      <c r="A97" s="36" t="s">
        <v>3496</v>
      </c>
      <c r="B97" s="30" t="s">
        <v>3497</v>
      </c>
      <c r="C97" s="30">
        <v>23086</v>
      </c>
      <c r="D97" s="30"/>
      <c r="E97" s="30" t="s">
        <v>14</v>
      </c>
      <c r="F97" s="30" t="s">
        <v>10</v>
      </c>
      <c r="G97" s="30" t="s">
        <v>3498</v>
      </c>
      <c r="H97" s="30" t="s">
        <v>991</v>
      </c>
      <c r="I97" s="30" t="s">
        <v>2127</v>
      </c>
      <c r="J97" s="30" t="s">
        <v>2152</v>
      </c>
      <c r="K97" s="30" t="s">
        <v>2129</v>
      </c>
      <c r="L97" s="30" t="s">
        <v>2129</v>
      </c>
      <c r="M97" s="30" t="s">
        <v>2130</v>
      </c>
      <c r="N97" s="30" t="s">
        <v>2129</v>
      </c>
      <c r="O97" s="30" t="s">
        <v>2129</v>
      </c>
      <c r="P97" s="30" t="s">
        <v>2145</v>
      </c>
      <c r="Q97" s="30" t="s">
        <v>2145</v>
      </c>
      <c r="R97" s="46">
        <v>46084.522916666669</v>
      </c>
      <c r="S97" s="46">
        <v>46085.415972222225</v>
      </c>
      <c r="T97" s="46">
        <v>46087.717361111114</v>
      </c>
      <c r="U97" s="46"/>
      <c r="V97" s="30" t="s">
        <v>2129</v>
      </c>
      <c r="W97" s="30" t="s">
        <v>2129</v>
      </c>
      <c r="X97" s="30" t="s">
        <v>2129</v>
      </c>
      <c r="Y97" s="30">
        <v>0</v>
      </c>
      <c r="Z97" s="30" t="s">
        <v>2129</v>
      </c>
      <c r="AA97" s="30" t="s">
        <v>2129</v>
      </c>
      <c r="AB97" s="30" t="s">
        <v>3499</v>
      </c>
      <c r="AC97" s="30" t="s">
        <v>2129</v>
      </c>
      <c r="AD97" s="30" t="s">
        <v>2145</v>
      </c>
      <c r="AE97" s="30" t="s">
        <v>2129</v>
      </c>
      <c r="AF97" s="30" t="s">
        <v>2129</v>
      </c>
      <c r="AG97" s="30" t="s">
        <v>2129</v>
      </c>
      <c r="AH97" s="30" t="s">
        <v>2129</v>
      </c>
      <c r="AI97" s="30" t="s">
        <v>2129</v>
      </c>
      <c r="AJ97" s="30" t="s">
        <v>2129</v>
      </c>
      <c r="AK97" s="30" t="s">
        <v>2129</v>
      </c>
      <c r="AL97" s="30" t="s">
        <v>2129</v>
      </c>
      <c r="AM97" s="30" t="s">
        <v>2129</v>
      </c>
      <c r="AN97" s="30" t="s">
        <v>2129</v>
      </c>
      <c r="AO97" s="30" t="s">
        <v>2129</v>
      </c>
      <c r="AP97" s="30" t="s">
        <v>2129</v>
      </c>
      <c r="AQ97" s="30" t="s">
        <v>2129</v>
      </c>
      <c r="AR97" s="30" t="s">
        <v>2129</v>
      </c>
      <c r="AS97" s="30" t="s">
        <v>2129</v>
      </c>
      <c r="AT97" s="30" t="s">
        <v>2129</v>
      </c>
      <c r="AU97" s="30" t="s">
        <v>2129</v>
      </c>
      <c r="AV97" s="30" t="s">
        <v>2129</v>
      </c>
      <c r="AW97" s="30" t="s">
        <v>2129</v>
      </c>
      <c r="AX97" s="30"/>
      <c r="AY97" s="30"/>
      <c r="AZ97" s="30" t="s">
        <v>2129</v>
      </c>
      <c r="BA97" s="30" t="s">
        <v>2129</v>
      </c>
      <c r="BB97" s="30"/>
      <c r="BC97" s="30"/>
      <c r="BD97" s="30" t="s">
        <v>2129</v>
      </c>
      <c r="BE97" s="30" t="s">
        <v>2129</v>
      </c>
      <c r="BF97" s="30" t="s">
        <v>2129</v>
      </c>
      <c r="BG97" s="30" t="s">
        <v>2129</v>
      </c>
      <c r="BH97" s="30" t="s">
        <v>2129</v>
      </c>
      <c r="BI97" s="30" t="s">
        <v>2129</v>
      </c>
      <c r="BJ97" s="30" t="s">
        <v>2129</v>
      </c>
      <c r="BK97" s="30" t="s">
        <v>2129</v>
      </c>
      <c r="BL97" s="30" t="s">
        <v>2129</v>
      </c>
      <c r="BM97" s="30" t="s">
        <v>2129</v>
      </c>
      <c r="BN97" s="30" t="s">
        <v>2129</v>
      </c>
      <c r="BO97" s="30" t="s">
        <v>2129</v>
      </c>
      <c r="BP97" s="30" t="s">
        <v>2129</v>
      </c>
      <c r="BQ97" s="30" t="s">
        <v>2129</v>
      </c>
      <c r="BR97" s="30" t="s">
        <v>2129</v>
      </c>
      <c r="BS97" s="30" t="s">
        <v>2129</v>
      </c>
      <c r="BT97" s="30" t="s">
        <v>2129</v>
      </c>
      <c r="BU97" s="30" t="s">
        <v>2129</v>
      </c>
      <c r="BV97" s="30" t="s">
        <v>2129</v>
      </c>
      <c r="BW97" s="30" t="s">
        <v>2129</v>
      </c>
      <c r="BX97" s="30" t="s">
        <v>3500</v>
      </c>
      <c r="BY97" s="30" t="s">
        <v>2129</v>
      </c>
      <c r="BZ97" s="30" t="s">
        <v>2129</v>
      </c>
      <c r="CA97" s="30" t="s">
        <v>2129</v>
      </c>
      <c r="CB97" s="30" t="s">
        <v>2129</v>
      </c>
      <c r="CC97" s="30" t="s">
        <v>2129</v>
      </c>
      <c r="CD97" s="30" t="s">
        <v>2129</v>
      </c>
      <c r="CE97" s="30" t="s">
        <v>3501</v>
      </c>
      <c r="CF97" s="30" t="s">
        <v>2129</v>
      </c>
      <c r="CG97" s="30" t="s">
        <v>2129</v>
      </c>
      <c r="CH97" s="30" t="s">
        <v>2129</v>
      </c>
      <c r="CI97" s="30" t="s">
        <v>2129</v>
      </c>
      <c r="CJ97" s="30" t="s">
        <v>2129</v>
      </c>
      <c r="CK97" s="30" t="s">
        <v>2129</v>
      </c>
      <c r="CL97" s="30" t="s">
        <v>2129</v>
      </c>
      <c r="CM97" s="30" t="s">
        <v>2129</v>
      </c>
      <c r="CN97" s="30" t="s">
        <v>2129</v>
      </c>
      <c r="CO97" s="30" t="s">
        <v>2129</v>
      </c>
      <c r="CP97" s="30" t="s">
        <v>2129</v>
      </c>
      <c r="CQ97" s="30" t="s">
        <v>2129</v>
      </c>
      <c r="CR97" s="30" t="s">
        <v>2129</v>
      </c>
      <c r="CS97" s="30"/>
      <c r="CT97" s="30" t="s">
        <v>2129</v>
      </c>
      <c r="CU97" s="30" t="s">
        <v>2129</v>
      </c>
      <c r="CV97" s="30" t="s">
        <v>2129</v>
      </c>
      <c r="CW97" s="30" t="s">
        <v>2129</v>
      </c>
      <c r="CX97" s="30" t="s">
        <v>2129</v>
      </c>
      <c r="CY97" s="30" t="s">
        <v>2129</v>
      </c>
      <c r="CZ97" s="30" t="s">
        <v>2129</v>
      </c>
      <c r="DA97" s="30" t="s">
        <v>2129</v>
      </c>
      <c r="DB97" s="30" t="s">
        <v>2129</v>
      </c>
      <c r="DC97" s="30" t="s">
        <v>2129</v>
      </c>
      <c r="DD97" s="30" t="s">
        <v>2129</v>
      </c>
      <c r="DE97" s="30" t="s">
        <v>2129</v>
      </c>
      <c r="DF97" s="30" t="s">
        <v>2129</v>
      </c>
      <c r="DG97" s="30" t="s">
        <v>2129</v>
      </c>
      <c r="DH97" s="30" t="s">
        <v>2129</v>
      </c>
      <c r="DI97" s="30" t="s">
        <v>2129</v>
      </c>
      <c r="DJ97" s="30" t="s">
        <v>2129</v>
      </c>
      <c r="DK97" s="30" t="s">
        <v>2129</v>
      </c>
      <c r="DL97" s="30" t="s">
        <v>2129</v>
      </c>
      <c r="DM97" s="30" t="s">
        <v>2129</v>
      </c>
      <c r="DN97" s="30" t="s">
        <v>2129</v>
      </c>
      <c r="DO97" s="30" t="s">
        <v>2129</v>
      </c>
      <c r="DP97" s="30" t="s">
        <v>2129</v>
      </c>
      <c r="DQ97" s="43" t="s">
        <v>2129</v>
      </c>
    </row>
    <row r="98" spans="1:121" x14ac:dyDescent="0.25">
      <c r="A98" s="39" t="s">
        <v>3502</v>
      </c>
      <c r="B98" s="29" t="s">
        <v>3503</v>
      </c>
      <c r="C98" s="29">
        <v>23085</v>
      </c>
      <c r="D98" s="29"/>
      <c r="E98" s="29" t="s">
        <v>14</v>
      </c>
      <c r="F98" s="29" t="s">
        <v>10</v>
      </c>
      <c r="G98" s="29" t="s">
        <v>3498</v>
      </c>
      <c r="H98" s="29" t="s">
        <v>991</v>
      </c>
      <c r="I98" s="29" t="s">
        <v>2127</v>
      </c>
      <c r="J98" s="29" t="s">
        <v>2152</v>
      </c>
      <c r="K98" s="29" t="s">
        <v>2129</v>
      </c>
      <c r="L98" s="29" t="s">
        <v>2129</v>
      </c>
      <c r="M98" s="29" t="s">
        <v>2130</v>
      </c>
      <c r="N98" s="29" t="s">
        <v>2129</v>
      </c>
      <c r="O98" s="29" t="s">
        <v>2129</v>
      </c>
      <c r="P98" s="29" t="s">
        <v>2145</v>
      </c>
      <c r="Q98" s="29" t="s">
        <v>2145</v>
      </c>
      <c r="R98" s="45">
        <v>46084.420138888891</v>
      </c>
      <c r="S98" s="45">
        <v>46084.435416666667</v>
      </c>
      <c r="T98" s="45">
        <v>46087.717361111114</v>
      </c>
      <c r="U98" s="45"/>
      <c r="V98" s="29" t="s">
        <v>2129</v>
      </c>
      <c r="W98" s="29" t="s">
        <v>2129</v>
      </c>
      <c r="X98" s="29" t="s">
        <v>2129</v>
      </c>
      <c r="Y98" s="29">
        <v>0</v>
      </c>
      <c r="Z98" s="29" t="s">
        <v>2129</v>
      </c>
      <c r="AA98" s="29" t="s">
        <v>2129</v>
      </c>
      <c r="AB98" s="29" t="s">
        <v>3504</v>
      </c>
      <c r="AC98" s="29" t="s">
        <v>2129</v>
      </c>
      <c r="AD98" s="29" t="s">
        <v>2145</v>
      </c>
      <c r="AE98" s="29" t="s">
        <v>2129</v>
      </c>
      <c r="AF98" s="29" t="s">
        <v>2129</v>
      </c>
      <c r="AG98" s="29" t="s">
        <v>2129</v>
      </c>
      <c r="AH98" s="29" t="s">
        <v>2129</v>
      </c>
      <c r="AI98" s="29" t="s">
        <v>2129</v>
      </c>
      <c r="AJ98" s="29" t="s">
        <v>2129</v>
      </c>
      <c r="AK98" s="29" t="s">
        <v>2129</v>
      </c>
      <c r="AL98" s="29" t="s">
        <v>2129</v>
      </c>
      <c r="AM98" s="29" t="s">
        <v>2129</v>
      </c>
      <c r="AN98" s="29" t="s">
        <v>2129</v>
      </c>
      <c r="AO98" s="29" t="s">
        <v>2129</v>
      </c>
      <c r="AP98" s="29" t="s">
        <v>2129</v>
      </c>
      <c r="AQ98" s="29" t="s">
        <v>2129</v>
      </c>
      <c r="AR98" s="29" t="s">
        <v>2129</v>
      </c>
      <c r="AS98" s="29" t="s">
        <v>2129</v>
      </c>
      <c r="AT98" s="29" t="s">
        <v>2129</v>
      </c>
      <c r="AU98" s="29" t="s">
        <v>2129</v>
      </c>
      <c r="AV98" s="29" t="s">
        <v>2129</v>
      </c>
      <c r="AW98" s="29" t="s">
        <v>2129</v>
      </c>
      <c r="AX98" s="29"/>
      <c r="AY98" s="29"/>
      <c r="AZ98" s="29" t="s">
        <v>2129</v>
      </c>
      <c r="BA98" s="29" t="s">
        <v>2129</v>
      </c>
      <c r="BB98" s="29"/>
      <c r="BC98" s="29"/>
      <c r="BD98" s="29" t="s">
        <v>2129</v>
      </c>
      <c r="BE98" s="29" t="s">
        <v>2129</v>
      </c>
      <c r="BF98" s="29" t="s">
        <v>2129</v>
      </c>
      <c r="BG98" s="29" t="s">
        <v>2129</v>
      </c>
      <c r="BH98" s="29" t="s">
        <v>2129</v>
      </c>
      <c r="BI98" s="29" t="s">
        <v>2129</v>
      </c>
      <c r="BJ98" s="29" t="s">
        <v>2129</v>
      </c>
      <c r="BK98" s="29" t="s">
        <v>2129</v>
      </c>
      <c r="BL98" s="29" t="s">
        <v>2129</v>
      </c>
      <c r="BM98" s="29" t="s">
        <v>2129</v>
      </c>
      <c r="BN98" s="29" t="s">
        <v>2129</v>
      </c>
      <c r="BO98" s="29" t="s">
        <v>2129</v>
      </c>
      <c r="BP98" s="29" t="s">
        <v>2129</v>
      </c>
      <c r="BQ98" s="29" t="s">
        <v>2129</v>
      </c>
      <c r="BR98" s="29" t="s">
        <v>2129</v>
      </c>
      <c r="BS98" s="29" t="s">
        <v>2129</v>
      </c>
      <c r="BT98" s="29" t="s">
        <v>2129</v>
      </c>
      <c r="BU98" s="29" t="s">
        <v>2129</v>
      </c>
      <c r="BV98" s="29" t="s">
        <v>2129</v>
      </c>
      <c r="BW98" s="29" t="s">
        <v>2129</v>
      </c>
      <c r="BX98" s="29" t="s">
        <v>3500</v>
      </c>
      <c r="BY98" s="29" t="s">
        <v>2129</v>
      </c>
      <c r="BZ98" s="29" t="s">
        <v>2129</v>
      </c>
      <c r="CA98" s="29" t="s">
        <v>2129</v>
      </c>
      <c r="CB98" s="29" t="s">
        <v>2129</v>
      </c>
      <c r="CC98" s="29" t="s">
        <v>2129</v>
      </c>
      <c r="CD98" s="29" t="s">
        <v>2129</v>
      </c>
      <c r="CE98" s="29" t="s">
        <v>3505</v>
      </c>
      <c r="CF98" s="29" t="s">
        <v>2129</v>
      </c>
      <c r="CG98" s="29" t="s">
        <v>2129</v>
      </c>
      <c r="CH98" s="29" t="s">
        <v>2129</v>
      </c>
      <c r="CI98" s="29" t="s">
        <v>2129</v>
      </c>
      <c r="CJ98" s="29" t="s">
        <v>2129</v>
      </c>
      <c r="CK98" s="29" t="s">
        <v>2129</v>
      </c>
      <c r="CL98" s="29" t="s">
        <v>2129</v>
      </c>
      <c r="CM98" s="29" t="s">
        <v>2129</v>
      </c>
      <c r="CN98" s="29" t="s">
        <v>2129</v>
      </c>
      <c r="CO98" s="29" t="s">
        <v>2129</v>
      </c>
      <c r="CP98" s="29" t="s">
        <v>2129</v>
      </c>
      <c r="CQ98" s="29" t="s">
        <v>2129</v>
      </c>
      <c r="CR98" s="29" t="s">
        <v>2129</v>
      </c>
      <c r="CS98" s="29"/>
      <c r="CT98" s="29" t="s">
        <v>2129</v>
      </c>
      <c r="CU98" s="29" t="s">
        <v>2129</v>
      </c>
      <c r="CV98" s="29" t="s">
        <v>3506</v>
      </c>
      <c r="CW98" s="29" t="s">
        <v>2129</v>
      </c>
      <c r="CX98" s="29" t="s">
        <v>2129</v>
      </c>
      <c r="CY98" s="29" t="s">
        <v>2129</v>
      </c>
      <c r="CZ98" s="29" t="s">
        <v>2129</v>
      </c>
      <c r="DA98" s="29" t="s">
        <v>2129</v>
      </c>
      <c r="DB98" s="29" t="s">
        <v>2129</v>
      </c>
      <c r="DC98" s="29" t="s">
        <v>2129</v>
      </c>
      <c r="DD98" s="29" t="s">
        <v>2129</v>
      </c>
      <c r="DE98" s="29" t="s">
        <v>2129</v>
      </c>
      <c r="DF98" s="29" t="s">
        <v>2129</v>
      </c>
      <c r="DG98" s="29" t="s">
        <v>2129</v>
      </c>
      <c r="DH98" s="29" t="s">
        <v>2129</v>
      </c>
      <c r="DI98" s="29" t="s">
        <v>2129</v>
      </c>
      <c r="DJ98" s="29" t="s">
        <v>2129</v>
      </c>
      <c r="DK98" s="29" t="s">
        <v>2129</v>
      </c>
      <c r="DL98" s="29" t="s">
        <v>2129</v>
      </c>
      <c r="DM98" s="29" t="s">
        <v>2129</v>
      </c>
      <c r="DN98" s="29" t="s">
        <v>2129</v>
      </c>
      <c r="DO98" s="29" t="s">
        <v>2129</v>
      </c>
      <c r="DP98" s="29" t="s">
        <v>2129</v>
      </c>
      <c r="DQ98" s="42" t="s">
        <v>2129</v>
      </c>
    </row>
    <row r="99" spans="1:121" x14ac:dyDescent="0.25">
      <c r="A99" s="36" t="s">
        <v>3507</v>
      </c>
      <c r="B99" s="30" t="s">
        <v>3508</v>
      </c>
      <c r="C99" s="30">
        <v>23083</v>
      </c>
      <c r="D99" s="30"/>
      <c r="E99" s="30" t="s">
        <v>14</v>
      </c>
      <c r="F99" s="30" t="s">
        <v>10</v>
      </c>
      <c r="G99" s="30" t="s">
        <v>3498</v>
      </c>
      <c r="H99" s="30" t="s">
        <v>991</v>
      </c>
      <c r="I99" s="30" t="s">
        <v>2127</v>
      </c>
      <c r="J99" s="30" t="s">
        <v>2152</v>
      </c>
      <c r="K99" s="30" t="s">
        <v>2129</v>
      </c>
      <c r="L99" s="30" t="s">
        <v>2129</v>
      </c>
      <c r="M99" s="30" t="s">
        <v>2130</v>
      </c>
      <c r="N99" s="30" t="s">
        <v>2129</v>
      </c>
      <c r="O99" s="30" t="s">
        <v>2129</v>
      </c>
      <c r="P99" s="30" t="s">
        <v>2145</v>
      </c>
      <c r="Q99" s="30" t="s">
        <v>2145</v>
      </c>
      <c r="R99" s="46">
        <v>46084.386805555558</v>
      </c>
      <c r="S99" s="46">
        <v>46084.435416666667</v>
      </c>
      <c r="T99" s="46">
        <v>46087.717361111114</v>
      </c>
      <c r="U99" s="46"/>
      <c r="V99" s="30" t="s">
        <v>2129</v>
      </c>
      <c r="W99" s="30" t="s">
        <v>2129</v>
      </c>
      <c r="X99" s="30" t="s">
        <v>2129</v>
      </c>
      <c r="Y99" s="30">
        <v>0</v>
      </c>
      <c r="Z99" s="30" t="s">
        <v>2129</v>
      </c>
      <c r="AA99" s="30" t="s">
        <v>2129</v>
      </c>
      <c r="AB99" s="30" t="s">
        <v>3509</v>
      </c>
      <c r="AC99" s="30" t="s">
        <v>2129</v>
      </c>
      <c r="AD99" s="30" t="s">
        <v>2145</v>
      </c>
      <c r="AE99" s="30" t="s">
        <v>2129</v>
      </c>
      <c r="AF99" s="30" t="s">
        <v>2129</v>
      </c>
      <c r="AG99" s="30" t="s">
        <v>2129</v>
      </c>
      <c r="AH99" s="30" t="s">
        <v>2129</v>
      </c>
      <c r="AI99" s="30" t="s">
        <v>2129</v>
      </c>
      <c r="AJ99" s="30" t="s">
        <v>2129</v>
      </c>
      <c r="AK99" s="30" t="s">
        <v>2129</v>
      </c>
      <c r="AL99" s="30" t="s">
        <v>2129</v>
      </c>
      <c r="AM99" s="30" t="s">
        <v>2129</v>
      </c>
      <c r="AN99" s="30" t="s">
        <v>2129</v>
      </c>
      <c r="AO99" s="30" t="s">
        <v>2129</v>
      </c>
      <c r="AP99" s="30" t="s">
        <v>2129</v>
      </c>
      <c r="AQ99" s="30" t="s">
        <v>2129</v>
      </c>
      <c r="AR99" s="30" t="s">
        <v>2129</v>
      </c>
      <c r="AS99" s="30" t="s">
        <v>2129</v>
      </c>
      <c r="AT99" s="30" t="s">
        <v>2129</v>
      </c>
      <c r="AU99" s="30" t="s">
        <v>2129</v>
      </c>
      <c r="AV99" s="30" t="s">
        <v>2129</v>
      </c>
      <c r="AW99" s="30" t="s">
        <v>2129</v>
      </c>
      <c r="AX99" s="30"/>
      <c r="AY99" s="30"/>
      <c r="AZ99" s="30" t="s">
        <v>2129</v>
      </c>
      <c r="BA99" s="30" t="s">
        <v>2129</v>
      </c>
      <c r="BB99" s="30"/>
      <c r="BC99" s="30"/>
      <c r="BD99" s="30" t="s">
        <v>2129</v>
      </c>
      <c r="BE99" s="30" t="s">
        <v>2129</v>
      </c>
      <c r="BF99" s="30" t="s">
        <v>2129</v>
      </c>
      <c r="BG99" s="30" t="s">
        <v>2129</v>
      </c>
      <c r="BH99" s="30" t="s">
        <v>2129</v>
      </c>
      <c r="BI99" s="30" t="s">
        <v>2129</v>
      </c>
      <c r="BJ99" s="30" t="s">
        <v>2129</v>
      </c>
      <c r="BK99" s="30" t="s">
        <v>2129</v>
      </c>
      <c r="BL99" s="30" t="s">
        <v>2129</v>
      </c>
      <c r="BM99" s="30" t="s">
        <v>2129</v>
      </c>
      <c r="BN99" s="30" t="s">
        <v>2129</v>
      </c>
      <c r="BO99" s="30" t="s">
        <v>2129</v>
      </c>
      <c r="BP99" s="30" t="s">
        <v>2129</v>
      </c>
      <c r="BQ99" s="30" t="s">
        <v>2129</v>
      </c>
      <c r="BR99" s="30" t="s">
        <v>2129</v>
      </c>
      <c r="BS99" s="30" t="s">
        <v>2129</v>
      </c>
      <c r="BT99" s="30" t="s">
        <v>2129</v>
      </c>
      <c r="BU99" s="30" t="s">
        <v>2129</v>
      </c>
      <c r="BV99" s="30" t="s">
        <v>2129</v>
      </c>
      <c r="BW99" s="30" t="s">
        <v>2129</v>
      </c>
      <c r="BX99" s="30" t="s">
        <v>3500</v>
      </c>
      <c r="BY99" s="30" t="s">
        <v>2129</v>
      </c>
      <c r="BZ99" s="30" t="s">
        <v>2129</v>
      </c>
      <c r="CA99" s="30" t="s">
        <v>2129</v>
      </c>
      <c r="CB99" s="30" t="s">
        <v>2129</v>
      </c>
      <c r="CC99" s="30" t="s">
        <v>2129</v>
      </c>
      <c r="CD99" s="30" t="s">
        <v>2129</v>
      </c>
      <c r="CE99" s="30" t="s">
        <v>3510</v>
      </c>
      <c r="CF99" s="30" t="s">
        <v>2129</v>
      </c>
      <c r="CG99" s="30" t="s">
        <v>2129</v>
      </c>
      <c r="CH99" s="30" t="s">
        <v>2129</v>
      </c>
      <c r="CI99" s="30" t="s">
        <v>2129</v>
      </c>
      <c r="CJ99" s="30" t="s">
        <v>2129</v>
      </c>
      <c r="CK99" s="30" t="s">
        <v>2129</v>
      </c>
      <c r="CL99" s="30" t="s">
        <v>2129</v>
      </c>
      <c r="CM99" s="30" t="s">
        <v>2129</v>
      </c>
      <c r="CN99" s="30" t="s">
        <v>2129</v>
      </c>
      <c r="CO99" s="30" t="s">
        <v>2129</v>
      </c>
      <c r="CP99" s="30" t="s">
        <v>2129</v>
      </c>
      <c r="CQ99" s="30" t="s">
        <v>2129</v>
      </c>
      <c r="CR99" s="30" t="s">
        <v>2129</v>
      </c>
      <c r="CS99" s="30"/>
      <c r="CT99" s="30" t="s">
        <v>2129</v>
      </c>
      <c r="CU99" s="30" t="s">
        <v>2129</v>
      </c>
      <c r="CV99" s="30" t="s">
        <v>3506</v>
      </c>
      <c r="CW99" s="30" t="s">
        <v>2129</v>
      </c>
      <c r="CX99" s="30" t="s">
        <v>2129</v>
      </c>
      <c r="CY99" s="30" t="s">
        <v>2129</v>
      </c>
      <c r="CZ99" s="30" t="s">
        <v>2129</v>
      </c>
      <c r="DA99" s="30" t="s">
        <v>2129</v>
      </c>
      <c r="DB99" s="30" t="s">
        <v>2129</v>
      </c>
      <c r="DC99" s="30" t="s">
        <v>2129</v>
      </c>
      <c r="DD99" s="30" t="s">
        <v>2129</v>
      </c>
      <c r="DE99" s="30" t="s">
        <v>2129</v>
      </c>
      <c r="DF99" s="30" t="s">
        <v>2129</v>
      </c>
      <c r="DG99" s="30" t="s">
        <v>2129</v>
      </c>
      <c r="DH99" s="30" t="s">
        <v>2129</v>
      </c>
      <c r="DI99" s="30" t="s">
        <v>2129</v>
      </c>
      <c r="DJ99" s="30" t="s">
        <v>2129</v>
      </c>
      <c r="DK99" s="30" t="s">
        <v>2129</v>
      </c>
      <c r="DL99" s="30" t="s">
        <v>2129</v>
      </c>
      <c r="DM99" s="30" t="s">
        <v>2129</v>
      </c>
      <c r="DN99" s="30" t="s">
        <v>2129</v>
      </c>
      <c r="DO99" s="30" t="s">
        <v>2129</v>
      </c>
      <c r="DP99" s="30" t="s">
        <v>2129</v>
      </c>
      <c r="DQ99" s="43" t="s">
        <v>2129</v>
      </c>
    </row>
    <row r="100" spans="1:121" x14ac:dyDescent="0.25">
      <c r="A100" s="39" t="s">
        <v>3511</v>
      </c>
      <c r="B100" s="29" t="s">
        <v>3512</v>
      </c>
      <c r="C100" s="29">
        <v>23082</v>
      </c>
      <c r="D100" s="29"/>
      <c r="E100" s="29" t="s">
        <v>14</v>
      </c>
      <c r="F100" s="29" t="s">
        <v>10</v>
      </c>
      <c r="G100" s="29" t="s">
        <v>3498</v>
      </c>
      <c r="H100" s="29" t="s">
        <v>991</v>
      </c>
      <c r="I100" s="29" t="s">
        <v>2127</v>
      </c>
      <c r="J100" s="29" t="s">
        <v>2152</v>
      </c>
      <c r="K100" s="29" t="s">
        <v>2129</v>
      </c>
      <c r="L100" s="29" t="s">
        <v>2129</v>
      </c>
      <c r="M100" s="29" t="s">
        <v>2130</v>
      </c>
      <c r="N100" s="29" t="s">
        <v>2129</v>
      </c>
      <c r="O100" s="29" t="s">
        <v>2129</v>
      </c>
      <c r="P100" s="29" t="s">
        <v>2145</v>
      </c>
      <c r="Q100" s="29" t="s">
        <v>2145</v>
      </c>
      <c r="R100" s="45">
        <v>46084.367361111108</v>
      </c>
      <c r="S100" s="45">
        <v>46084.394444444442</v>
      </c>
      <c r="T100" s="45">
        <v>46087.717361111114</v>
      </c>
      <c r="U100" s="45"/>
      <c r="V100" s="29" t="s">
        <v>2129</v>
      </c>
      <c r="W100" s="29" t="s">
        <v>2129</v>
      </c>
      <c r="X100" s="29" t="s">
        <v>2129</v>
      </c>
      <c r="Y100" s="29">
        <v>0</v>
      </c>
      <c r="Z100" s="29" t="s">
        <v>2129</v>
      </c>
      <c r="AA100" s="29" t="s">
        <v>2129</v>
      </c>
      <c r="AB100" s="29" t="s">
        <v>3513</v>
      </c>
      <c r="AC100" s="29" t="s">
        <v>2129</v>
      </c>
      <c r="AD100" s="29" t="s">
        <v>2145</v>
      </c>
      <c r="AE100" s="29" t="s">
        <v>2129</v>
      </c>
      <c r="AF100" s="29" t="s">
        <v>2129</v>
      </c>
      <c r="AG100" s="29" t="s">
        <v>2129</v>
      </c>
      <c r="AH100" s="29" t="s">
        <v>2129</v>
      </c>
      <c r="AI100" s="29" t="s">
        <v>2129</v>
      </c>
      <c r="AJ100" s="29" t="s">
        <v>2129</v>
      </c>
      <c r="AK100" s="29" t="s">
        <v>2129</v>
      </c>
      <c r="AL100" s="29" t="s">
        <v>2129</v>
      </c>
      <c r="AM100" s="29" t="s">
        <v>2129</v>
      </c>
      <c r="AN100" s="29" t="s">
        <v>2129</v>
      </c>
      <c r="AO100" s="29" t="s">
        <v>2129</v>
      </c>
      <c r="AP100" s="29" t="s">
        <v>2129</v>
      </c>
      <c r="AQ100" s="29" t="s">
        <v>2129</v>
      </c>
      <c r="AR100" s="29" t="s">
        <v>2129</v>
      </c>
      <c r="AS100" s="29" t="s">
        <v>2129</v>
      </c>
      <c r="AT100" s="29" t="s">
        <v>2129</v>
      </c>
      <c r="AU100" s="29" t="s">
        <v>2129</v>
      </c>
      <c r="AV100" s="29" t="s">
        <v>2129</v>
      </c>
      <c r="AW100" s="29" t="s">
        <v>2129</v>
      </c>
      <c r="AX100" s="29"/>
      <c r="AY100" s="29"/>
      <c r="AZ100" s="29" t="s">
        <v>2129</v>
      </c>
      <c r="BA100" s="29" t="s">
        <v>2129</v>
      </c>
      <c r="BB100" s="29"/>
      <c r="BC100" s="29"/>
      <c r="BD100" s="29" t="s">
        <v>2129</v>
      </c>
      <c r="BE100" s="29" t="s">
        <v>2129</v>
      </c>
      <c r="BF100" s="29" t="s">
        <v>2129</v>
      </c>
      <c r="BG100" s="29" t="s">
        <v>2129</v>
      </c>
      <c r="BH100" s="29" t="s">
        <v>2129</v>
      </c>
      <c r="BI100" s="29" t="s">
        <v>2129</v>
      </c>
      <c r="BJ100" s="29" t="s">
        <v>2129</v>
      </c>
      <c r="BK100" s="29" t="s">
        <v>2129</v>
      </c>
      <c r="BL100" s="29" t="s">
        <v>2129</v>
      </c>
      <c r="BM100" s="29" t="s">
        <v>2129</v>
      </c>
      <c r="BN100" s="29" t="s">
        <v>2129</v>
      </c>
      <c r="BO100" s="29" t="s">
        <v>2129</v>
      </c>
      <c r="BP100" s="29" t="s">
        <v>2129</v>
      </c>
      <c r="BQ100" s="29" t="s">
        <v>2129</v>
      </c>
      <c r="BR100" s="29" t="s">
        <v>2129</v>
      </c>
      <c r="BS100" s="29" t="s">
        <v>2129</v>
      </c>
      <c r="BT100" s="29" t="s">
        <v>2129</v>
      </c>
      <c r="BU100" s="29" t="s">
        <v>2129</v>
      </c>
      <c r="BV100" s="29" t="s">
        <v>2129</v>
      </c>
      <c r="BW100" s="29" t="s">
        <v>2129</v>
      </c>
      <c r="BX100" s="29" t="s">
        <v>3500</v>
      </c>
      <c r="BY100" s="29" t="s">
        <v>2129</v>
      </c>
      <c r="BZ100" s="29" t="s">
        <v>2129</v>
      </c>
      <c r="CA100" s="29" t="s">
        <v>2129</v>
      </c>
      <c r="CB100" s="29" t="s">
        <v>2129</v>
      </c>
      <c r="CC100" s="29" t="s">
        <v>2129</v>
      </c>
      <c r="CD100" s="29" t="s">
        <v>2129</v>
      </c>
      <c r="CE100" s="29" t="s">
        <v>3514</v>
      </c>
      <c r="CF100" s="29" t="s">
        <v>2129</v>
      </c>
      <c r="CG100" s="29" t="s">
        <v>2129</v>
      </c>
      <c r="CH100" s="29" t="s">
        <v>2129</v>
      </c>
      <c r="CI100" s="29" t="s">
        <v>2129</v>
      </c>
      <c r="CJ100" s="29" t="s">
        <v>2129</v>
      </c>
      <c r="CK100" s="29" t="s">
        <v>2129</v>
      </c>
      <c r="CL100" s="29" t="s">
        <v>2129</v>
      </c>
      <c r="CM100" s="29" t="s">
        <v>2129</v>
      </c>
      <c r="CN100" s="29" t="s">
        <v>2129</v>
      </c>
      <c r="CO100" s="29" t="s">
        <v>2129</v>
      </c>
      <c r="CP100" s="29" t="s">
        <v>2129</v>
      </c>
      <c r="CQ100" s="29" t="s">
        <v>2129</v>
      </c>
      <c r="CR100" s="29" t="s">
        <v>2129</v>
      </c>
      <c r="CS100" s="29"/>
      <c r="CT100" s="29" t="s">
        <v>2129</v>
      </c>
      <c r="CU100" s="29" t="s">
        <v>2129</v>
      </c>
      <c r="CV100" s="29" t="s">
        <v>3515</v>
      </c>
      <c r="CW100" s="29" t="s">
        <v>2129</v>
      </c>
      <c r="CX100" s="29" t="s">
        <v>2129</v>
      </c>
      <c r="CY100" s="29" t="s">
        <v>2129</v>
      </c>
      <c r="CZ100" s="29" t="s">
        <v>2129</v>
      </c>
      <c r="DA100" s="29" t="s">
        <v>2129</v>
      </c>
      <c r="DB100" s="29" t="s">
        <v>2129</v>
      </c>
      <c r="DC100" s="29" t="s">
        <v>2129</v>
      </c>
      <c r="DD100" s="29" t="s">
        <v>2129</v>
      </c>
      <c r="DE100" s="29" t="s">
        <v>2129</v>
      </c>
      <c r="DF100" s="29" t="s">
        <v>2129</v>
      </c>
      <c r="DG100" s="29" t="s">
        <v>2129</v>
      </c>
      <c r="DH100" s="29" t="s">
        <v>2129</v>
      </c>
      <c r="DI100" s="29" t="s">
        <v>2129</v>
      </c>
      <c r="DJ100" s="29" t="s">
        <v>2129</v>
      </c>
      <c r="DK100" s="29" t="s">
        <v>2129</v>
      </c>
      <c r="DL100" s="29" t="s">
        <v>2129</v>
      </c>
      <c r="DM100" s="29" t="s">
        <v>2129</v>
      </c>
      <c r="DN100" s="29" t="s">
        <v>2129</v>
      </c>
      <c r="DO100" s="29" t="s">
        <v>2129</v>
      </c>
      <c r="DP100" s="29" t="s">
        <v>2129</v>
      </c>
      <c r="DQ100" s="42" t="s">
        <v>2129</v>
      </c>
    </row>
    <row r="101" spans="1:121" x14ac:dyDescent="0.25">
      <c r="A101" s="36" t="s">
        <v>3516</v>
      </c>
      <c r="B101" s="30" t="s">
        <v>3517</v>
      </c>
      <c r="C101" s="30">
        <v>23081</v>
      </c>
      <c r="D101" s="30"/>
      <c r="E101" s="30" t="s">
        <v>14</v>
      </c>
      <c r="F101" s="30" t="s">
        <v>10</v>
      </c>
      <c r="G101" s="30" t="s">
        <v>3498</v>
      </c>
      <c r="H101" s="30" t="s">
        <v>991</v>
      </c>
      <c r="I101" s="30" t="s">
        <v>2127</v>
      </c>
      <c r="J101" s="30" t="s">
        <v>2152</v>
      </c>
      <c r="K101" s="30" t="s">
        <v>2129</v>
      </c>
      <c r="L101" s="30" t="s">
        <v>2129</v>
      </c>
      <c r="M101" s="30" t="s">
        <v>2130</v>
      </c>
      <c r="N101" s="30" t="s">
        <v>2129</v>
      </c>
      <c r="O101" s="30" t="s">
        <v>2129</v>
      </c>
      <c r="P101" s="30" t="s">
        <v>2145</v>
      </c>
      <c r="Q101" s="30" t="s">
        <v>2145</v>
      </c>
      <c r="R101" s="46">
        <v>46084.354861111111</v>
      </c>
      <c r="S101" s="46">
        <v>46084.394444444442</v>
      </c>
      <c r="T101" s="46">
        <v>46087.717361111114</v>
      </c>
      <c r="U101" s="46"/>
      <c r="V101" s="30" t="s">
        <v>2129</v>
      </c>
      <c r="W101" s="30" t="s">
        <v>2129</v>
      </c>
      <c r="X101" s="30" t="s">
        <v>2129</v>
      </c>
      <c r="Y101" s="30">
        <v>0</v>
      </c>
      <c r="Z101" s="30" t="s">
        <v>2129</v>
      </c>
      <c r="AA101" s="30" t="s">
        <v>2129</v>
      </c>
      <c r="AB101" s="30" t="s">
        <v>3518</v>
      </c>
      <c r="AC101" s="30" t="s">
        <v>2129</v>
      </c>
      <c r="AD101" s="30" t="s">
        <v>2145</v>
      </c>
      <c r="AE101" s="30" t="s">
        <v>2129</v>
      </c>
      <c r="AF101" s="30" t="s">
        <v>2129</v>
      </c>
      <c r="AG101" s="30" t="s">
        <v>2129</v>
      </c>
      <c r="AH101" s="30" t="s">
        <v>2129</v>
      </c>
      <c r="AI101" s="30" t="s">
        <v>2129</v>
      </c>
      <c r="AJ101" s="30" t="s">
        <v>2129</v>
      </c>
      <c r="AK101" s="30" t="s">
        <v>2129</v>
      </c>
      <c r="AL101" s="30" t="s">
        <v>2129</v>
      </c>
      <c r="AM101" s="30" t="s">
        <v>2129</v>
      </c>
      <c r="AN101" s="30" t="s">
        <v>2129</v>
      </c>
      <c r="AO101" s="30" t="s">
        <v>2129</v>
      </c>
      <c r="AP101" s="30" t="s">
        <v>2129</v>
      </c>
      <c r="AQ101" s="30" t="s">
        <v>2129</v>
      </c>
      <c r="AR101" s="30" t="s">
        <v>2129</v>
      </c>
      <c r="AS101" s="30" t="s">
        <v>2129</v>
      </c>
      <c r="AT101" s="30" t="s">
        <v>2129</v>
      </c>
      <c r="AU101" s="30" t="s">
        <v>2129</v>
      </c>
      <c r="AV101" s="30" t="s">
        <v>2129</v>
      </c>
      <c r="AW101" s="30" t="s">
        <v>2129</v>
      </c>
      <c r="AX101" s="30"/>
      <c r="AY101" s="30"/>
      <c r="AZ101" s="30" t="s">
        <v>2129</v>
      </c>
      <c r="BA101" s="30" t="s">
        <v>2129</v>
      </c>
      <c r="BB101" s="30"/>
      <c r="BC101" s="30"/>
      <c r="BD101" s="30" t="s">
        <v>2129</v>
      </c>
      <c r="BE101" s="30" t="s">
        <v>2129</v>
      </c>
      <c r="BF101" s="30" t="s">
        <v>2129</v>
      </c>
      <c r="BG101" s="30" t="s">
        <v>2129</v>
      </c>
      <c r="BH101" s="30" t="s">
        <v>2129</v>
      </c>
      <c r="BI101" s="30" t="s">
        <v>2129</v>
      </c>
      <c r="BJ101" s="30" t="s">
        <v>2129</v>
      </c>
      <c r="BK101" s="30" t="s">
        <v>2129</v>
      </c>
      <c r="BL101" s="30" t="s">
        <v>2129</v>
      </c>
      <c r="BM101" s="30" t="s">
        <v>2129</v>
      </c>
      <c r="BN101" s="30" t="s">
        <v>2129</v>
      </c>
      <c r="BO101" s="30" t="s">
        <v>2129</v>
      </c>
      <c r="BP101" s="30" t="s">
        <v>2129</v>
      </c>
      <c r="BQ101" s="30" t="s">
        <v>2129</v>
      </c>
      <c r="BR101" s="30" t="s">
        <v>2129</v>
      </c>
      <c r="BS101" s="30" t="s">
        <v>2129</v>
      </c>
      <c r="BT101" s="30" t="s">
        <v>2129</v>
      </c>
      <c r="BU101" s="30" t="s">
        <v>2129</v>
      </c>
      <c r="BV101" s="30" t="s">
        <v>2129</v>
      </c>
      <c r="BW101" s="30" t="s">
        <v>2129</v>
      </c>
      <c r="BX101" s="30" t="s">
        <v>3500</v>
      </c>
      <c r="BY101" s="30" t="s">
        <v>2129</v>
      </c>
      <c r="BZ101" s="30" t="s">
        <v>2129</v>
      </c>
      <c r="CA101" s="30" t="s">
        <v>2129</v>
      </c>
      <c r="CB101" s="30" t="s">
        <v>2129</v>
      </c>
      <c r="CC101" s="30" t="s">
        <v>2129</v>
      </c>
      <c r="CD101" s="30" t="s">
        <v>2129</v>
      </c>
      <c r="CE101" s="30" t="s">
        <v>3519</v>
      </c>
      <c r="CF101" s="30" t="s">
        <v>2129</v>
      </c>
      <c r="CG101" s="30" t="s">
        <v>2129</v>
      </c>
      <c r="CH101" s="30" t="s">
        <v>2129</v>
      </c>
      <c r="CI101" s="30" t="s">
        <v>2129</v>
      </c>
      <c r="CJ101" s="30" t="s">
        <v>2129</v>
      </c>
      <c r="CK101" s="30" t="s">
        <v>2129</v>
      </c>
      <c r="CL101" s="30" t="s">
        <v>2129</v>
      </c>
      <c r="CM101" s="30" t="s">
        <v>2129</v>
      </c>
      <c r="CN101" s="30" t="s">
        <v>2129</v>
      </c>
      <c r="CO101" s="30" t="s">
        <v>2129</v>
      </c>
      <c r="CP101" s="30" t="s">
        <v>2129</v>
      </c>
      <c r="CQ101" s="30" t="s">
        <v>2129</v>
      </c>
      <c r="CR101" s="30" t="s">
        <v>2129</v>
      </c>
      <c r="CS101" s="30"/>
      <c r="CT101" s="30" t="s">
        <v>2129</v>
      </c>
      <c r="CU101" s="30" t="s">
        <v>2129</v>
      </c>
      <c r="CV101" s="30" t="s">
        <v>3520</v>
      </c>
      <c r="CW101" s="30" t="s">
        <v>2129</v>
      </c>
      <c r="CX101" s="30" t="s">
        <v>2129</v>
      </c>
      <c r="CY101" s="30" t="s">
        <v>2129</v>
      </c>
      <c r="CZ101" s="30" t="s">
        <v>2129</v>
      </c>
      <c r="DA101" s="30" t="s">
        <v>2129</v>
      </c>
      <c r="DB101" s="30" t="s">
        <v>2129</v>
      </c>
      <c r="DC101" s="30" t="s">
        <v>2129</v>
      </c>
      <c r="DD101" s="30" t="s">
        <v>2129</v>
      </c>
      <c r="DE101" s="30" t="s">
        <v>2129</v>
      </c>
      <c r="DF101" s="30" t="s">
        <v>2129</v>
      </c>
      <c r="DG101" s="30" t="s">
        <v>2129</v>
      </c>
      <c r="DH101" s="30" t="s">
        <v>2129</v>
      </c>
      <c r="DI101" s="30" t="s">
        <v>2129</v>
      </c>
      <c r="DJ101" s="30" t="s">
        <v>2129</v>
      </c>
      <c r="DK101" s="30" t="s">
        <v>2129</v>
      </c>
      <c r="DL101" s="30" t="s">
        <v>2129</v>
      </c>
      <c r="DM101" s="30" t="s">
        <v>2129</v>
      </c>
      <c r="DN101" s="30" t="s">
        <v>2129</v>
      </c>
      <c r="DO101" s="30" t="s">
        <v>2129</v>
      </c>
      <c r="DP101" s="30" t="s">
        <v>2129</v>
      </c>
      <c r="DQ101" s="43" t="s">
        <v>2129</v>
      </c>
    </row>
    <row r="102" spans="1:121" x14ac:dyDescent="0.25">
      <c r="A102" s="39" t="s">
        <v>3521</v>
      </c>
      <c r="B102" s="29" t="s">
        <v>3522</v>
      </c>
      <c r="C102" s="29">
        <v>23080</v>
      </c>
      <c r="D102" s="29"/>
      <c r="E102" s="29" t="s">
        <v>14</v>
      </c>
      <c r="F102" s="29" t="s">
        <v>10</v>
      </c>
      <c r="G102" s="29" t="s">
        <v>3498</v>
      </c>
      <c r="H102" s="29" t="s">
        <v>991</v>
      </c>
      <c r="I102" s="29" t="s">
        <v>2127</v>
      </c>
      <c r="J102" s="29" t="s">
        <v>2152</v>
      </c>
      <c r="K102" s="29" t="s">
        <v>2129</v>
      </c>
      <c r="L102" s="29" t="s">
        <v>2129</v>
      </c>
      <c r="M102" s="29" t="s">
        <v>2130</v>
      </c>
      <c r="N102" s="29" t="s">
        <v>2129</v>
      </c>
      <c r="O102" s="29" t="s">
        <v>2129</v>
      </c>
      <c r="P102" s="29" t="s">
        <v>2145</v>
      </c>
      <c r="Q102" s="29" t="s">
        <v>2145</v>
      </c>
      <c r="R102" s="45">
        <v>46083.715277777781</v>
      </c>
      <c r="S102" s="45">
        <v>46084.387499999997</v>
      </c>
      <c r="T102" s="45">
        <v>46087.717361111114</v>
      </c>
      <c r="U102" s="45"/>
      <c r="V102" s="29" t="s">
        <v>2129</v>
      </c>
      <c r="W102" s="29" t="s">
        <v>2129</v>
      </c>
      <c r="X102" s="29" t="s">
        <v>2129</v>
      </c>
      <c r="Y102" s="29">
        <v>0</v>
      </c>
      <c r="Z102" s="29" t="s">
        <v>2129</v>
      </c>
      <c r="AA102" s="29" t="s">
        <v>2129</v>
      </c>
      <c r="AB102" s="29" t="s">
        <v>3523</v>
      </c>
      <c r="AC102" s="29" t="s">
        <v>2129</v>
      </c>
      <c r="AD102" s="29" t="s">
        <v>2145</v>
      </c>
      <c r="AE102" s="29" t="s">
        <v>2129</v>
      </c>
      <c r="AF102" s="29" t="s">
        <v>2129</v>
      </c>
      <c r="AG102" s="29" t="s">
        <v>2129</v>
      </c>
      <c r="AH102" s="29" t="s">
        <v>2129</v>
      </c>
      <c r="AI102" s="29" t="s">
        <v>2129</v>
      </c>
      <c r="AJ102" s="29" t="s">
        <v>2129</v>
      </c>
      <c r="AK102" s="29" t="s">
        <v>2129</v>
      </c>
      <c r="AL102" s="29" t="s">
        <v>2129</v>
      </c>
      <c r="AM102" s="29" t="s">
        <v>2129</v>
      </c>
      <c r="AN102" s="29" t="s">
        <v>2129</v>
      </c>
      <c r="AO102" s="29" t="s">
        <v>2129</v>
      </c>
      <c r="AP102" s="29" t="s">
        <v>2129</v>
      </c>
      <c r="AQ102" s="29" t="s">
        <v>2129</v>
      </c>
      <c r="AR102" s="29" t="s">
        <v>2129</v>
      </c>
      <c r="AS102" s="29" t="s">
        <v>2129</v>
      </c>
      <c r="AT102" s="29" t="s">
        <v>2129</v>
      </c>
      <c r="AU102" s="29" t="s">
        <v>2129</v>
      </c>
      <c r="AV102" s="29" t="s">
        <v>2129</v>
      </c>
      <c r="AW102" s="29" t="s">
        <v>2129</v>
      </c>
      <c r="AX102" s="29"/>
      <c r="AY102" s="29"/>
      <c r="AZ102" s="29" t="s">
        <v>2129</v>
      </c>
      <c r="BA102" s="29" t="s">
        <v>2129</v>
      </c>
      <c r="BB102" s="29"/>
      <c r="BC102" s="29"/>
      <c r="BD102" s="29" t="s">
        <v>2129</v>
      </c>
      <c r="BE102" s="29" t="s">
        <v>2129</v>
      </c>
      <c r="BF102" s="29" t="s">
        <v>2129</v>
      </c>
      <c r="BG102" s="29" t="s">
        <v>2129</v>
      </c>
      <c r="BH102" s="29" t="s">
        <v>2129</v>
      </c>
      <c r="BI102" s="29" t="s">
        <v>2129</v>
      </c>
      <c r="BJ102" s="29" t="s">
        <v>2129</v>
      </c>
      <c r="BK102" s="29" t="s">
        <v>2129</v>
      </c>
      <c r="BL102" s="29" t="s">
        <v>2129</v>
      </c>
      <c r="BM102" s="29" t="s">
        <v>2129</v>
      </c>
      <c r="BN102" s="29" t="s">
        <v>2129</v>
      </c>
      <c r="BO102" s="29" t="s">
        <v>2129</v>
      </c>
      <c r="BP102" s="29" t="s">
        <v>2129</v>
      </c>
      <c r="BQ102" s="29" t="s">
        <v>2129</v>
      </c>
      <c r="BR102" s="29" t="s">
        <v>2129</v>
      </c>
      <c r="BS102" s="29" t="s">
        <v>2129</v>
      </c>
      <c r="BT102" s="29" t="s">
        <v>2129</v>
      </c>
      <c r="BU102" s="29" t="s">
        <v>2129</v>
      </c>
      <c r="BV102" s="29" t="s">
        <v>2129</v>
      </c>
      <c r="BW102" s="29" t="s">
        <v>2129</v>
      </c>
      <c r="BX102" s="29" t="s">
        <v>3500</v>
      </c>
      <c r="BY102" s="29" t="s">
        <v>2129</v>
      </c>
      <c r="BZ102" s="29" t="s">
        <v>2129</v>
      </c>
      <c r="CA102" s="29" t="s">
        <v>2129</v>
      </c>
      <c r="CB102" s="29" t="s">
        <v>2129</v>
      </c>
      <c r="CC102" s="29" t="s">
        <v>2129</v>
      </c>
      <c r="CD102" s="29" t="s">
        <v>2129</v>
      </c>
      <c r="CE102" s="29" t="s">
        <v>3524</v>
      </c>
      <c r="CF102" s="29" t="s">
        <v>2129</v>
      </c>
      <c r="CG102" s="29" t="s">
        <v>2129</v>
      </c>
      <c r="CH102" s="29" t="s">
        <v>2129</v>
      </c>
      <c r="CI102" s="29" t="s">
        <v>2129</v>
      </c>
      <c r="CJ102" s="29" t="s">
        <v>2129</v>
      </c>
      <c r="CK102" s="29" t="s">
        <v>2129</v>
      </c>
      <c r="CL102" s="29" t="s">
        <v>2129</v>
      </c>
      <c r="CM102" s="29" t="s">
        <v>2129</v>
      </c>
      <c r="CN102" s="29" t="s">
        <v>2129</v>
      </c>
      <c r="CO102" s="29" t="s">
        <v>2129</v>
      </c>
      <c r="CP102" s="29" t="s">
        <v>2129</v>
      </c>
      <c r="CQ102" s="29" t="s">
        <v>2129</v>
      </c>
      <c r="CR102" s="29" t="s">
        <v>2129</v>
      </c>
      <c r="CS102" s="29"/>
      <c r="CT102" s="29" t="s">
        <v>2129</v>
      </c>
      <c r="CU102" s="29" t="s">
        <v>2129</v>
      </c>
      <c r="CV102" s="29" t="s">
        <v>3525</v>
      </c>
      <c r="CW102" s="29" t="s">
        <v>2129</v>
      </c>
      <c r="CX102" s="29" t="s">
        <v>2129</v>
      </c>
      <c r="CY102" s="29" t="s">
        <v>2129</v>
      </c>
      <c r="CZ102" s="29" t="s">
        <v>2129</v>
      </c>
      <c r="DA102" s="29" t="s">
        <v>2129</v>
      </c>
      <c r="DB102" s="29" t="s">
        <v>2129</v>
      </c>
      <c r="DC102" s="29" t="s">
        <v>2129</v>
      </c>
      <c r="DD102" s="29" t="s">
        <v>2129</v>
      </c>
      <c r="DE102" s="29" t="s">
        <v>2129</v>
      </c>
      <c r="DF102" s="29" t="s">
        <v>2129</v>
      </c>
      <c r="DG102" s="29" t="s">
        <v>2129</v>
      </c>
      <c r="DH102" s="29" t="s">
        <v>2129</v>
      </c>
      <c r="DI102" s="29" t="s">
        <v>2129</v>
      </c>
      <c r="DJ102" s="29" t="s">
        <v>2129</v>
      </c>
      <c r="DK102" s="29" t="s">
        <v>2129</v>
      </c>
      <c r="DL102" s="29" t="s">
        <v>2129</v>
      </c>
      <c r="DM102" s="29" t="s">
        <v>2129</v>
      </c>
      <c r="DN102" s="29" t="s">
        <v>2129</v>
      </c>
      <c r="DO102" s="29" t="s">
        <v>2129</v>
      </c>
      <c r="DP102" s="29" t="s">
        <v>2129</v>
      </c>
      <c r="DQ102" s="42" t="s">
        <v>2129</v>
      </c>
    </row>
    <row r="103" spans="1:121" x14ac:dyDescent="0.25">
      <c r="A103" s="36" t="s">
        <v>3526</v>
      </c>
      <c r="B103" s="30" t="s">
        <v>3527</v>
      </c>
      <c r="C103" s="30">
        <v>23063</v>
      </c>
      <c r="D103" s="30"/>
      <c r="E103" s="30" t="s">
        <v>14</v>
      </c>
      <c r="F103" s="30" t="s">
        <v>10</v>
      </c>
      <c r="G103" s="30" t="s">
        <v>3498</v>
      </c>
      <c r="H103" s="30" t="s">
        <v>991</v>
      </c>
      <c r="I103" s="30" t="s">
        <v>2127</v>
      </c>
      <c r="J103" s="30" t="s">
        <v>2152</v>
      </c>
      <c r="K103" s="30" t="s">
        <v>2129</v>
      </c>
      <c r="L103" s="30" t="s">
        <v>2129</v>
      </c>
      <c r="M103" s="30" t="s">
        <v>2130</v>
      </c>
      <c r="N103" s="30" t="s">
        <v>2129</v>
      </c>
      <c r="O103" s="30" t="s">
        <v>2129</v>
      </c>
      <c r="P103" s="30" t="s">
        <v>2145</v>
      </c>
      <c r="Q103" s="30" t="s">
        <v>2145</v>
      </c>
      <c r="R103" s="46">
        <v>46080.750694444447</v>
      </c>
      <c r="S103" s="46">
        <v>46083.666666666664</v>
      </c>
      <c r="T103" s="46">
        <v>46087.717361111114</v>
      </c>
      <c r="U103" s="46"/>
      <c r="V103" s="30" t="s">
        <v>2129</v>
      </c>
      <c r="W103" s="30" t="s">
        <v>2129</v>
      </c>
      <c r="X103" s="30" t="s">
        <v>2129</v>
      </c>
      <c r="Y103" s="30">
        <v>0</v>
      </c>
      <c r="Z103" s="30" t="s">
        <v>2129</v>
      </c>
      <c r="AA103" s="30" t="s">
        <v>2129</v>
      </c>
      <c r="AB103" s="30" t="s">
        <v>3528</v>
      </c>
      <c r="AC103" s="30" t="s">
        <v>2129</v>
      </c>
      <c r="AD103" s="30" t="s">
        <v>2145</v>
      </c>
      <c r="AE103" s="30" t="s">
        <v>2129</v>
      </c>
      <c r="AF103" s="30" t="s">
        <v>2129</v>
      </c>
      <c r="AG103" s="30" t="s">
        <v>2129</v>
      </c>
      <c r="AH103" s="30" t="s">
        <v>2129</v>
      </c>
      <c r="AI103" s="30" t="s">
        <v>2129</v>
      </c>
      <c r="AJ103" s="30" t="s">
        <v>2129</v>
      </c>
      <c r="AK103" s="30" t="s">
        <v>2129</v>
      </c>
      <c r="AL103" s="30" t="s">
        <v>2129</v>
      </c>
      <c r="AM103" s="30" t="s">
        <v>2129</v>
      </c>
      <c r="AN103" s="30" t="s">
        <v>2129</v>
      </c>
      <c r="AO103" s="30" t="s">
        <v>2129</v>
      </c>
      <c r="AP103" s="30" t="s">
        <v>2129</v>
      </c>
      <c r="AQ103" s="30" t="s">
        <v>2129</v>
      </c>
      <c r="AR103" s="30" t="s">
        <v>2129</v>
      </c>
      <c r="AS103" s="30" t="s">
        <v>2129</v>
      </c>
      <c r="AT103" s="30" t="s">
        <v>2129</v>
      </c>
      <c r="AU103" s="30" t="s">
        <v>2129</v>
      </c>
      <c r="AV103" s="30" t="s">
        <v>2129</v>
      </c>
      <c r="AW103" s="30" t="s">
        <v>2129</v>
      </c>
      <c r="AX103" s="30"/>
      <c r="AY103" s="30"/>
      <c r="AZ103" s="30" t="s">
        <v>2129</v>
      </c>
      <c r="BA103" s="30" t="s">
        <v>2129</v>
      </c>
      <c r="BB103" s="30"/>
      <c r="BC103" s="30"/>
      <c r="BD103" s="30" t="s">
        <v>2129</v>
      </c>
      <c r="BE103" s="30" t="s">
        <v>2129</v>
      </c>
      <c r="BF103" s="30" t="s">
        <v>2129</v>
      </c>
      <c r="BG103" s="30" t="s">
        <v>2129</v>
      </c>
      <c r="BH103" s="30" t="s">
        <v>2129</v>
      </c>
      <c r="BI103" s="30" t="s">
        <v>2129</v>
      </c>
      <c r="BJ103" s="30" t="s">
        <v>2129</v>
      </c>
      <c r="BK103" s="30" t="s">
        <v>2129</v>
      </c>
      <c r="BL103" s="30" t="s">
        <v>2129</v>
      </c>
      <c r="BM103" s="30" t="s">
        <v>2129</v>
      </c>
      <c r="BN103" s="30" t="s">
        <v>2129</v>
      </c>
      <c r="BO103" s="30" t="s">
        <v>2129</v>
      </c>
      <c r="BP103" s="30" t="s">
        <v>2129</v>
      </c>
      <c r="BQ103" s="30" t="s">
        <v>2129</v>
      </c>
      <c r="BR103" s="30" t="s">
        <v>2129</v>
      </c>
      <c r="BS103" s="30" t="s">
        <v>2129</v>
      </c>
      <c r="BT103" s="30" t="s">
        <v>2129</v>
      </c>
      <c r="BU103" s="30" t="s">
        <v>2129</v>
      </c>
      <c r="BV103" s="30" t="s">
        <v>2129</v>
      </c>
      <c r="BW103" s="30" t="s">
        <v>2129</v>
      </c>
      <c r="BX103" s="30" t="s">
        <v>3500</v>
      </c>
      <c r="BY103" s="30" t="s">
        <v>2129</v>
      </c>
      <c r="BZ103" s="30" t="s">
        <v>2129</v>
      </c>
      <c r="CA103" s="30" t="s">
        <v>2129</v>
      </c>
      <c r="CB103" s="30" t="s">
        <v>2129</v>
      </c>
      <c r="CC103" s="30" t="s">
        <v>2129</v>
      </c>
      <c r="CD103" s="30" t="s">
        <v>2129</v>
      </c>
      <c r="CE103" s="30" t="s">
        <v>3529</v>
      </c>
      <c r="CF103" s="30" t="s">
        <v>2129</v>
      </c>
      <c r="CG103" s="30" t="s">
        <v>2129</v>
      </c>
      <c r="CH103" s="30" t="s">
        <v>2129</v>
      </c>
      <c r="CI103" s="30" t="s">
        <v>2129</v>
      </c>
      <c r="CJ103" s="30" t="s">
        <v>2129</v>
      </c>
      <c r="CK103" s="30" t="s">
        <v>2129</v>
      </c>
      <c r="CL103" s="30" t="s">
        <v>2129</v>
      </c>
      <c r="CM103" s="30" t="s">
        <v>2129</v>
      </c>
      <c r="CN103" s="30" t="s">
        <v>2129</v>
      </c>
      <c r="CO103" s="30" t="s">
        <v>2129</v>
      </c>
      <c r="CP103" s="30" t="s">
        <v>2129</v>
      </c>
      <c r="CQ103" s="30" t="s">
        <v>2129</v>
      </c>
      <c r="CR103" s="30" t="s">
        <v>2129</v>
      </c>
      <c r="CS103" s="30"/>
      <c r="CT103" s="30" t="s">
        <v>2129</v>
      </c>
      <c r="CU103" s="30" t="s">
        <v>2129</v>
      </c>
      <c r="CV103" s="30" t="s">
        <v>3530</v>
      </c>
      <c r="CW103" s="30" t="s">
        <v>2129</v>
      </c>
      <c r="CX103" s="30" t="s">
        <v>2129</v>
      </c>
      <c r="CY103" s="30" t="s">
        <v>2129</v>
      </c>
      <c r="CZ103" s="30" t="s">
        <v>2129</v>
      </c>
      <c r="DA103" s="30" t="s">
        <v>2129</v>
      </c>
      <c r="DB103" s="30" t="s">
        <v>2129</v>
      </c>
      <c r="DC103" s="30" t="s">
        <v>2129</v>
      </c>
      <c r="DD103" s="30" t="s">
        <v>2129</v>
      </c>
      <c r="DE103" s="30" t="s">
        <v>2129</v>
      </c>
      <c r="DF103" s="30" t="s">
        <v>2129</v>
      </c>
      <c r="DG103" s="30" t="s">
        <v>2129</v>
      </c>
      <c r="DH103" s="30" t="s">
        <v>2129</v>
      </c>
      <c r="DI103" s="30" t="s">
        <v>2129</v>
      </c>
      <c r="DJ103" s="30" t="s">
        <v>2129</v>
      </c>
      <c r="DK103" s="30" t="s">
        <v>2129</v>
      </c>
      <c r="DL103" s="30" t="s">
        <v>2129</v>
      </c>
      <c r="DM103" s="30" t="s">
        <v>2129</v>
      </c>
      <c r="DN103" s="30" t="s">
        <v>2129</v>
      </c>
      <c r="DO103" s="30" t="s">
        <v>2129</v>
      </c>
      <c r="DP103" s="30" t="s">
        <v>2129</v>
      </c>
      <c r="DQ103" s="43" t="s">
        <v>2129</v>
      </c>
    </row>
    <row r="104" spans="1:121" x14ac:dyDescent="0.25">
      <c r="A104" s="39" t="s">
        <v>3531</v>
      </c>
      <c r="B104" s="29" t="s">
        <v>3532</v>
      </c>
      <c r="C104" s="29">
        <v>23062</v>
      </c>
      <c r="D104" s="29"/>
      <c r="E104" s="29" t="s">
        <v>14</v>
      </c>
      <c r="F104" s="29" t="s">
        <v>10</v>
      </c>
      <c r="G104" s="29" t="s">
        <v>3498</v>
      </c>
      <c r="H104" s="29" t="s">
        <v>991</v>
      </c>
      <c r="I104" s="29" t="s">
        <v>2127</v>
      </c>
      <c r="J104" s="29" t="s">
        <v>2152</v>
      </c>
      <c r="K104" s="29" t="s">
        <v>2129</v>
      </c>
      <c r="L104" s="29" t="s">
        <v>2129</v>
      </c>
      <c r="M104" s="29" t="s">
        <v>2130</v>
      </c>
      <c r="N104" s="29" t="s">
        <v>2129</v>
      </c>
      <c r="O104" s="29" t="s">
        <v>2129</v>
      </c>
      <c r="P104" s="29" t="s">
        <v>2145</v>
      </c>
      <c r="Q104" s="29" t="s">
        <v>2145</v>
      </c>
      <c r="R104" s="45">
        <v>46080.743055555555</v>
      </c>
      <c r="S104" s="45">
        <v>46083.666666666664</v>
      </c>
      <c r="T104" s="45">
        <v>46087.717361111114</v>
      </c>
      <c r="U104" s="45"/>
      <c r="V104" s="29" t="s">
        <v>2129</v>
      </c>
      <c r="W104" s="29" t="s">
        <v>2129</v>
      </c>
      <c r="X104" s="29" t="s">
        <v>2129</v>
      </c>
      <c r="Y104" s="29">
        <v>0</v>
      </c>
      <c r="Z104" s="29" t="s">
        <v>2129</v>
      </c>
      <c r="AA104" s="29" t="s">
        <v>2129</v>
      </c>
      <c r="AB104" s="29" t="s">
        <v>3533</v>
      </c>
      <c r="AC104" s="29" t="s">
        <v>2129</v>
      </c>
      <c r="AD104" s="29" t="s">
        <v>2145</v>
      </c>
      <c r="AE104" s="29" t="s">
        <v>2129</v>
      </c>
      <c r="AF104" s="29" t="s">
        <v>2129</v>
      </c>
      <c r="AG104" s="29" t="s">
        <v>2129</v>
      </c>
      <c r="AH104" s="29" t="s">
        <v>2129</v>
      </c>
      <c r="AI104" s="29" t="s">
        <v>2129</v>
      </c>
      <c r="AJ104" s="29" t="s">
        <v>2129</v>
      </c>
      <c r="AK104" s="29" t="s">
        <v>2129</v>
      </c>
      <c r="AL104" s="29" t="s">
        <v>2129</v>
      </c>
      <c r="AM104" s="29" t="s">
        <v>2129</v>
      </c>
      <c r="AN104" s="29" t="s">
        <v>2129</v>
      </c>
      <c r="AO104" s="29" t="s">
        <v>2129</v>
      </c>
      <c r="AP104" s="29" t="s">
        <v>2129</v>
      </c>
      <c r="AQ104" s="29" t="s">
        <v>2129</v>
      </c>
      <c r="AR104" s="29" t="s">
        <v>2129</v>
      </c>
      <c r="AS104" s="29" t="s">
        <v>2129</v>
      </c>
      <c r="AT104" s="29" t="s">
        <v>2129</v>
      </c>
      <c r="AU104" s="29" t="s">
        <v>2129</v>
      </c>
      <c r="AV104" s="29" t="s">
        <v>2129</v>
      </c>
      <c r="AW104" s="29" t="s">
        <v>2129</v>
      </c>
      <c r="AX104" s="29"/>
      <c r="AY104" s="29"/>
      <c r="AZ104" s="29" t="s">
        <v>2129</v>
      </c>
      <c r="BA104" s="29" t="s">
        <v>2129</v>
      </c>
      <c r="BB104" s="29"/>
      <c r="BC104" s="29"/>
      <c r="BD104" s="29" t="s">
        <v>2129</v>
      </c>
      <c r="BE104" s="29" t="s">
        <v>2129</v>
      </c>
      <c r="BF104" s="29" t="s">
        <v>2129</v>
      </c>
      <c r="BG104" s="29" t="s">
        <v>2129</v>
      </c>
      <c r="BH104" s="29" t="s">
        <v>2129</v>
      </c>
      <c r="BI104" s="29" t="s">
        <v>2129</v>
      </c>
      <c r="BJ104" s="29" t="s">
        <v>2129</v>
      </c>
      <c r="BK104" s="29" t="s">
        <v>2129</v>
      </c>
      <c r="BL104" s="29" t="s">
        <v>2129</v>
      </c>
      <c r="BM104" s="29" t="s">
        <v>2129</v>
      </c>
      <c r="BN104" s="29" t="s">
        <v>2129</v>
      </c>
      <c r="BO104" s="29" t="s">
        <v>2129</v>
      </c>
      <c r="BP104" s="29" t="s">
        <v>2129</v>
      </c>
      <c r="BQ104" s="29" t="s">
        <v>2129</v>
      </c>
      <c r="BR104" s="29" t="s">
        <v>2129</v>
      </c>
      <c r="BS104" s="29" t="s">
        <v>2129</v>
      </c>
      <c r="BT104" s="29" t="s">
        <v>2129</v>
      </c>
      <c r="BU104" s="29" t="s">
        <v>2129</v>
      </c>
      <c r="BV104" s="29" t="s">
        <v>2129</v>
      </c>
      <c r="BW104" s="29" t="s">
        <v>2129</v>
      </c>
      <c r="BX104" s="29" t="s">
        <v>3500</v>
      </c>
      <c r="BY104" s="29" t="s">
        <v>2129</v>
      </c>
      <c r="BZ104" s="29" t="s">
        <v>2129</v>
      </c>
      <c r="CA104" s="29" t="s">
        <v>2129</v>
      </c>
      <c r="CB104" s="29" t="s">
        <v>2129</v>
      </c>
      <c r="CC104" s="29" t="s">
        <v>2129</v>
      </c>
      <c r="CD104" s="29" t="s">
        <v>2129</v>
      </c>
      <c r="CE104" s="29" t="s">
        <v>3534</v>
      </c>
      <c r="CF104" s="29" t="s">
        <v>2129</v>
      </c>
      <c r="CG104" s="29" t="s">
        <v>2129</v>
      </c>
      <c r="CH104" s="29" t="s">
        <v>2129</v>
      </c>
      <c r="CI104" s="29" t="s">
        <v>2129</v>
      </c>
      <c r="CJ104" s="29" t="s">
        <v>2129</v>
      </c>
      <c r="CK104" s="29" t="s">
        <v>2129</v>
      </c>
      <c r="CL104" s="29" t="s">
        <v>2129</v>
      </c>
      <c r="CM104" s="29" t="s">
        <v>2129</v>
      </c>
      <c r="CN104" s="29" t="s">
        <v>2129</v>
      </c>
      <c r="CO104" s="29" t="s">
        <v>2129</v>
      </c>
      <c r="CP104" s="29" t="s">
        <v>2129</v>
      </c>
      <c r="CQ104" s="29" t="s">
        <v>2129</v>
      </c>
      <c r="CR104" s="29" t="s">
        <v>2129</v>
      </c>
      <c r="CS104" s="29"/>
      <c r="CT104" s="29" t="s">
        <v>2129</v>
      </c>
      <c r="CU104" s="29" t="s">
        <v>2129</v>
      </c>
      <c r="CV104" s="29" t="s">
        <v>3535</v>
      </c>
      <c r="CW104" s="29" t="s">
        <v>2129</v>
      </c>
      <c r="CX104" s="29" t="s">
        <v>2129</v>
      </c>
      <c r="CY104" s="29" t="s">
        <v>2129</v>
      </c>
      <c r="CZ104" s="29" t="s">
        <v>2129</v>
      </c>
      <c r="DA104" s="29" t="s">
        <v>2129</v>
      </c>
      <c r="DB104" s="29" t="s">
        <v>2129</v>
      </c>
      <c r="DC104" s="29" t="s">
        <v>2129</v>
      </c>
      <c r="DD104" s="29" t="s">
        <v>2129</v>
      </c>
      <c r="DE104" s="29" t="s">
        <v>2129</v>
      </c>
      <c r="DF104" s="29" t="s">
        <v>2129</v>
      </c>
      <c r="DG104" s="29" t="s">
        <v>2129</v>
      </c>
      <c r="DH104" s="29" t="s">
        <v>2129</v>
      </c>
      <c r="DI104" s="29" t="s">
        <v>2129</v>
      </c>
      <c r="DJ104" s="29" t="s">
        <v>2129</v>
      </c>
      <c r="DK104" s="29" t="s">
        <v>2129</v>
      </c>
      <c r="DL104" s="29" t="s">
        <v>2129</v>
      </c>
      <c r="DM104" s="29" t="s">
        <v>2129</v>
      </c>
      <c r="DN104" s="29" t="s">
        <v>2129</v>
      </c>
      <c r="DO104" s="29" t="s">
        <v>2129</v>
      </c>
      <c r="DP104" s="29" t="s">
        <v>2129</v>
      </c>
      <c r="DQ104" s="42" t="s">
        <v>2129</v>
      </c>
    </row>
    <row r="105" spans="1:121" x14ac:dyDescent="0.25">
      <c r="A105" s="36" t="s">
        <v>3536</v>
      </c>
      <c r="B105" s="30" t="s">
        <v>3537</v>
      </c>
      <c r="C105" s="30">
        <v>23061</v>
      </c>
      <c r="D105" s="30"/>
      <c r="E105" s="30" t="s">
        <v>14</v>
      </c>
      <c r="F105" s="30" t="s">
        <v>10</v>
      </c>
      <c r="G105" s="30" t="s">
        <v>3498</v>
      </c>
      <c r="H105" s="30" t="s">
        <v>991</v>
      </c>
      <c r="I105" s="30" t="s">
        <v>2127</v>
      </c>
      <c r="J105" s="30" t="s">
        <v>2152</v>
      </c>
      <c r="K105" s="30" t="s">
        <v>2129</v>
      </c>
      <c r="L105" s="30" t="s">
        <v>2129</v>
      </c>
      <c r="M105" s="30" t="s">
        <v>2130</v>
      </c>
      <c r="N105" s="30" t="s">
        <v>2129</v>
      </c>
      <c r="O105" s="30" t="s">
        <v>2129</v>
      </c>
      <c r="P105" s="30" t="s">
        <v>2145</v>
      </c>
      <c r="Q105" s="30" t="s">
        <v>2145</v>
      </c>
      <c r="R105" s="46">
        <v>46080.723611111112</v>
      </c>
      <c r="S105" s="46">
        <v>46083.666666666664</v>
      </c>
      <c r="T105" s="46">
        <v>46087.717361111114</v>
      </c>
      <c r="U105" s="46"/>
      <c r="V105" s="30" t="s">
        <v>2129</v>
      </c>
      <c r="W105" s="30" t="s">
        <v>2129</v>
      </c>
      <c r="X105" s="30" t="s">
        <v>2129</v>
      </c>
      <c r="Y105" s="30">
        <v>0</v>
      </c>
      <c r="Z105" s="30" t="s">
        <v>2129</v>
      </c>
      <c r="AA105" s="30" t="s">
        <v>2129</v>
      </c>
      <c r="AB105" s="30" t="s">
        <v>3538</v>
      </c>
      <c r="AC105" s="30" t="s">
        <v>2129</v>
      </c>
      <c r="AD105" s="30" t="s">
        <v>2145</v>
      </c>
      <c r="AE105" s="30" t="s">
        <v>2129</v>
      </c>
      <c r="AF105" s="30" t="s">
        <v>2129</v>
      </c>
      <c r="AG105" s="30" t="s">
        <v>2129</v>
      </c>
      <c r="AH105" s="30" t="s">
        <v>2129</v>
      </c>
      <c r="AI105" s="30" t="s">
        <v>2129</v>
      </c>
      <c r="AJ105" s="30" t="s">
        <v>2129</v>
      </c>
      <c r="AK105" s="30" t="s">
        <v>2129</v>
      </c>
      <c r="AL105" s="30" t="s">
        <v>2129</v>
      </c>
      <c r="AM105" s="30" t="s">
        <v>2129</v>
      </c>
      <c r="AN105" s="30" t="s">
        <v>2129</v>
      </c>
      <c r="AO105" s="30" t="s">
        <v>2129</v>
      </c>
      <c r="AP105" s="30" t="s">
        <v>2129</v>
      </c>
      <c r="AQ105" s="30" t="s">
        <v>2129</v>
      </c>
      <c r="AR105" s="30" t="s">
        <v>2129</v>
      </c>
      <c r="AS105" s="30" t="s">
        <v>2129</v>
      </c>
      <c r="AT105" s="30" t="s">
        <v>2129</v>
      </c>
      <c r="AU105" s="30" t="s">
        <v>2129</v>
      </c>
      <c r="AV105" s="30" t="s">
        <v>2129</v>
      </c>
      <c r="AW105" s="30" t="s">
        <v>2129</v>
      </c>
      <c r="AX105" s="30"/>
      <c r="AY105" s="30"/>
      <c r="AZ105" s="30" t="s">
        <v>2129</v>
      </c>
      <c r="BA105" s="30" t="s">
        <v>2129</v>
      </c>
      <c r="BB105" s="30"/>
      <c r="BC105" s="30"/>
      <c r="BD105" s="30" t="s">
        <v>2129</v>
      </c>
      <c r="BE105" s="30" t="s">
        <v>2129</v>
      </c>
      <c r="BF105" s="30" t="s">
        <v>2129</v>
      </c>
      <c r="BG105" s="30" t="s">
        <v>2129</v>
      </c>
      <c r="BH105" s="30" t="s">
        <v>2129</v>
      </c>
      <c r="BI105" s="30" t="s">
        <v>2129</v>
      </c>
      <c r="BJ105" s="30" t="s">
        <v>2129</v>
      </c>
      <c r="BK105" s="30" t="s">
        <v>2129</v>
      </c>
      <c r="BL105" s="30" t="s">
        <v>2129</v>
      </c>
      <c r="BM105" s="30" t="s">
        <v>2129</v>
      </c>
      <c r="BN105" s="30" t="s">
        <v>2129</v>
      </c>
      <c r="BO105" s="30" t="s">
        <v>2129</v>
      </c>
      <c r="BP105" s="30" t="s">
        <v>2129</v>
      </c>
      <c r="BQ105" s="30" t="s">
        <v>2129</v>
      </c>
      <c r="BR105" s="30" t="s">
        <v>2129</v>
      </c>
      <c r="BS105" s="30" t="s">
        <v>2129</v>
      </c>
      <c r="BT105" s="30" t="s">
        <v>2129</v>
      </c>
      <c r="BU105" s="30" t="s">
        <v>2129</v>
      </c>
      <c r="BV105" s="30" t="s">
        <v>2129</v>
      </c>
      <c r="BW105" s="30" t="s">
        <v>2129</v>
      </c>
      <c r="BX105" s="30" t="s">
        <v>3500</v>
      </c>
      <c r="BY105" s="30" t="s">
        <v>2129</v>
      </c>
      <c r="BZ105" s="30" t="s">
        <v>2129</v>
      </c>
      <c r="CA105" s="30" t="s">
        <v>2129</v>
      </c>
      <c r="CB105" s="30" t="s">
        <v>2129</v>
      </c>
      <c r="CC105" s="30" t="s">
        <v>2129</v>
      </c>
      <c r="CD105" s="30" t="s">
        <v>2129</v>
      </c>
      <c r="CE105" s="30" t="s">
        <v>3539</v>
      </c>
      <c r="CF105" s="30" t="s">
        <v>2129</v>
      </c>
      <c r="CG105" s="30" t="s">
        <v>2129</v>
      </c>
      <c r="CH105" s="30" t="s">
        <v>2129</v>
      </c>
      <c r="CI105" s="30" t="s">
        <v>2129</v>
      </c>
      <c r="CJ105" s="30" t="s">
        <v>2129</v>
      </c>
      <c r="CK105" s="30" t="s">
        <v>2129</v>
      </c>
      <c r="CL105" s="30" t="s">
        <v>2129</v>
      </c>
      <c r="CM105" s="30" t="s">
        <v>2129</v>
      </c>
      <c r="CN105" s="30" t="s">
        <v>2129</v>
      </c>
      <c r="CO105" s="30" t="s">
        <v>2129</v>
      </c>
      <c r="CP105" s="30" t="s">
        <v>2129</v>
      </c>
      <c r="CQ105" s="30" t="s">
        <v>2129</v>
      </c>
      <c r="CR105" s="30" t="s">
        <v>2129</v>
      </c>
      <c r="CS105" s="30"/>
      <c r="CT105" s="30" t="s">
        <v>2129</v>
      </c>
      <c r="CU105" s="30" t="s">
        <v>2129</v>
      </c>
      <c r="CV105" s="30" t="s">
        <v>3540</v>
      </c>
      <c r="CW105" s="30" t="s">
        <v>2129</v>
      </c>
      <c r="CX105" s="30" t="s">
        <v>2129</v>
      </c>
      <c r="CY105" s="30" t="s">
        <v>2129</v>
      </c>
      <c r="CZ105" s="30" t="s">
        <v>2129</v>
      </c>
      <c r="DA105" s="30" t="s">
        <v>2129</v>
      </c>
      <c r="DB105" s="30" t="s">
        <v>2129</v>
      </c>
      <c r="DC105" s="30" t="s">
        <v>2129</v>
      </c>
      <c r="DD105" s="30" t="s">
        <v>2129</v>
      </c>
      <c r="DE105" s="30" t="s">
        <v>2129</v>
      </c>
      <c r="DF105" s="30" t="s">
        <v>2129</v>
      </c>
      <c r="DG105" s="30" t="s">
        <v>2129</v>
      </c>
      <c r="DH105" s="30" t="s">
        <v>2129</v>
      </c>
      <c r="DI105" s="30" t="s">
        <v>2129</v>
      </c>
      <c r="DJ105" s="30" t="s">
        <v>2129</v>
      </c>
      <c r="DK105" s="30" t="s">
        <v>2129</v>
      </c>
      <c r="DL105" s="30" t="s">
        <v>2129</v>
      </c>
      <c r="DM105" s="30" t="s">
        <v>2129</v>
      </c>
      <c r="DN105" s="30" t="s">
        <v>2129</v>
      </c>
      <c r="DO105" s="30" t="s">
        <v>2129</v>
      </c>
      <c r="DP105" s="30" t="s">
        <v>2129</v>
      </c>
      <c r="DQ105" s="43" t="s">
        <v>2129</v>
      </c>
    </row>
    <row r="106" spans="1:121" x14ac:dyDescent="0.25">
      <c r="A106" s="39" t="s">
        <v>3541</v>
      </c>
      <c r="B106" s="29" t="s">
        <v>3542</v>
      </c>
      <c r="C106" s="29">
        <v>23060</v>
      </c>
      <c r="D106" s="29">
        <v>22923</v>
      </c>
      <c r="E106" s="29" t="s">
        <v>1379</v>
      </c>
      <c r="F106" s="29" t="s">
        <v>16</v>
      </c>
      <c r="G106" s="29" t="s">
        <v>3498</v>
      </c>
      <c r="H106" s="29" t="s">
        <v>991</v>
      </c>
      <c r="I106" s="29" t="s">
        <v>2127</v>
      </c>
      <c r="J106" s="29" t="s">
        <v>2152</v>
      </c>
      <c r="K106" s="29" t="s">
        <v>2129</v>
      </c>
      <c r="L106" s="29" t="s">
        <v>2129</v>
      </c>
      <c r="M106" s="29" t="s">
        <v>2130</v>
      </c>
      <c r="N106" s="29" t="s">
        <v>2153</v>
      </c>
      <c r="O106" s="29" t="s">
        <v>2946</v>
      </c>
      <c r="P106" s="29" t="s">
        <v>2150</v>
      </c>
      <c r="Q106" s="29" t="s">
        <v>2150</v>
      </c>
      <c r="R106" s="45">
        <v>46080.72152777778</v>
      </c>
      <c r="S106" s="45">
        <v>46084.727083333331</v>
      </c>
      <c r="T106" s="45">
        <v>46087.717361111114</v>
      </c>
      <c r="U106" s="45">
        <v>46084.726388888892</v>
      </c>
      <c r="V106" s="29" t="s">
        <v>2129</v>
      </c>
      <c r="W106" s="29" t="s">
        <v>2129</v>
      </c>
      <c r="X106" s="29" t="s">
        <v>2129</v>
      </c>
      <c r="Y106" s="29">
        <v>0</v>
      </c>
      <c r="Z106" s="29" t="s">
        <v>2129</v>
      </c>
      <c r="AA106" s="29" t="s">
        <v>2129</v>
      </c>
      <c r="AB106" s="29" t="s">
        <v>3543</v>
      </c>
      <c r="AC106" s="29" t="s">
        <v>2129</v>
      </c>
      <c r="AD106" s="29" t="s">
        <v>2946</v>
      </c>
      <c r="AE106" s="29" t="s">
        <v>2150</v>
      </c>
      <c r="AF106" s="29" t="s">
        <v>2129</v>
      </c>
      <c r="AG106" s="29" t="s">
        <v>2129</v>
      </c>
      <c r="AH106" s="29" t="s">
        <v>2129</v>
      </c>
      <c r="AI106" s="29" t="s">
        <v>3544</v>
      </c>
      <c r="AJ106" s="29" t="s">
        <v>3545</v>
      </c>
      <c r="AK106" s="29" t="s">
        <v>3546</v>
      </c>
      <c r="AL106" s="29" t="s">
        <v>2129</v>
      </c>
      <c r="AM106" s="29" t="s">
        <v>2129</v>
      </c>
      <c r="AN106" s="29" t="s">
        <v>2129</v>
      </c>
      <c r="AO106" s="29" t="s">
        <v>2129</v>
      </c>
      <c r="AP106" s="29" t="s">
        <v>2129</v>
      </c>
      <c r="AQ106" s="29" t="s">
        <v>2129</v>
      </c>
      <c r="AR106" s="29" t="s">
        <v>2129</v>
      </c>
      <c r="AS106" s="29" t="s">
        <v>2129</v>
      </c>
      <c r="AT106" s="29" t="s">
        <v>2129</v>
      </c>
      <c r="AU106" s="29" t="s">
        <v>2129</v>
      </c>
      <c r="AV106" s="29" t="s">
        <v>2129</v>
      </c>
      <c r="AW106" s="29" t="s">
        <v>2129</v>
      </c>
      <c r="AX106" s="29">
        <v>0</v>
      </c>
      <c r="AY106" s="29">
        <v>31500</v>
      </c>
      <c r="AZ106" s="29" t="s">
        <v>2129</v>
      </c>
      <c r="BA106" s="29" t="s">
        <v>2129</v>
      </c>
      <c r="BB106" s="29">
        <v>0</v>
      </c>
      <c r="BC106" s="29">
        <v>31500</v>
      </c>
      <c r="BD106" s="29" t="s">
        <v>2129</v>
      </c>
      <c r="BE106" s="29" t="s">
        <v>2129</v>
      </c>
      <c r="BF106" s="29" t="s">
        <v>2129</v>
      </c>
      <c r="BG106" s="29" t="s">
        <v>2129</v>
      </c>
      <c r="BH106" s="29" t="s">
        <v>2129</v>
      </c>
      <c r="BI106" s="29" t="s">
        <v>2129</v>
      </c>
      <c r="BJ106" s="29" t="s">
        <v>2129</v>
      </c>
      <c r="BK106" s="29" t="s">
        <v>3547</v>
      </c>
      <c r="BL106" s="29" t="s">
        <v>3548</v>
      </c>
      <c r="BM106" s="29" t="s">
        <v>2129</v>
      </c>
      <c r="BN106" s="29" t="s">
        <v>2129</v>
      </c>
      <c r="BO106" s="29" t="s">
        <v>2129</v>
      </c>
      <c r="BP106" s="29" t="s">
        <v>2129</v>
      </c>
      <c r="BQ106" s="29" t="s">
        <v>2129</v>
      </c>
      <c r="BR106" s="29" t="s">
        <v>2129</v>
      </c>
      <c r="BS106" s="29" t="s">
        <v>2129</v>
      </c>
      <c r="BT106" s="29" t="s">
        <v>2129</v>
      </c>
      <c r="BU106" s="29" t="s">
        <v>2129</v>
      </c>
      <c r="BV106" s="29" t="s">
        <v>2129</v>
      </c>
      <c r="BW106" s="29" t="s">
        <v>2129</v>
      </c>
      <c r="BX106" s="29" t="s">
        <v>2129</v>
      </c>
      <c r="BY106" s="29" t="s">
        <v>2129</v>
      </c>
      <c r="BZ106" s="29" t="s">
        <v>2129</v>
      </c>
      <c r="CA106" s="29" t="s">
        <v>2129</v>
      </c>
      <c r="CB106" s="29" t="s">
        <v>2129</v>
      </c>
      <c r="CC106" s="29" t="s">
        <v>2129</v>
      </c>
      <c r="CD106" s="29" t="s">
        <v>2129</v>
      </c>
      <c r="CE106" s="29" t="s">
        <v>3549</v>
      </c>
      <c r="CF106" s="29" t="s">
        <v>3550</v>
      </c>
      <c r="CG106" s="29" t="s">
        <v>2129</v>
      </c>
      <c r="CH106" s="29" t="s">
        <v>2129</v>
      </c>
      <c r="CI106" s="29" t="s">
        <v>2129</v>
      </c>
      <c r="CJ106" s="29" t="s">
        <v>2129</v>
      </c>
      <c r="CK106" s="29" t="s">
        <v>2129</v>
      </c>
      <c r="CL106" s="29" t="s">
        <v>2129</v>
      </c>
      <c r="CM106" s="29" t="s">
        <v>2129</v>
      </c>
      <c r="CN106" s="29" t="s">
        <v>2129</v>
      </c>
      <c r="CO106" s="29" t="s">
        <v>2129</v>
      </c>
      <c r="CP106" s="29" t="s">
        <v>2129</v>
      </c>
      <c r="CQ106" s="29" t="s">
        <v>2129</v>
      </c>
      <c r="CR106" s="29" t="s">
        <v>2129</v>
      </c>
      <c r="CS106" s="29"/>
      <c r="CT106" s="29" t="s">
        <v>2129</v>
      </c>
      <c r="CU106" s="29" t="s">
        <v>2129</v>
      </c>
      <c r="CV106" s="29" t="s">
        <v>3551</v>
      </c>
      <c r="CW106" s="29" t="s">
        <v>2129</v>
      </c>
      <c r="CX106" s="29" t="s">
        <v>2129</v>
      </c>
      <c r="CY106" s="29" t="s">
        <v>2129</v>
      </c>
      <c r="CZ106" s="29" t="s">
        <v>2129</v>
      </c>
      <c r="DA106" s="29" t="s">
        <v>2129</v>
      </c>
      <c r="DB106" s="29" t="s">
        <v>2129</v>
      </c>
      <c r="DC106" s="29" t="s">
        <v>2129</v>
      </c>
      <c r="DD106" s="29" t="s">
        <v>2129</v>
      </c>
      <c r="DE106" s="29" t="s">
        <v>2129</v>
      </c>
      <c r="DF106" s="29" t="s">
        <v>2129</v>
      </c>
      <c r="DG106" s="29" t="s">
        <v>2129</v>
      </c>
      <c r="DH106" s="29" t="s">
        <v>2129</v>
      </c>
      <c r="DI106" s="29" t="s">
        <v>2129</v>
      </c>
      <c r="DJ106" s="29" t="s">
        <v>2129</v>
      </c>
      <c r="DK106" s="29" t="s">
        <v>2129</v>
      </c>
      <c r="DL106" s="29" t="s">
        <v>2129</v>
      </c>
      <c r="DM106" s="29" t="s">
        <v>2129</v>
      </c>
      <c r="DN106" s="29" t="s">
        <v>2129</v>
      </c>
      <c r="DO106" s="29" t="s">
        <v>2129</v>
      </c>
      <c r="DP106" s="29" t="s">
        <v>2129</v>
      </c>
      <c r="DQ106" s="42" t="s">
        <v>2129</v>
      </c>
    </row>
    <row r="107" spans="1:121" x14ac:dyDescent="0.25">
      <c r="A107" s="36" t="s">
        <v>3552</v>
      </c>
      <c r="B107" s="30" t="s">
        <v>3500</v>
      </c>
      <c r="C107" s="30">
        <v>23059</v>
      </c>
      <c r="D107" s="30"/>
      <c r="E107" s="30" t="s">
        <v>2154</v>
      </c>
      <c r="F107" s="30" t="s">
        <v>10</v>
      </c>
      <c r="G107" s="30" t="s">
        <v>3498</v>
      </c>
      <c r="H107" s="30" t="s">
        <v>991</v>
      </c>
      <c r="I107" s="30" t="s">
        <v>2127</v>
      </c>
      <c r="J107" s="30" t="s">
        <v>2152</v>
      </c>
      <c r="K107" s="30" t="s">
        <v>2129</v>
      </c>
      <c r="L107" s="30" t="s">
        <v>2129</v>
      </c>
      <c r="M107" s="30" t="s">
        <v>2130</v>
      </c>
      <c r="N107" s="30" t="s">
        <v>2129</v>
      </c>
      <c r="O107" s="30" t="s">
        <v>2129</v>
      </c>
      <c r="P107" s="30" t="s">
        <v>2145</v>
      </c>
      <c r="Q107" s="30" t="s">
        <v>2145</v>
      </c>
      <c r="R107" s="46">
        <v>46080.718055555553</v>
      </c>
      <c r="S107" s="46">
        <v>46084.522916666669</v>
      </c>
      <c r="T107" s="46">
        <v>46087.717361111114</v>
      </c>
      <c r="U107" s="46"/>
      <c r="V107" s="30" t="s">
        <v>2129</v>
      </c>
      <c r="W107" s="30" t="s">
        <v>2129</v>
      </c>
      <c r="X107" s="30" t="s">
        <v>2129</v>
      </c>
      <c r="Y107" s="30">
        <v>0</v>
      </c>
      <c r="Z107" s="30" t="s">
        <v>2129</v>
      </c>
      <c r="AA107" s="30" t="s">
        <v>2129</v>
      </c>
      <c r="AB107" s="30" t="s">
        <v>2129</v>
      </c>
      <c r="AC107" s="30" t="s">
        <v>2129</v>
      </c>
      <c r="AD107" s="30" t="s">
        <v>2145</v>
      </c>
      <c r="AE107" s="30" t="s">
        <v>2129</v>
      </c>
      <c r="AF107" s="30" t="s">
        <v>2129</v>
      </c>
      <c r="AG107" s="30" t="s">
        <v>2129</v>
      </c>
      <c r="AH107" s="30" t="s">
        <v>2129</v>
      </c>
      <c r="AI107" s="30" t="s">
        <v>2129</v>
      </c>
      <c r="AJ107" s="30" t="s">
        <v>2129</v>
      </c>
      <c r="AK107" s="30" t="s">
        <v>2129</v>
      </c>
      <c r="AL107" s="30" t="s">
        <v>2129</v>
      </c>
      <c r="AM107" s="30" t="s">
        <v>2129</v>
      </c>
      <c r="AN107" s="30" t="s">
        <v>2129</v>
      </c>
      <c r="AO107" s="30" t="s">
        <v>2129</v>
      </c>
      <c r="AP107" s="30" t="s">
        <v>2129</v>
      </c>
      <c r="AQ107" s="30" t="s">
        <v>2129</v>
      </c>
      <c r="AR107" s="30" t="s">
        <v>2129</v>
      </c>
      <c r="AS107" s="30" t="s">
        <v>2129</v>
      </c>
      <c r="AT107" s="30" t="s">
        <v>2129</v>
      </c>
      <c r="AU107" s="30" t="s">
        <v>2129</v>
      </c>
      <c r="AV107" s="30" t="s">
        <v>2129</v>
      </c>
      <c r="AW107" s="30" t="s">
        <v>2129</v>
      </c>
      <c r="AX107" s="30"/>
      <c r="AY107" s="30"/>
      <c r="AZ107" s="30" t="s">
        <v>2129</v>
      </c>
      <c r="BA107" s="30" t="s">
        <v>2129</v>
      </c>
      <c r="BB107" s="30"/>
      <c r="BC107" s="30"/>
      <c r="BD107" s="30" t="s">
        <v>2129</v>
      </c>
      <c r="BE107" s="30" t="s">
        <v>2129</v>
      </c>
      <c r="BF107" s="30" t="s">
        <v>2129</v>
      </c>
      <c r="BG107" s="30" t="s">
        <v>2129</v>
      </c>
      <c r="BH107" s="30" t="s">
        <v>2129</v>
      </c>
      <c r="BI107" s="30" t="s">
        <v>2129</v>
      </c>
      <c r="BJ107" s="30" t="s">
        <v>2129</v>
      </c>
      <c r="BK107" s="30" t="s">
        <v>2129</v>
      </c>
      <c r="BL107" s="30" t="s">
        <v>2129</v>
      </c>
      <c r="BM107" s="30" t="s">
        <v>2129</v>
      </c>
      <c r="BN107" s="30" t="s">
        <v>2129</v>
      </c>
      <c r="BO107" s="30" t="s">
        <v>2129</v>
      </c>
      <c r="BP107" s="30" t="s">
        <v>2129</v>
      </c>
      <c r="BQ107" s="30" t="s">
        <v>2129</v>
      </c>
      <c r="BR107" s="30" t="s">
        <v>2129</v>
      </c>
      <c r="BS107" s="30" t="s">
        <v>2129</v>
      </c>
      <c r="BT107" s="30" t="s">
        <v>2129</v>
      </c>
      <c r="BU107" s="30" t="s">
        <v>2129</v>
      </c>
      <c r="BV107" s="30" t="s">
        <v>2129</v>
      </c>
      <c r="BW107" s="30" t="s">
        <v>3553</v>
      </c>
      <c r="BX107" s="30" t="s">
        <v>2129</v>
      </c>
      <c r="BY107" s="30" t="s">
        <v>3552</v>
      </c>
      <c r="BZ107" s="30" t="s">
        <v>10</v>
      </c>
      <c r="CA107" s="30" t="s">
        <v>2129</v>
      </c>
      <c r="CB107" s="30" t="s">
        <v>2129</v>
      </c>
      <c r="CC107" s="30" t="s">
        <v>2129</v>
      </c>
      <c r="CD107" s="30" t="s">
        <v>2129</v>
      </c>
      <c r="CE107" s="30" t="s">
        <v>3554</v>
      </c>
      <c r="CF107" s="30" t="s">
        <v>2129</v>
      </c>
      <c r="CG107" s="30" t="s">
        <v>2129</v>
      </c>
      <c r="CH107" s="30" t="s">
        <v>2129</v>
      </c>
      <c r="CI107" s="30" t="s">
        <v>2129</v>
      </c>
      <c r="CJ107" s="30" t="s">
        <v>2129</v>
      </c>
      <c r="CK107" s="30" t="s">
        <v>2129</v>
      </c>
      <c r="CL107" s="30" t="s">
        <v>2129</v>
      </c>
      <c r="CM107" s="30" t="s">
        <v>2129</v>
      </c>
      <c r="CN107" s="30" t="s">
        <v>2129</v>
      </c>
      <c r="CO107" s="30" t="s">
        <v>2129</v>
      </c>
      <c r="CP107" s="30" t="s">
        <v>2129</v>
      </c>
      <c r="CQ107" s="30" t="s">
        <v>2129</v>
      </c>
      <c r="CR107" s="30" t="s">
        <v>2129</v>
      </c>
      <c r="CS107" s="30"/>
      <c r="CT107" s="30" t="s">
        <v>2129</v>
      </c>
      <c r="CU107" s="30" t="s">
        <v>2129</v>
      </c>
      <c r="CV107" s="30" t="s">
        <v>2129</v>
      </c>
      <c r="CW107" s="30" t="s">
        <v>2129</v>
      </c>
      <c r="CX107" s="30" t="s">
        <v>2129</v>
      </c>
      <c r="CY107" s="30" t="s">
        <v>2129</v>
      </c>
      <c r="CZ107" s="30" t="s">
        <v>2129</v>
      </c>
      <c r="DA107" s="30" t="s">
        <v>2129</v>
      </c>
      <c r="DB107" s="30" t="s">
        <v>2129</v>
      </c>
      <c r="DC107" s="30" t="s">
        <v>2129</v>
      </c>
      <c r="DD107" s="30" t="s">
        <v>2129</v>
      </c>
      <c r="DE107" s="30" t="s">
        <v>2129</v>
      </c>
      <c r="DF107" s="30" t="s">
        <v>2129</v>
      </c>
      <c r="DG107" s="30" t="s">
        <v>2129</v>
      </c>
      <c r="DH107" s="30" t="s">
        <v>2129</v>
      </c>
      <c r="DI107" s="30" t="s">
        <v>2129</v>
      </c>
      <c r="DJ107" s="30" t="s">
        <v>2129</v>
      </c>
      <c r="DK107" s="30" t="s">
        <v>2129</v>
      </c>
      <c r="DL107" s="30" t="s">
        <v>2129</v>
      </c>
      <c r="DM107" s="30" t="s">
        <v>2129</v>
      </c>
      <c r="DN107" s="30" t="s">
        <v>2129</v>
      </c>
      <c r="DO107" s="30" t="s">
        <v>2129</v>
      </c>
      <c r="DP107" s="30" t="s">
        <v>2129</v>
      </c>
      <c r="DQ107" s="43" t="s">
        <v>2129</v>
      </c>
    </row>
    <row r="108" spans="1:121" x14ac:dyDescent="0.25">
      <c r="A108" s="39" t="s">
        <v>3555</v>
      </c>
      <c r="B108" s="29" t="s">
        <v>3556</v>
      </c>
      <c r="C108" s="29">
        <v>23058</v>
      </c>
      <c r="D108" s="29"/>
      <c r="E108" s="29" t="s">
        <v>14</v>
      </c>
      <c r="F108" s="29" t="s">
        <v>10</v>
      </c>
      <c r="G108" s="29" t="s">
        <v>3498</v>
      </c>
      <c r="H108" s="29" t="s">
        <v>991</v>
      </c>
      <c r="I108" s="29" t="s">
        <v>2127</v>
      </c>
      <c r="J108" s="29" t="s">
        <v>2152</v>
      </c>
      <c r="K108" s="29" t="s">
        <v>2129</v>
      </c>
      <c r="L108" s="29" t="s">
        <v>2129</v>
      </c>
      <c r="M108" s="29" t="s">
        <v>2130</v>
      </c>
      <c r="N108" s="29" t="s">
        <v>2129</v>
      </c>
      <c r="O108" s="29" t="s">
        <v>2141</v>
      </c>
      <c r="P108" s="29" t="s">
        <v>2145</v>
      </c>
      <c r="Q108" s="29" t="s">
        <v>2145</v>
      </c>
      <c r="R108" s="45">
        <v>46080.688194444447</v>
      </c>
      <c r="S108" s="45">
        <v>46086.489583333336</v>
      </c>
      <c r="T108" s="45">
        <v>46087.717361111114</v>
      </c>
      <c r="U108" s="45"/>
      <c r="V108" s="29" t="s">
        <v>2129</v>
      </c>
      <c r="W108" s="29" t="s">
        <v>2129</v>
      </c>
      <c r="X108" s="29" t="s">
        <v>2129</v>
      </c>
      <c r="Y108" s="29">
        <v>0</v>
      </c>
      <c r="Z108" s="29" t="s">
        <v>2129</v>
      </c>
      <c r="AA108" s="29" t="s">
        <v>2129</v>
      </c>
      <c r="AB108" s="29" t="s">
        <v>3557</v>
      </c>
      <c r="AC108" s="29" t="s">
        <v>2129</v>
      </c>
      <c r="AD108" s="29" t="s">
        <v>2145</v>
      </c>
      <c r="AE108" s="29" t="s">
        <v>2129</v>
      </c>
      <c r="AF108" s="29" t="s">
        <v>2129</v>
      </c>
      <c r="AG108" s="29" t="s">
        <v>2129</v>
      </c>
      <c r="AH108" s="29" t="s">
        <v>2129</v>
      </c>
      <c r="AI108" s="29" t="s">
        <v>2129</v>
      </c>
      <c r="AJ108" s="29" t="s">
        <v>2129</v>
      </c>
      <c r="AK108" s="29" t="s">
        <v>2129</v>
      </c>
      <c r="AL108" s="29" t="s">
        <v>2129</v>
      </c>
      <c r="AM108" s="29" t="s">
        <v>2129</v>
      </c>
      <c r="AN108" s="29" t="s">
        <v>2129</v>
      </c>
      <c r="AO108" s="29" t="s">
        <v>2129</v>
      </c>
      <c r="AP108" s="29" t="s">
        <v>2129</v>
      </c>
      <c r="AQ108" s="29" t="s">
        <v>2129</v>
      </c>
      <c r="AR108" s="29" t="s">
        <v>2129</v>
      </c>
      <c r="AS108" s="29" t="s">
        <v>2129</v>
      </c>
      <c r="AT108" s="29" t="s">
        <v>2129</v>
      </c>
      <c r="AU108" s="29" t="s">
        <v>2129</v>
      </c>
      <c r="AV108" s="29" t="s">
        <v>2129</v>
      </c>
      <c r="AW108" s="29" t="s">
        <v>2129</v>
      </c>
      <c r="AX108" s="29"/>
      <c r="AY108" s="29"/>
      <c r="AZ108" s="29" t="s">
        <v>2129</v>
      </c>
      <c r="BA108" s="29" t="s">
        <v>2129</v>
      </c>
      <c r="BB108" s="29"/>
      <c r="BC108" s="29"/>
      <c r="BD108" s="29" t="s">
        <v>2129</v>
      </c>
      <c r="BE108" s="29" t="s">
        <v>2129</v>
      </c>
      <c r="BF108" s="29" t="s">
        <v>2129</v>
      </c>
      <c r="BG108" s="29" t="s">
        <v>2129</v>
      </c>
      <c r="BH108" s="29" t="s">
        <v>2129</v>
      </c>
      <c r="BI108" s="29" t="s">
        <v>2129</v>
      </c>
      <c r="BJ108" s="29" t="s">
        <v>2129</v>
      </c>
      <c r="BK108" s="29" t="s">
        <v>3558</v>
      </c>
      <c r="BL108" s="29" t="s">
        <v>3559</v>
      </c>
      <c r="BM108" s="29" t="s">
        <v>3560</v>
      </c>
      <c r="BN108" s="29" t="s">
        <v>2129</v>
      </c>
      <c r="BO108" s="29" t="s">
        <v>2129</v>
      </c>
      <c r="BP108" s="29" t="s">
        <v>2129</v>
      </c>
      <c r="BQ108" s="29" t="s">
        <v>2129</v>
      </c>
      <c r="BR108" s="29" t="s">
        <v>2129</v>
      </c>
      <c r="BS108" s="29" t="s">
        <v>2129</v>
      </c>
      <c r="BT108" s="29" t="s">
        <v>2129</v>
      </c>
      <c r="BU108" s="29" t="s">
        <v>2129</v>
      </c>
      <c r="BV108" s="29" t="s">
        <v>2129</v>
      </c>
      <c r="BW108" s="29" t="s">
        <v>2129</v>
      </c>
      <c r="BX108" s="29" t="s">
        <v>3561</v>
      </c>
      <c r="BY108" s="29" t="s">
        <v>2129</v>
      </c>
      <c r="BZ108" s="29" t="s">
        <v>2129</v>
      </c>
      <c r="CA108" s="29" t="s">
        <v>2129</v>
      </c>
      <c r="CB108" s="29" t="s">
        <v>2129</v>
      </c>
      <c r="CC108" s="29" t="s">
        <v>2129</v>
      </c>
      <c r="CD108" s="29" t="s">
        <v>2129</v>
      </c>
      <c r="CE108" s="29" t="s">
        <v>3562</v>
      </c>
      <c r="CF108" s="29" t="s">
        <v>2129</v>
      </c>
      <c r="CG108" s="29" t="s">
        <v>2129</v>
      </c>
      <c r="CH108" s="29" t="s">
        <v>2129</v>
      </c>
      <c r="CI108" s="29" t="s">
        <v>2129</v>
      </c>
      <c r="CJ108" s="29" t="s">
        <v>2129</v>
      </c>
      <c r="CK108" s="29" t="s">
        <v>2129</v>
      </c>
      <c r="CL108" s="29" t="s">
        <v>2129</v>
      </c>
      <c r="CM108" s="29" t="s">
        <v>2129</v>
      </c>
      <c r="CN108" s="29" t="s">
        <v>2129</v>
      </c>
      <c r="CO108" s="29" t="s">
        <v>2129</v>
      </c>
      <c r="CP108" s="29" t="s">
        <v>2129</v>
      </c>
      <c r="CQ108" s="29" t="s">
        <v>2129</v>
      </c>
      <c r="CR108" s="29" t="s">
        <v>2129</v>
      </c>
      <c r="CS108" s="29"/>
      <c r="CT108" s="29" t="s">
        <v>2129</v>
      </c>
      <c r="CU108" s="29" t="s">
        <v>2129</v>
      </c>
      <c r="CV108" s="29" t="s">
        <v>3563</v>
      </c>
      <c r="CW108" s="29" t="s">
        <v>2129</v>
      </c>
      <c r="CX108" s="29" t="s">
        <v>2129</v>
      </c>
      <c r="CY108" s="29" t="s">
        <v>2129</v>
      </c>
      <c r="CZ108" s="29" t="s">
        <v>2129</v>
      </c>
      <c r="DA108" s="29" t="s">
        <v>2129</v>
      </c>
      <c r="DB108" s="29" t="s">
        <v>2129</v>
      </c>
      <c r="DC108" s="29" t="s">
        <v>2129</v>
      </c>
      <c r="DD108" s="29" t="s">
        <v>2129</v>
      </c>
      <c r="DE108" s="29" t="s">
        <v>2129</v>
      </c>
      <c r="DF108" s="29" t="s">
        <v>2129</v>
      </c>
      <c r="DG108" s="29" t="s">
        <v>2129</v>
      </c>
      <c r="DH108" s="29" t="s">
        <v>2129</v>
      </c>
      <c r="DI108" s="29" t="s">
        <v>2129</v>
      </c>
      <c r="DJ108" s="29" t="s">
        <v>2129</v>
      </c>
      <c r="DK108" s="29" t="s">
        <v>2129</v>
      </c>
      <c r="DL108" s="29" t="s">
        <v>2129</v>
      </c>
      <c r="DM108" s="29" t="s">
        <v>2129</v>
      </c>
      <c r="DN108" s="29" t="s">
        <v>2129</v>
      </c>
      <c r="DO108" s="29" t="s">
        <v>2129</v>
      </c>
      <c r="DP108" s="29" t="s">
        <v>2129</v>
      </c>
      <c r="DQ108" s="42" t="s">
        <v>2129</v>
      </c>
    </row>
    <row r="109" spans="1:121" x14ac:dyDescent="0.25">
      <c r="A109" s="36" t="s">
        <v>3564</v>
      </c>
      <c r="B109" s="30" t="s">
        <v>3565</v>
      </c>
      <c r="C109" s="30">
        <v>23056</v>
      </c>
      <c r="D109" s="30"/>
      <c r="E109" s="30" t="s">
        <v>14</v>
      </c>
      <c r="F109" s="30" t="s">
        <v>10</v>
      </c>
      <c r="G109" s="30" t="s">
        <v>3498</v>
      </c>
      <c r="H109" s="30" t="s">
        <v>991</v>
      </c>
      <c r="I109" s="30" t="s">
        <v>2127</v>
      </c>
      <c r="J109" s="30" t="s">
        <v>2152</v>
      </c>
      <c r="K109" s="30" t="s">
        <v>2129</v>
      </c>
      <c r="L109" s="30" t="s">
        <v>2129</v>
      </c>
      <c r="M109" s="30" t="s">
        <v>2130</v>
      </c>
      <c r="N109" s="30" t="s">
        <v>2129</v>
      </c>
      <c r="O109" s="30" t="s">
        <v>2141</v>
      </c>
      <c r="P109" s="30" t="s">
        <v>2145</v>
      </c>
      <c r="Q109" s="30" t="s">
        <v>2145</v>
      </c>
      <c r="R109" s="46">
        <v>46080.65347222222</v>
      </c>
      <c r="S109" s="46">
        <v>46086.489583333336</v>
      </c>
      <c r="T109" s="46">
        <v>46087.717361111114</v>
      </c>
      <c r="U109" s="46"/>
      <c r="V109" s="30" t="s">
        <v>2129</v>
      </c>
      <c r="W109" s="30" t="s">
        <v>2129</v>
      </c>
      <c r="X109" s="30" t="s">
        <v>2129</v>
      </c>
      <c r="Y109" s="30">
        <v>0</v>
      </c>
      <c r="Z109" s="30" t="s">
        <v>2129</v>
      </c>
      <c r="AA109" s="30" t="s">
        <v>2129</v>
      </c>
      <c r="AB109" s="30" t="s">
        <v>3566</v>
      </c>
      <c r="AC109" s="30" t="s">
        <v>2129</v>
      </c>
      <c r="AD109" s="30" t="s">
        <v>2145</v>
      </c>
      <c r="AE109" s="30" t="s">
        <v>2129</v>
      </c>
      <c r="AF109" s="30" t="s">
        <v>2129</v>
      </c>
      <c r="AG109" s="30" t="s">
        <v>2129</v>
      </c>
      <c r="AH109" s="30" t="s">
        <v>2129</v>
      </c>
      <c r="AI109" s="30" t="s">
        <v>2129</v>
      </c>
      <c r="AJ109" s="30" t="s">
        <v>2129</v>
      </c>
      <c r="AK109" s="30" t="s">
        <v>2129</v>
      </c>
      <c r="AL109" s="30" t="s">
        <v>2129</v>
      </c>
      <c r="AM109" s="30" t="s">
        <v>2129</v>
      </c>
      <c r="AN109" s="30" t="s">
        <v>2129</v>
      </c>
      <c r="AO109" s="30" t="s">
        <v>2129</v>
      </c>
      <c r="AP109" s="30" t="s">
        <v>2129</v>
      </c>
      <c r="AQ109" s="30" t="s">
        <v>2129</v>
      </c>
      <c r="AR109" s="30" t="s">
        <v>2129</v>
      </c>
      <c r="AS109" s="30" t="s">
        <v>2129</v>
      </c>
      <c r="AT109" s="30" t="s">
        <v>2129</v>
      </c>
      <c r="AU109" s="30" t="s">
        <v>2129</v>
      </c>
      <c r="AV109" s="30" t="s">
        <v>2129</v>
      </c>
      <c r="AW109" s="30" t="s">
        <v>2129</v>
      </c>
      <c r="AX109" s="30"/>
      <c r="AY109" s="30"/>
      <c r="AZ109" s="30" t="s">
        <v>2129</v>
      </c>
      <c r="BA109" s="30" t="s">
        <v>2129</v>
      </c>
      <c r="BB109" s="30"/>
      <c r="BC109" s="30"/>
      <c r="BD109" s="30" t="s">
        <v>2129</v>
      </c>
      <c r="BE109" s="30" t="s">
        <v>2129</v>
      </c>
      <c r="BF109" s="30" t="s">
        <v>2129</v>
      </c>
      <c r="BG109" s="30" t="s">
        <v>2129</v>
      </c>
      <c r="BH109" s="30" t="s">
        <v>2129</v>
      </c>
      <c r="BI109" s="30" t="s">
        <v>2129</v>
      </c>
      <c r="BJ109" s="30" t="s">
        <v>2129</v>
      </c>
      <c r="BK109" s="30" t="s">
        <v>3567</v>
      </c>
      <c r="BL109" s="30" t="s">
        <v>2129</v>
      </c>
      <c r="BM109" s="30" t="s">
        <v>2129</v>
      </c>
      <c r="BN109" s="30" t="s">
        <v>2129</v>
      </c>
      <c r="BO109" s="30" t="s">
        <v>2129</v>
      </c>
      <c r="BP109" s="30" t="s">
        <v>2129</v>
      </c>
      <c r="BQ109" s="30" t="s">
        <v>2129</v>
      </c>
      <c r="BR109" s="30" t="s">
        <v>2129</v>
      </c>
      <c r="BS109" s="30" t="s">
        <v>2129</v>
      </c>
      <c r="BT109" s="30" t="s">
        <v>2129</v>
      </c>
      <c r="BU109" s="30" t="s">
        <v>2129</v>
      </c>
      <c r="BV109" s="30" t="s">
        <v>2129</v>
      </c>
      <c r="BW109" s="30" t="s">
        <v>2129</v>
      </c>
      <c r="BX109" s="30" t="s">
        <v>3561</v>
      </c>
      <c r="BY109" s="30" t="s">
        <v>2129</v>
      </c>
      <c r="BZ109" s="30" t="s">
        <v>2129</v>
      </c>
      <c r="CA109" s="30" t="s">
        <v>2129</v>
      </c>
      <c r="CB109" s="30" t="s">
        <v>2129</v>
      </c>
      <c r="CC109" s="30" t="s">
        <v>2129</v>
      </c>
      <c r="CD109" s="30" t="s">
        <v>2129</v>
      </c>
      <c r="CE109" s="30" t="s">
        <v>3568</v>
      </c>
      <c r="CF109" s="30" t="s">
        <v>2129</v>
      </c>
      <c r="CG109" s="30" t="s">
        <v>2129</v>
      </c>
      <c r="CH109" s="30" t="s">
        <v>2129</v>
      </c>
      <c r="CI109" s="30" t="s">
        <v>2129</v>
      </c>
      <c r="CJ109" s="30" t="s">
        <v>2129</v>
      </c>
      <c r="CK109" s="30" t="s">
        <v>2129</v>
      </c>
      <c r="CL109" s="30" t="s">
        <v>2129</v>
      </c>
      <c r="CM109" s="30" t="s">
        <v>2129</v>
      </c>
      <c r="CN109" s="30" t="s">
        <v>2129</v>
      </c>
      <c r="CO109" s="30" t="s">
        <v>2129</v>
      </c>
      <c r="CP109" s="30" t="s">
        <v>2129</v>
      </c>
      <c r="CQ109" s="30" t="s">
        <v>2129</v>
      </c>
      <c r="CR109" s="30" t="s">
        <v>2129</v>
      </c>
      <c r="CS109" s="30"/>
      <c r="CT109" s="30" t="s">
        <v>2129</v>
      </c>
      <c r="CU109" s="30" t="s">
        <v>2129</v>
      </c>
      <c r="CV109" s="30" t="s">
        <v>3569</v>
      </c>
      <c r="CW109" s="30" t="s">
        <v>2129</v>
      </c>
      <c r="CX109" s="30" t="s">
        <v>2129</v>
      </c>
      <c r="CY109" s="30" t="s">
        <v>2129</v>
      </c>
      <c r="CZ109" s="30" t="s">
        <v>2129</v>
      </c>
      <c r="DA109" s="30" t="s">
        <v>2129</v>
      </c>
      <c r="DB109" s="30" t="s">
        <v>2129</v>
      </c>
      <c r="DC109" s="30" t="s">
        <v>2129</v>
      </c>
      <c r="DD109" s="30" t="s">
        <v>2129</v>
      </c>
      <c r="DE109" s="30" t="s">
        <v>2129</v>
      </c>
      <c r="DF109" s="30" t="s">
        <v>2129</v>
      </c>
      <c r="DG109" s="30" t="s">
        <v>2129</v>
      </c>
      <c r="DH109" s="30" t="s">
        <v>2129</v>
      </c>
      <c r="DI109" s="30" t="s">
        <v>2129</v>
      </c>
      <c r="DJ109" s="30" t="s">
        <v>2129</v>
      </c>
      <c r="DK109" s="30" t="s">
        <v>2129</v>
      </c>
      <c r="DL109" s="30" t="s">
        <v>2129</v>
      </c>
      <c r="DM109" s="30" t="s">
        <v>2129</v>
      </c>
      <c r="DN109" s="30" t="s">
        <v>2129</v>
      </c>
      <c r="DO109" s="30" t="s">
        <v>2129</v>
      </c>
      <c r="DP109" s="30" t="s">
        <v>2129</v>
      </c>
      <c r="DQ109" s="43" t="s">
        <v>2129</v>
      </c>
    </row>
    <row r="110" spans="1:121" x14ac:dyDescent="0.25">
      <c r="A110" s="39" t="s">
        <v>3570</v>
      </c>
      <c r="B110" s="29" t="s">
        <v>3571</v>
      </c>
      <c r="C110" s="29">
        <v>23055</v>
      </c>
      <c r="D110" s="29"/>
      <c r="E110" s="29" t="s">
        <v>14</v>
      </c>
      <c r="F110" s="29" t="s">
        <v>10</v>
      </c>
      <c r="G110" s="29" t="s">
        <v>3498</v>
      </c>
      <c r="H110" s="29" t="s">
        <v>991</v>
      </c>
      <c r="I110" s="29" t="s">
        <v>2127</v>
      </c>
      <c r="J110" s="29" t="s">
        <v>2152</v>
      </c>
      <c r="K110" s="29" t="s">
        <v>2129</v>
      </c>
      <c r="L110" s="29" t="s">
        <v>2129</v>
      </c>
      <c r="M110" s="29" t="s">
        <v>2130</v>
      </c>
      <c r="N110" s="29" t="s">
        <v>2129</v>
      </c>
      <c r="O110" s="29" t="s">
        <v>2141</v>
      </c>
      <c r="P110" s="29" t="s">
        <v>2145</v>
      </c>
      <c r="Q110" s="29" t="s">
        <v>2145</v>
      </c>
      <c r="R110" s="45">
        <v>46080.631249999999</v>
      </c>
      <c r="S110" s="45">
        <v>46086.489583333336</v>
      </c>
      <c r="T110" s="45">
        <v>46087.717361111114</v>
      </c>
      <c r="U110" s="45"/>
      <c r="V110" s="29" t="s">
        <v>2129</v>
      </c>
      <c r="W110" s="29" t="s">
        <v>2129</v>
      </c>
      <c r="X110" s="29" t="s">
        <v>2129</v>
      </c>
      <c r="Y110" s="29">
        <v>0</v>
      </c>
      <c r="Z110" s="29" t="s">
        <v>2129</v>
      </c>
      <c r="AA110" s="29" t="s">
        <v>2129</v>
      </c>
      <c r="AB110" s="29" t="s">
        <v>3572</v>
      </c>
      <c r="AC110" s="29" t="s">
        <v>2129</v>
      </c>
      <c r="AD110" s="29" t="s">
        <v>2145</v>
      </c>
      <c r="AE110" s="29" t="s">
        <v>2129</v>
      </c>
      <c r="AF110" s="29" t="s">
        <v>2129</v>
      </c>
      <c r="AG110" s="29" t="s">
        <v>2129</v>
      </c>
      <c r="AH110" s="29" t="s">
        <v>2129</v>
      </c>
      <c r="AI110" s="29" t="s">
        <v>2129</v>
      </c>
      <c r="AJ110" s="29" t="s">
        <v>2129</v>
      </c>
      <c r="AK110" s="29" t="s">
        <v>2129</v>
      </c>
      <c r="AL110" s="29" t="s">
        <v>2129</v>
      </c>
      <c r="AM110" s="29" t="s">
        <v>2129</v>
      </c>
      <c r="AN110" s="29" t="s">
        <v>2129</v>
      </c>
      <c r="AO110" s="29" t="s">
        <v>2129</v>
      </c>
      <c r="AP110" s="29" t="s">
        <v>2129</v>
      </c>
      <c r="AQ110" s="29" t="s">
        <v>2129</v>
      </c>
      <c r="AR110" s="29" t="s">
        <v>2129</v>
      </c>
      <c r="AS110" s="29" t="s">
        <v>2129</v>
      </c>
      <c r="AT110" s="29" t="s">
        <v>2129</v>
      </c>
      <c r="AU110" s="29" t="s">
        <v>2129</v>
      </c>
      <c r="AV110" s="29" t="s">
        <v>2129</v>
      </c>
      <c r="AW110" s="29" t="s">
        <v>2129</v>
      </c>
      <c r="AX110" s="29"/>
      <c r="AY110" s="29"/>
      <c r="AZ110" s="29" t="s">
        <v>2129</v>
      </c>
      <c r="BA110" s="29" t="s">
        <v>2129</v>
      </c>
      <c r="BB110" s="29"/>
      <c r="BC110" s="29"/>
      <c r="BD110" s="29" t="s">
        <v>2129</v>
      </c>
      <c r="BE110" s="29" t="s">
        <v>2129</v>
      </c>
      <c r="BF110" s="29" t="s">
        <v>2129</v>
      </c>
      <c r="BG110" s="29" t="s">
        <v>2129</v>
      </c>
      <c r="BH110" s="29" t="s">
        <v>2129</v>
      </c>
      <c r="BI110" s="29" t="s">
        <v>2129</v>
      </c>
      <c r="BJ110" s="29" t="s">
        <v>2129</v>
      </c>
      <c r="BK110" s="29" t="s">
        <v>2129</v>
      </c>
      <c r="BL110" s="29" t="s">
        <v>2129</v>
      </c>
      <c r="BM110" s="29" t="s">
        <v>2129</v>
      </c>
      <c r="BN110" s="29" t="s">
        <v>2129</v>
      </c>
      <c r="BO110" s="29" t="s">
        <v>2129</v>
      </c>
      <c r="BP110" s="29" t="s">
        <v>2129</v>
      </c>
      <c r="BQ110" s="29" t="s">
        <v>2129</v>
      </c>
      <c r="BR110" s="29" t="s">
        <v>2129</v>
      </c>
      <c r="BS110" s="29" t="s">
        <v>2129</v>
      </c>
      <c r="BT110" s="29" t="s">
        <v>2129</v>
      </c>
      <c r="BU110" s="29" t="s">
        <v>2129</v>
      </c>
      <c r="BV110" s="29" t="s">
        <v>2129</v>
      </c>
      <c r="BW110" s="29" t="s">
        <v>2129</v>
      </c>
      <c r="BX110" s="29" t="s">
        <v>3573</v>
      </c>
      <c r="BY110" s="29" t="s">
        <v>2129</v>
      </c>
      <c r="BZ110" s="29" t="s">
        <v>2129</v>
      </c>
      <c r="CA110" s="29" t="s">
        <v>2129</v>
      </c>
      <c r="CB110" s="29" t="s">
        <v>2129</v>
      </c>
      <c r="CC110" s="29" t="s">
        <v>2129</v>
      </c>
      <c r="CD110" s="29" t="s">
        <v>2129</v>
      </c>
      <c r="CE110" s="29" t="s">
        <v>3574</v>
      </c>
      <c r="CF110" s="29" t="s">
        <v>2129</v>
      </c>
      <c r="CG110" s="29" t="s">
        <v>2129</v>
      </c>
      <c r="CH110" s="29" t="s">
        <v>2129</v>
      </c>
      <c r="CI110" s="29" t="s">
        <v>2129</v>
      </c>
      <c r="CJ110" s="29" t="s">
        <v>2129</v>
      </c>
      <c r="CK110" s="29" t="s">
        <v>2129</v>
      </c>
      <c r="CL110" s="29" t="s">
        <v>2129</v>
      </c>
      <c r="CM110" s="29" t="s">
        <v>2129</v>
      </c>
      <c r="CN110" s="29" t="s">
        <v>2129</v>
      </c>
      <c r="CO110" s="29" t="s">
        <v>2129</v>
      </c>
      <c r="CP110" s="29" t="s">
        <v>2129</v>
      </c>
      <c r="CQ110" s="29" t="s">
        <v>2129</v>
      </c>
      <c r="CR110" s="29" t="s">
        <v>2129</v>
      </c>
      <c r="CS110" s="29"/>
      <c r="CT110" s="29" t="s">
        <v>2129</v>
      </c>
      <c r="CU110" s="29" t="s">
        <v>2129</v>
      </c>
      <c r="CV110" s="29" t="s">
        <v>3575</v>
      </c>
      <c r="CW110" s="29" t="s">
        <v>2129</v>
      </c>
      <c r="CX110" s="29" t="s">
        <v>2129</v>
      </c>
      <c r="CY110" s="29" t="s">
        <v>2129</v>
      </c>
      <c r="CZ110" s="29" t="s">
        <v>2129</v>
      </c>
      <c r="DA110" s="29" t="s">
        <v>2129</v>
      </c>
      <c r="DB110" s="29" t="s">
        <v>2129</v>
      </c>
      <c r="DC110" s="29" t="s">
        <v>2129</v>
      </c>
      <c r="DD110" s="29" t="s">
        <v>2129</v>
      </c>
      <c r="DE110" s="29" t="s">
        <v>2129</v>
      </c>
      <c r="DF110" s="29" t="s">
        <v>2129</v>
      </c>
      <c r="DG110" s="29" t="s">
        <v>2129</v>
      </c>
      <c r="DH110" s="29" t="s">
        <v>2129</v>
      </c>
      <c r="DI110" s="29" t="s">
        <v>2129</v>
      </c>
      <c r="DJ110" s="29" t="s">
        <v>2129</v>
      </c>
      <c r="DK110" s="29" t="s">
        <v>2129</v>
      </c>
      <c r="DL110" s="29" t="s">
        <v>2129</v>
      </c>
      <c r="DM110" s="29" t="s">
        <v>2129</v>
      </c>
      <c r="DN110" s="29" t="s">
        <v>2129</v>
      </c>
      <c r="DO110" s="29" t="s">
        <v>2129</v>
      </c>
      <c r="DP110" s="29" t="s">
        <v>2129</v>
      </c>
      <c r="DQ110" s="42" t="s">
        <v>2129</v>
      </c>
    </row>
    <row r="111" spans="1:121" x14ac:dyDescent="0.25">
      <c r="A111" s="36" t="s">
        <v>3576</v>
      </c>
      <c r="B111" s="30" t="s">
        <v>3577</v>
      </c>
      <c r="C111" s="30">
        <v>23054</v>
      </c>
      <c r="D111" s="30"/>
      <c r="E111" s="30" t="s">
        <v>14</v>
      </c>
      <c r="F111" s="30" t="s">
        <v>10</v>
      </c>
      <c r="G111" s="30" t="s">
        <v>3498</v>
      </c>
      <c r="H111" s="30" t="s">
        <v>991</v>
      </c>
      <c r="I111" s="30" t="s">
        <v>2127</v>
      </c>
      <c r="J111" s="30" t="s">
        <v>2152</v>
      </c>
      <c r="K111" s="30" t="s">
        <v>2129</v>
      </c>
      <c r="L111" s="30" t="s">
        <v>2129</v>
      </c>
      <c r="M111" s="30" t="s">
        <v>2130</v>
      </c>
      <c r="N111" s="30" t="s">
        <v>2129</v>
      </c>
      <c r="O111" s="30" t="s">
        <v>2141</v>
      </c>
      <c r="P111" s="30" t="s">
        <v>2145</v>
      </c>
      <c r="Q111" s="30" t="s">
        <v>2145</v>
      </c>
      <c r="R111" s="46">
        <v>46080.624305555553</v>
      </c>
      <c r="S111" s="46">
        <v>46086.489583333336</v>
      </c>
      <c r="T111" s="46">
        <v>46087.717361111114</v>
      </c>
      <c r="U111" s="46"/>
      <c r="V111" s="30" t="s">
        <v>2129</v>
      </c>
      <c r="W111" s="30" t="s">
        <v>2129</v>
      </c>
      <c r="X111" s="30" t="s">
        <v>2129</v>
      </c>
      <c r="Y111" s="30">
        <v>0</v>
      </c>
      <c r="Z111" s="30" t="s">
        <v>2129</v>
      </c>
      <c r="AA111" s="30" t="s">
        <v>2129</v>
      </c>
      <c r="AB111" s="30" t="s">
        <v>3578</v>
      </c>
      <c r="AC111" s="30" t="s">
        <v>2129</v>
      </c>
      <c r="AD111" s="30" t="s">
        <v>2145</v>
      </c>
      <c r="AE111" s="30" t="s">
        <v>2129</v>
      </c>
      <c r="AF111" s="30" t="s">
        <v>2129</v>
      </c>
      <c r="AG111" s="30" t="s">
        <v>2129</v>
      </c>
      <c r="AH111" s="30" t="s">
        <v>2129</v>
      </c>
      <c r="AI111" s="30" t="s">
        <v>2129</v>
      </c>
      <c r="AJ111" s="30" t="s">
        <v>2129</v>
      </c>
      <c r="AK111" s="30" t="s">
        <v>2129</v>
      </c>
      <c r="AL111" s="30" t="s">
        <v>2129</v>
      </c>
      <c r="AM111" s="30" t="s">
        <v>2129</v>
      </c>
      <c r="AN111" s="30" t="s">
        <v>2129</v>
      </c>
      <c r="AO111" s="30" t="s">
        <v>2129</v>
      </c>
      <c r="AP111" s="30" t="s">
        <v>2129</v>
      </c>
      <c r="AQ111" s="30" t="s">
        <v>2129</v>
      </c>
      <c r="AR111" s="30" t="s">
        <v>2129</v>
      </c>
      <c r="AS111" s="30" t="s">
        <v>2129</v>
      </c>
      <c r="AT111" s="30" t="s">
        <v>2129</v>
      </c>
      <c r="AU111" s="30" t="s">
        <v>2129</v>
      </c>
      <c r="AV111" s="30" t="s">
        <v>2129</v>
      </c>
      <c r="AW111" s="30" t="s">
        <v>2129</v>
      </c>
      <c r="AX111" s="30"/>
      <c r="AY111" s="30"/>
      <c r="AZ111" s="30" t="s">
        <v>2129</v>
      </c>
      <c r="BA111" s="30" t="s">
        <v>2129</v>
      </c>
      <c r="BB111" s="30"/>
      <c r="BC111" s="30"/>
      <c r="BD111" s="30" t="s">
        <v>2129</v>
      </c>
      <c r="BE111" s="30" t="s">
        <v>2129</v>
      </c>
      <c r="BF111" s="30" t="s">
        <v>2129</v>
      </c>
      <c r="BG111" s="30" t="s">
        <v>2129</v>
      </c>
      <c r="BH111" s="30" t="s">
        <v>2129</v>
      </c>
      <c r="BI111" s="30" t="s">
        <v>2129</v>
      </c>
      <c r="BJ111" s="30" t="s">
        <v>2129</v>
      </c>
      <c r="BK111" s="30" t="s">
        <v>2129</v>
      </c>
      <c r="BL111" s="30" t="s">
        <v>2129</v>
      </c>
      <c r="BM111" s="30" t="s">
        <v>2129</v>
      </c>
      <c r="BN111" s="30" t="s">
        <v>2129</v>
      </c>
      <c r="BO111" s="30" t="s">
        <v>2129</v>
      </c>
      <c r="BP111" s="30" t="s">
        <v>2129</v>
      </c>
      <c r="BQ111" s="30" t="s">
        <v>2129</v>
      </c>
      <c r="BR111" s="30" t="s">
        <v>2129</v>
      </c>
      <c r="BS111" s="30" t="s">
        <v>2129</v>
      </c>
      <c r="BT111" s="30" t="s">
        <v>2129</v>
      </c>
      <c r="BU111" s="30" t="s">
        <v>2129</v>
      </c>
      <c r="BV111" s="30" t="s">
        <v>2129</v>
      </c>
      <c r="BW111" s="30" t="s">
        <v>2129</v>
      </c>
      <c r="BX111" s="30" t="s">
        <v>3573</v>
      </c>
      <c r="BY111" s="30" t="s">
        <v>2129</v>
      </c>
      <c r="BZ111" s="30" t="s">
        <v>2129</v>
      </c>
      <c r="CA111" s="30" t="s">
        <v>2129</v>
      </c>
      <c r="CB111" s="30" t="s">
        <v>2129</v>
      </c>
      <c r="CC111" s="30" t="s">
        <v>2129</v>
      </c>
      <c r="CD111" s="30" t="s">
        <v>2129</v>
      </c>
      <c r="CE111" s="30" t="s">
        <v>3579</v>
      </c>
      <c r="CF111" s="30" t="s">
        <v>2129</v>
      </c>
      <c r="CG111" s="30" t="s">
        <v>2129</v>
      </c>
      <c r="CH111" s="30" t="s">
        <v>2129</v>
      </c>
      <c r="CI111" s="30" t="s">
        <v>2129</v>
      </c>
      <c r="CJ111" s="30" t="s">
        <v>2129</v>
      </c>
      <c r="CK111" s="30" t="s">
        <v>2129</v>
      </c>
      <c r="CL111" s="30" t="s">
        <v>2129</v>
      </c>
      <c r="CM111" s="30" t="s">
        <v>2129</v>
      </c>
      <c r="CN111" s="30" t="s">
        <v>2129</v>
      </c>
      <c r="CO111" s="30" t="s">
        <v>2129</v>
      </c>
      <c r="CP111" s="30" t="s">
        <v>2129</v>
      </c>
      <c r="CQ111" s="30" t="s">
        <v>2129</v>
      </c>
      <c r="CR111" s="30" t="s">
        <v>2129</v>
      </c>
      <c r="CS111" s="30"/>
      <c r="CT111" s="30" t="s">
        <v>2129</v>
      </c>
      <c r="CU111" s="30" t="s">
        <v>2129</v>
      </c>
      <c r="CV111" s="30" t="s">
        <v>3575</v>
      </c>
      <c r="CW111" s="30" t="s">
        <v>2129</v>
      </c>
      <c r="CX111" s="30" t="s">
        <v>2129</v>
      </c>
      <c r="CY111" s="30" t="s">
        <v>2129</v>
      </c>
      <c r="CZ111" s="30" t="s">
        <v>2129</v>
      </c>
      <c r="DA111" s="30" t="s">
        <v>2129</v>
      </c>
      <c r="DB111" s="30" t="s">
        <v>2129</v>
      </c>
      <c r="DC111" s="30" t="s">
        <v>2129</v>
      </c>
      <c r="DD111" s="30" t="s">
        <v>2129</v>
      </c>
      <c r="DE111" s="30" t="s">
        <v>2129</v>
      </c>
      <c r="DF111" s="30" t="s">
        <v>2129</v>
      </c>
      <c r="DG111" s="30" t="s">
        <v>2129</v>
      </c>
      <c r="DH111" s="30" t="s">
        <v>2129</v>
      </c>
      <c r="DI111" s="30" t="s">
        <v>2129</v>
      </c>
      <c r="DJ111" s="30" t="s">
        <v>2129</v>
      </c>
      <c r="DK111" s="30" t="s">
        <v>2129</v>
      </c>
      <c r="DL111" s="30" t="s">
        <v>2129</v>
      </c>
      <c r="DM111" s="30" t="s">
        <v>2129</v>
      </c>
      <c r="DN111" s="30" t="s">
        <v>2129</v>
      </c>
      <c r="DO111" s="30" t="s">
        <v>2129</v>
      </c>
      <c r="DP111" s="30" t="s">
        <v>2129</v>
      </c>
      <c r="DQ111" s="43" t="s">
        <v>2129</v>
      </c>
    </row>
    <row r="112" spans="1:121" x14ac:dyDescent="0.25">
      <c r="A112" s="39" t="s">
        <v>3580</v>
      </c>
      <c r="B112" s="29" t="s">
        <v>3581</v>
      </c>
      <c r="C112" s="29">
        <v>23053</v>
      </c>
      <c r="D112" s="29"/>
      <c r="E112" s="29" t="s">
        <v>14</v>
      </c>
      <c r="F112" s="29" t="s">
        <v>10</v>
      </c>
      <c r="G112" s="29" t="s">
        <v>3498</v>
      </c>
      <c r="H112" s="29" t="s">
        <v>991</v>
      </c>
      <c r="I112" s="29" t="s">
        <v>2127</v>
      </c>
      <c r="J112" s="29" t="s">
        <v>2152</v>
      </c>
      <c r="K112" s="29" t="s">
        <v>2129</v>
      </c>
      <c r="L112" s="29" t="s">
        <v>2129</v>
      </c>
      <c r="M112" s="29" t="s">
        <v>2130</v>
      </c>
      <c r="N112" s="29" t="s">
        <v>2129</v>
      </c>
      <c r="O112" s="29" t="s">
        <v>2141</v>
      </c>
      <c r="P112" s="29" t="s">
        <v>2145</v>
      </c>
      <c r="Q112" s="29" t="s">
        <v>2145</v>
      </c>
      <c r="R112" s="45">
        <v>46080.600694444445</v>
      </c>
      <c r="S112" s="45">
        <v>46086.489583333336</v>
      </c>
      <c r="T112" s="45">
        <v>46087.717361111114</v>
      </c>
      <c r="U112" s="45"/>
      <c r="V112" s="29" t="s">
        <v>2129</v>
      </c>
      <c r="W112" s="29" t="s">
        <v>2129</v>
      </c>
      <c r="X112" s="29" t="s">
        <v>2129</v>
      </c>
      <c r="Y112" s="29">
        <v>0</v>
      </c>
      <c r="Z112" s="29" t="s">
        <v>2129</v>
      </c>
      <c r="AA112" s="29" t="s">
        <v>2129</v>
      </c>
      <c r="AB112" s="29" t="s">
        <v>3582</v>
      </c>
      <c r="AC112" s="29" t="s">
        <v>2129</v>
      </c>
      <c r="AD112" s="29" t="s">
        <v>2145</v>
      </c>
      <c r="AE112" s="29" t="s">
        <v>2129</v>
      </c>
      <c r="AF112" s="29" t="s">
        <v>2129</v>
      </c>
      <c r="AG112" s="29" t="s">
        <v>2129</v>
      </c>
      <c r="AH112" s="29" t="s">
        <v>2129</v>
      </c>
      <c r="AI112" s="29" t="s">
        <v>2129</v>
      </c>
      <c r="AJ112" s="29" t="s">
        <v>2129</v>
      </c>
      <c r="AK112" s="29" t="s">
        <v>2129</v>
      </c>
      <c r="AL112" s="29" t="s">
        <v>2129</v>
      </c>
      <c r="AM112" s="29" t="s">
        <v>2129</v>
      </c>
      <c r="AN112" s="29" t="s">
        <v>2129</v>
      </c>
      <c r="AO112" s="29" t="s">
        <v>2129</v>
      </c>
      <c r="AP112" s="29" t="s">
        <v>2129</v>
      </c>
      <c r="AQ112" s="29" t="s">
        <v>2129</v>
      </c>
      <c r="AR112" s="29" t="s">
        <v>2129</v>
      </c>
      <c r="AS112" s="29" t="s">
        <v>2129</v>
      </c>
      <c r="AT112" s="29" t="s">
        <v>2129</v>
      </c>
      <c r="AU112" s="29" t="s">
        <v>2129</v>
      </c>
      <c r="AV112" s="29" t="s">
        <v>2129</v>
      </c>
      <c r="AW112" s="29" t="s">
        <v>2129</v>
      </c>
      <c r="AX112" s="29"/>
      <c r="AY112" s="29"/>
      <c r="AZ112" s="29" t="s">
        <v>2129</v>
      </c>
      <c r="BA112" s="29" t="s">
        <v>2129</v>
      </c>
      <c r="BB112" s="29"/>
      <c r="BC112" s="29"/>
      <c r="BD112" s="29" t="s">
        <v>2129</v>
      </c>
      <c r="BE112" s="29" t="s">
        <v>2129</v>
      </c>
      <c r="BF112" s="29" t="s">
        <v>2129</v>
      </c>
      <c r="BG112" s="29" t="s">
        <v>2129</v>
      </c>
      <c r="BH112" s="29" t="s">
        <v>2129</v>
      </c>
      <c r="BI112" s="29" t="s">
        <v>2129</v>
      </c>
      <c r="BJ112" s="29" t="s">
        <v>2129</v>
      </c>
      <c r="BK112" s="29" t="s">
        <v>2129</v>
      </c>
      <c r="BL112" s="29" t="s">
        <v>2129</v>
      </c>
      <c r="BM112" s="29" t="s">
        <v>2129</v>
      </c>
      <c r="BN112" s="29" t="s">
        <v>2129</v>
      </c>
      <c r="BO112" s="29" t="s">
        <v>2129</v>
      </c>
      <c r="BP112" s="29" t="s">
        <v>2129</v>
      </c>
      <c r="BQ112" s="29" t="s">
        <v>2129</v>
      </c>
      <c r="BR112" s="29" t="s">
        <v>2129</v>
      </c>
      <c r="BS112" s="29" t="s">
        <v>2129</v>
      </c>
      <c r="BT112" s="29" t="s">
        <v>2129</v>
      </c>
      <c r="BU112" s="29" t="s">
        <v>2129</v>
      </c>
      <c r="BV112" s="29" t="s">
        <v>2129</v>
      </c>
      <c r="BW112" s="29" t="s">
        <v>2129</v>
      </c>
      <c r="BX112" s="29" t="s">
        <v>3573</v>
      </c>
      <c r="BY112" s="29" t="s">
        <v>2129</v>
      </c>
      <c r="BZ112" s="29" t="s">
        <v>2129</v>
      </c>
      <c r="CA112" s="29" t="s">
        <v>2129</v>
      </c>
      <c r="CB112" s="29" t="s">
        <v>2129</v>
      </c>
      <c r="CC112" s="29" t="s">
        <v>2129</v>
      </c>
      <c r="CD112" s="29" t="s">
        <v>2129</v>
      </c>
      <c r="CE112" s="29" t="s">
        <v>3583</v>
      </c>
      <c r="CF112" s="29" t="s">
        <v>2129</v>
      </c>
      <c r="CG112" s="29" t="s">
        <v>2129</v>
      </c>
      <c r="CH112" s="29" t="s">
        <v>2129</v>
      </c>
      <c r="CI112" s="29" t="s">
        <v>2129</v>
      </c>
      <c r="CJ112" s="29" t="s">
        <v>2129</v>
      </c>
      <c r="CK112" s="29" t="s">
        <v>2129</v>
      </c>
      <c r="CL112" s="29" t="s">
        <v>2129</v>
      </c>
      <c r="CM112" s="29" t="s">
        <v>2129</v>
      </c>
      <c r="CN112" s="29" t="s">
        <v>2129</v>
      </c>
      <c r="CO112" s="29" t="s">
        <v>2129</v>
      </c>
      <c r="CP112" s="29" t="s">
        <v>2129</v>
      </c>
      <c r="CQ112" s="29" t="s">
        <v>2129</v>
      </c>
      <c r="CR112" s="29" t="s">
        <v>2129</v>
      </c>
      <c r="CS112" s="29"/>
      <c r="CT112" s="29" t="s">
        <v>2129</v>
      </c>
      <c r="CU112" s="29" t="s">
        <v>2129</v>
      </c>
      <c r="CV112" s="29" t="s">
        <v>3584</v>
      </c>
      <c r="CW112" s="29" t="s">
        <v>2129</v>
      </c>
      <c r="CX112" s="29" t="s">
        <v>2129</v>
      </c>
      <c r="CY112" s="29" t="s">
        <v>2129</v>
      </c>
      <c r="CZ112" s="29" t="s">
        <v>2129</v>
      </c>
      <c r="DA112" s="29" t="s">
        <v>2129</v>
      </c>
      <c r="DB112" s="29" t="s">
        <v>2129</v>
      </c>
      <c r="DC112" s="29" t="s">
        <v>2129</v>
      </c>
      <c r="DD112" s="29" t="s">
        <v>2129</v>
      </c>
      <c r="DE112" s="29" t="s">
        <v>2129</v>
      </c>
      <c r="DF112" s="29" t="s">
        <v>2129</v>
      </c>
      <c r="DG112" s="29" t="s">
        <v>2129</v>
      </c>
      <c r="DH112" s="29" t="s">
        <v>2129</v>
      </c>
      <c r="DI112" s="29" t="s">
        <v>2129</v>
      </c>
      <c r="DJ112" s="29" t="s">
        <v>2129</v>
      </c>
      <c r="DK112" s="29" t="s">
        <v>2129</v>
      </c>
      <c r="DL112" s="29" t="s">
        <v>2129</v>
      </c>
      <c r="DM112" s="29" t="s">
        <v>2129</v>
      </c>
      <c r="DN112" s="29" t="s">
        <v>2129</v>
      </c>
      <c r="DO112" s="29" t="s">
        <v>2129</v>
      </c>
      <c r="DP112" s="29" t="s">
        <v>2129</v>
      </c>
      <c r="DQ112" s="42" t="s">
        <v>2129</v>
      </c>
    </row>
    <row r="113" spans="1:121" x14ac:dyDescent="0.25">
      <c r="A113" s="36" t="s">
        <v>3585</v>
      </c>
      <c r="B113" s="30" t="s">
        <v>3463</v>
      </c>
      <c r="C113" s="30">
        <v>23042</v>
      </c>
      <c r="D113" s="30"/>
      <c r="E113" s="30" t="s">
        <v>2154</v>
      </c>
      <c r="F113" s="30" t="s">
        <v>10</v>
      </c>
      <c r="G113" s="30" t="s">
        <v>3498</v>
      </c>
      <c r="H113" s="30" t="s">
        <v>991</v>
      </c>
      <c r="I113" s="30" t="s">
        <v>2127</v>
      </c>
      <c r="J113" s="30" t="s">
        <v>2152</v>
      </c>
      <c r="K113" s="30" t="s">
        <v>2129</v>
      </c>
      <c r="L113" s="30" t="s">
        <v>2129</v>
      </c>
      <c r="M113" s="30" t="s">
        <v>2130</v>
      </c>
      <c r="N113" s="30" t="s">
        <v>2129</v>
      </c>
      <c r="O113" s="30" t="s">
        <v>2190</v>
      </c>
      <c r="P113" s="30" t="s">
        <v>2190</v>
      </c>
      <c r="Q113" s="30" t="s">
        <v>2190</v>
      </c>
      <c r="R113" s="46">
        <v>46078.606249999997</v>
      </c>
      <c r="S113" s="46">
        <v>46078.65902777778</v>
      </c>
      <c r="T113" s="46">
        <v>46087.717361111114</v>
      </c>
      <c r="U113" s="46"/>
      <c r="V113" s="30" t="s">
        <v>2129</v>
      </c>
      <c r="W113" s="30" t="s">
        <v>2129</v>
      </c>
      <c r="X113" s="30" t="s">
        <v>2129</v>
      </c>
      <c r="Y113" s="30">
        <v>0</v>
      </c>
      <c r="Z113" s="30" t="s">
        <v>2129</v>
      </c>
      <c r="AA113" s="30" t="s">
        <v>2129</v>
      </c>
      <c r="AB113" s="30" t="s">
        <v>3586</v>
      </c>
      <c r="AC113" s="30" t="s">
        <v>2129</v>
      </c>
      <c r="AD113" s="30" t="s">
        <v>2190</v>
      </c>
      <c r="AE113" s="30" t="s">
        <v>2129</v>
      </c>
      <c r="AF113" s="30" t="s">
        <v>2129</v>
      </c>
      <c r="AG113" s="30" t="s">
        <v>2129</v>
      </c>
      <c r="AH113" s="30" t="s">
        <v>2129</v>
      </c>
      <c r="AI113" s="30" t="s">
        <v>2129</v>
      </c>
      <c r="AJ113" s="30" t="s">
        <v>2129</v>
      </c>
      <c r="AK113" s="30" t="s">
        <v>2129</v>
      </c>
      <c r="AL113" s="30" t="s">
        <v>2129</v>
      </c>
      <c r="AM113" s="30" t="s">
        <v>2129</v>
      </c>
      <c r="AN113" s="30" t="s">
        <v>2129</v>
      </c>
      <c r="AO113" s="30" t="s">
        <v>2129</v>
      </c>
      <c r="AP113" s="30" t="s">
        <v>2129</v>
      </c>
      <c r="AQ113" s="30" t="s">
        <v>2129</v>
      </c>
      <c r="AR113" s="30" t="s">
        <v>2129</v>
      </c>
      <c r="AS113" s="30" t="s">
        <v>2129</v>
      </c>
      <c r="AT113" s="30" t="s">
        <v>2129</v>
      </c>
      <c r="AU113" s="30" t="s">
        <v>2129</v>
      </c>
      <c r="AV113" s="30" t="s">
        <v>2129</v>
      </c>
      <c r="AW113" s="30" t="s">
        <v>2129</v>
      </c>
      <c r="AX113" s="30"/>
      <c r="AY113" s="30"/>
      <c r="AZ113" s="30" t="s">
        <v>2129</v>
      </c>
      <c r="BA113" s="30" t="s">
        <v>2129</v>
      </c>
      <c r="BB113" s="30"/>
      <c r="BC113" s="30"/>
      <c r="BD113" s="30" t="s">
        <v>2129</v>
      </c>
      <c r="BE113" s="30" t="s">
        <v>2129</v>
      </c>
      <c r="BF113" s="30" t="s">
        <v>2129</v>
      </c>
      <c r="BG113" s="30" t="s">
        <v>2129</v>
      </c>
      <c r="BH113" s="30" t="s">
        <v>2129</v>
      </c>
      <c r="BI113" s="30" t="s">
        <v>2129</v>
      </c>
      <c r="BJ113" s="30" t="s">
        <v>2129</v>
      </c>
      <c r="BK113" s="30" t="s">
        <v>2129</v>
      </c>
      <c r="BL113" s="30" t="s">
        <v>2129</v>
      </c>
      <c r="BM113" s="30" t="s">
        <v>2129</v>
      </c>
      <c r="BN113" s="30" t="s">
        <v>2129</v>
      </c>
      <c r="BO113" s="30" t="s">
        <v>2129</v>
      </c>
      <c r="BP113" s="30" t="s">
        <v>2129</v>
      </c>
      <c r="BQ113" s="30" t="s">
        <v>2129</v>
      </c>
      <c r="BR113" s="30" t="s">
        <v>2129</v>
      </c>
      <c r="BS113" s="30" t="s">
        <v>2129</v>
      </c>
      <c r="BT113" s="30" t="s">
        <v>2129</v>
      </c>
      <c r="BU113" s="30" t="s">
        <v>2129</v>
      </c>
      <c r="BV113" s="30" t="s">
        <v>2129</v>
      </c>
      <c r="BW113" s="30" t="s">
        <v>3587</v>
      </c>
      <c r="BX113" s="30" t="s">
        <v>2129</v>
      </c>
      <c r="BY113" s="30" t="s">
        <v>3588</v>
      </c>
      <c r="BZ113" s="30" t="s">
        <v>10</v>
      </c>
      <c r="CA113" s="30" t="s">
        <v>2129</v>
      </c>
      <c r="CB113" s="30" t="s">
        <v>2129</v>
      </c>
      <c r="CC113" s="30" t="s">
        <v>2129</v>
      </c>
      <c r="CD113" s="30" t="s">
        <v>2129</v>
      </c>
      <c r="CE113" s="30" t="s">
        <v>3589</v>
      </c>
      <c r="CF113" s="30" t="s">
        <v>2129</v>
      </c>
      <c r="CG113" s="30" t="s">
        <v>2129</v>
      </c>
      <c r="CH113" s="30" t="s">
        <v>2129</v>
      </c>
      <c r="CI113" s="30" t="s">
        <v>2129</v>
      </c>
      <c r="CJ113" s="30" t="s">
        <v>2129</v>
      </c>
      <c r="CK113" s="30" t="s">
        <v>2129</v>
      </c>
      <c r="CL113" s="30" t="s">
        <v>2129</v>
      </c>
      <c r="CM113" s="30" t="s">
        <v>2129</v>
      </c>
      <c r="CN113" s="30" t="s">
        <v>2129</v>
      </c>
      <c r="CO113" s="30" t="s">
        <v>2129</v>
      </c>
      <c r="CP113" s="30" t="s">
        <v>2129</v>
      </c>
      <c r="CQ113" s="30" t="s">
        <v>2129</v>
      </c>
      <c r="CR113" s="30" t="s">
        <v>2129</v>
      </c>
      <c r="CS113" s="30"/>
      <c r="CT113" s="30" t="s">
        <v>2129</v>
      </c>
      <c r="CU113" s="30" t="s">
        <v>2129</v>
      </c>
      <c r="CV113" s="30" t="s">
        <v>2129</v>
      </c>
      <c r="CW113" s="30" t="s">
        <v>2129</v>
      </c>
      <c r="CX113" s="30" t="s">
        <v>2129</v>
      </c>
      <c r="CY113" s="30" t="s">
        <v>2129</v>
      </c>
      <c r="CZ113" s="30" t="s">
        <v>2129</v>
      </c>
      <c r="DA113" s="30" t="s">
        <v>2129</v>
      </c>
      <c r="DB113" s="30" t="s">
        <v>2129</v>
      </c>
      <c r="DC113" s="30" t="s">
        <v>2129</v>
      </c>
      <c r="DD113" s="30" t="s">
        <v>2129</v>
      </c>
      <c r="DE113" s="30" t="s">
        <v>2129</v>
      </c>
      <c r="DF113" s="30" t="s">
        <v>2129</v>
      </c>
      <c r="DG113" s="30" t="s">
        <v>2129</v>
      </c>
      <c r="DH113" s="30" t="s">
        <v>2129</v>
      </c>
      <c r="DI113" s="30" t="s">
        <v>2129</v>
      </c>
      <c r="DJ113" s="30" t="s">
        <v>2129</v>
      </c>
      <c r="DK113" s="30" t="s">
        <v>2129</v>
      </c>
      <c r="DL113" s="30" t="s">
        <v>2129</v>
      </c>
      <c r="DM113" s="30" t="s">
        <v>2129</v>
      </c>
      <c r="DN113" s="30" t="s">
        <v>2129</v>
      </c>
      <c r="DO113" s="30" t="s">
        <v>2129</v>
      </c>
      <c r="DP113" s="30" t="s">
        <v>2129</v>
      </c>
      <c r="DQ113" s="43" t="s">
        <v>2129</v>
      </c>
    </row>
    <row r="114" spans="1:121" x14ac:dyDescent="0.25">
      <c r="A114" s="39" t="s">
        <v>3590</v>
      </c>
      <c r="B114" s="29" t="s">
        <v>3591</v>
      </c>
      <c r="C114" s="29">
        <v>22923</v>
      </c>
      <c r="D114" s="29"/>
      <c r="E114" s="29" t="s">
        <v>14</v>
      </c>
      <c r="F114" s="29" t="s">
        <v>16</v>
      </c>
      <c r="G114" s="29" t="s">
        <v>3498</v>
      </c>
      <c r="H114" s="29" t="s">
        <v>991</v>
      </c>
      <c r="I114" s="29" t="s">
        <v>2127</v>
      </c>
      <c r="J114" s="29" t="s">
        <v>2152</v>
      </c>
      <c r="K114" s="29" t="s">
        <v>2129</v>
      </c>
      <c r="L114" s="29" t="s">
        <v>2129</v>
      </c>
      <c r="M114" s="29" t="s">
        <v>2130</v>
      </c>
      <c r="N114" s="29" t="s">
        <v>2153</v>
      </c>
      <c r="O114" s="29" t="s">
        <v>2150</v>
      </c>
      <c r="P114" s="29" t="s">
        <v>2145</v>
      </c>
      <c r="Q114" s="29" t="s">
        <v>2145</v>
      </c>
      <c r="R114" s="45">
        <v>46057.65625</v>
      </c>
      <c r="S114" s="45">
        <v>46084.744444444441</v>
      </c>
      <c r="T114" s="45">
        <v>46087.717361111114</v>
      </c>
      <c r="U114" s="45">
        <v>46084.744444444441</v>
      </c>
      <c r="V114" s="29" t="s">
        <v>2129</v>
      </c>
      <c r="W114" s="29" t="s">
        <v>2129</v>
      </c>
      <c r="X114" s="29" t="s">
        <v>2129</v>
      </c>
      <c r="Y114" s="29">
        <v>0</v>
      </c>
      <c r="Z114" s="29" t="s">
        <v>3592</v>
      </c>
      <c r="AA114" s="29" t="s">
        <v>2129</v>
      </c>
      <c r="AB114" s="29" t="s">
        <v>3593</v>
      </c>
      <c r="AC114" s="29" t="s">
        <v>2129</v>
      </c>
      <c r="AD114" s="29" t="s">
        <v>2145</v>
      </c>
      <c r="AE114" s="29" t="s">
        <v>2150</v>
      </c>
      <c r="AF114" s="29" t="s">
        <v>2129</v>
      </c>
      <c r="AG114" s="29" t="s">
        <v>2129</v>
      </c>
      <c r="AH114" s="29" t="s">
        <v>2129</v>
      </c>
      <c r="AI114" s="29" t="s">
        <v>3594</v>
      </c>
      <c r="AJ114" s="29" t="s">
        <v>3595</v>
      </c>
      <c r="AK114" s="29" t="s">
        <v>2129</v>
      </c>
      <c r="AL114" s="29" t="s">
        <v>2129</v>
      </c>
      <c r="AM114" s="29" t="s">
        <v>2129</v>
      </c>
      <c r="AN114" s="29" t="s">
        <v>2129</v>
      </c>
      <c r="AO114" s="29" t="s">
        <v>2129</v>
      </c>
      <c r="AP114" s="29" t="s">
        <v>2129</v>
      </c>
      <c r="AQ114" s="29" t="s">
        <v>2129</v>
      </c>
      <c r="AR114" s="29" t="s">
        <v>2129</v>
      </c>
      <c r="AS114" s="29" t="s">
        <v>2129</v>
      </c>
      <c r="AT114" s="29" t="s">
        <v>2129</v>
      </c>
      <c r="AU114" s="29" t="s">
        <v>2129</v>
      </c>
      <c r="AV114" s="29" t="s">
        <v>2129</v>
      </c>
      <c r="AW114" s="29" t="s">
        <v>2129</v>
      </c>
      <c r="AX114" s="29">
        <v>0</v>
      </c>
      <c r="AY114" s="29">
        <v>48600</v>
      </c>
      <c r="AZ114" s="29" t="s">
        <v>2129</v>
      </c>
      <c r="BA114" s="29" t="s">
        <v>2129</v>
      </c>
      <c r="BB114" s="29">
        <v>0</v>
      </c>
      <c r="BC114" s="29">
        <v>80100</v>
      </c>
      <c r="BD114" s="29" t="s">
        <v>2129</v>
      </c>
      <c r="BE114" s="29" t="s">
        <v>2129</v>
      </c>
      <c r="BF114" s="29" t="s">
        <v>2129</v>
      </c>
      <c r="BG114" s="29" t="s">
        <v>2129</v>
      </c>
      <c r="BH114" s="29" t="s">
        <v>2129</v>
      </c>
      <c r="BI114" s="29" t="s">
        <v>2129</v>
      </c>
      <c r="BJ114" s="29" t="s">
        <v>2129</v>
      </c>
      <c r="BK114" s="29" t="s">
        <v>3596</v>
      </c>
      <c r="BL114" s="29" t="s">
        <v>3597</v>
      </c>
      <c r="BM114" s="29" t="s">
        <v>3598</v>
      </c>
      <c r="BN114" s="29" t="s">
        <v>3599</v>
      </c>
      <c r="BO114" s="29" t="s">
        <v>3600</v>
      </c>
      <c r="BP114" s="29" t="s">
        <v>3601</v>
      </c>
      <c r="BQ114" s="29" t="s">
        <v>3602</v>
      </c>
      <c r="BR114" s="29" t="s">
        <v>3603</v>
      </c>
      <c r="BS114" s="29" t="s">
        <v>3604</v>
      </c>
      <c r="BT114" s="29" t="s">
        <v>2129</v>
      </c>
      <c r="BU114" s="29" t="s">
        <v>2129</v>
      </c>
      <c r="BV114" s="29" t="s">
        <v>2129</v>
      </c>
      <c r="BW114" s="29" t="s">
        <v>2129</v>
      </c>
      <c r="BX114" s="29" t="s">
        <v>2129</v>
      </c>
      <c r="BY114" s="29" t="s">
        <v>2129</v>
      </c>
      <c r="BZ114" s="29" t="s">
        <v>2129</v>
      </c>
      <c r="CA114" s="29" t="s">
        <v>2129</v>
      </c>
      <c r="CB114" s="29" t="s">
        <v>2129</v>
      </c>
      <c r="CC114" s="29" t="s">
        <v>2129</v>
      </c>
      <c r="CD114" s="29" t="s">
        <v>2129</v>
      </c>
      <c r="CE114" s="29" t="s">
        <v>3605</v>
      </c>
      <c r="CF114" s="29" t="s">
        <v>3550</v>
      </c>
      <c r="CG114" s="29" t="s">
        <v>2129</v>
      </c>
      <c r="CH114" s="29" t="s">
        <v>2129</v>
      </c>
      <c r="CI114" s="29" t="s">
        <v>2129</v>
      </c>
      <c r="CJ114" s="29" t="s">
        <v>2129</v>
      </c>
      <c r="CK114" s="29" t="s">
        <v>2129</v>
      </c>
      <c r="CL114" s="29" t="s">
        <v>2129</v>
      </c>
      <c r="CM114" s="29" t="s">
        <v>2129</v>
      </c>
      <c r="CN114" s="29" t="s">
        <v>2129</v>
      </c>
      <c r="CO114" s="29" t="s">
        <v>2129</v>
      </c>
      <c r="CP114" s="29" t="s">
        <v>2129</v>
      </c>
      <c r="CQ114" s="29" t="s">
        <v>2129</v>
      </c>
      <c r="CR114" s="29" t="s">
        <v>2129</v>
      </c>
      <c r="CS114" s="29"/>
      <c r="CT114" s="29" t="s">
        <v>2129</v>
      </c>
      <c r="CU114" s="29" t="s">
        <v>2129</v>
      </c>
      <c r="CV114" s="29" t="s">
        <v>3606</v>
      </c>
      <c r="CW114" s="29" t="s">
        <v>3607</v>
      </c>
      <c r="CX114" s="29" t="s">
        <v>3608</v>
      </c>
      <c r="CY114" s="29" t="s">
        <v>2129</v>
      </c>
      <c r="CZ114" s="29" t="s">
        <v>2129</v>
      </c>
      <c r="DA114" s="29" t="s">
        <v>2129</v>
      </c>
      <c r="DB114" s="29" t="s">
        <v>2129</v>
      </c>
      <c r="DC114" s="29" t="s">
        <v>2129</v>
      </c>
      <c r="DD114" s="29" t="s">
        <v>2129</v>
      </c>
      <c r="DE114" s="29" t="s">
        <v>2129</v>
      </c>
      <c r="DF114" s="29" t="s">
        <v>2129</v>
      </c>
      <c r="DG114" s="29" t="s">
        <v>2129</v>
      </c>
      <c r="DH114" s="29" t="s">
        <v>2129</v>
      </c>
      <c r="DI114" s="29" t="s">
        <v>2129</v>
      </c>
      <c r="DJ114" s="29" t="s">
        <v>2129</v>
      </c>
      <c r="DK114" s="29" t="s">
        <v>2129</v>
      </c>
      <c r="DL114" s="29" t="s">
        <v>2129</v>
      </c>
      <c r="DM114" s="29" t="s">
        <v>2129</v>
      </c>
      <c r="DN114" s="29" t="s">
        <v>2129</v>
      </c>
      <c r="DO114" s="29" t="s">
        <v>2129</v>
      </c>
      <c r="DP114" s="29" t="s">
        <v>2129</v>
      </c>
      <c r="DQ114" s="42" t="s">
        <v>2129</v>
      </c>
    </row>
    <row r="115" spans="1:121" x14ac:dyDescent="0.25">
      <c r="A115" s="36" t="s">
        <v>1671</v>
      </c>
      <c r="B115" s="30" t="s">
        <v>1670</v>
      </c>
      <c r="C115" s="30">
        <v>22398</v>
      </c>
      <c r="D115" s="30"/>
      <c r="E115" s="30" t="s">
        <v>14</v>
      </c>
      <c r="F115" s="30" t="s">
        <v>16</v>
      </c>
      <c r="G115" s="30" t="s">
        <v>3498</v>
      </c>
      <c r="H115" s="30" t="s">
        <v>991</v>
      </c>
      <c r="I115" s="30" t="s">
        <v>2127</v>
      </c>
      <c r="J115" s="30" t="s">
        <v>2152</v>
      </c>
      <c r="K115" s="30" t="s">
        <v>2129</v>
      </c>
      <c r="L115" s="30" t="s">
        <v>2129</v>
      </c>
      <c r="M115" s="30" t="s">
        <v>2130</v>
      </c>
      <c r="N115" s="30" t="s">
        <v>2153</v>
      </c>
      <c r="O115" s="30" t="s">
        <v>2152</v>
      </c>
      <c r="P115" s="30" t="s">
        <v>2152</v>
      </c>
      <c r="Q115" s="30" t="s">
        <v>2152</v>
      </c>
      <c r="R115" s="46">
        <v>45952.744444444441</v>
      </c>
      <c r="S115" s="46">
        <v>46085.461805555555</v>
      </c>
      <c r="T115" s="46">
        <v>46087.717361111114</v>
      </c>
      <c r="U115" s="46">
        <v>46085.461805555555</v>
      </c>
      <c r="V115" s="30" t="s">
        <v>2129</v>
      </c>
      <c r="W115" s="30" t="s">
        <v>2129</v>
      </c>
      <c r="X115" s="30" t="s">
        <v>2129</v>
      </c>
      <c r="Y115" s="30">
        <v>0</v>
      </c>
      <c r="Z115" s="30" t="s">
        <v>2129</v>
      </c>
      <c r="AA115" s="30" t="s">
        <v>2129</v>
      </c>
      <c r="AB115" s="30" t="s">
        <v>3609</v>
      </c>
      <c r="AC115" s="30" t="s">
        <v>2129</v>
      </c>
      <c r="AD115" s="30" t="s">
        <v>2152</v>
      </c>
      <c r="AE115" s="30" t="s">
        <v>2129</v>
      </c>
      <c r="AF115" s="30" t="s">
        <v>2129</v>
      </c>
      <c r="AG115" s="30" t="s">
        <v>2129</v>
      </c>
      <c r="AH115" s="30" t="s">
        <v>2129</v>
      </c>
      <c r="AI115" s="30" t="s">
        <v>3610</v>
      </c>
      <c r="AJ115" s="30" t="s">
        <v>2129</v>
      </c>
      <c r="AK115" s="30" t="s">
        <v>2129</v>
      </c>
      <c r="AL115" s="30" t="s">
        <v>2129</v>
      </c>
      <c r="AM115" s="30" t="s">
        <v>2129</v>
      </c>
      <c r="AN115" s="30" t="s">
        <v>2129</v>
      </c>
      <c r="AO115" s="30" t="s">
        <v>2129</v>
      </c>
      <c r="AP115" s="30" t="s">
        <v>2129</v>
      </c>
      <c r="AQ115" s="30" t="s">
        <v>2129</v>
      </c>
      <c r="AR115" s="30" t="s">
        <v>2129</v>
      </c>
      <c r="AS115" s="30" t="s">
        <v>2129</v>
      </c>
      <c r="AT115" s="30" t="s">
        <v>2129</v>
      </c>
      <c r="AU115" s="30" t="s">
        <v>2129</v>
      </c>
      <c r="AV115" s="30" t="s">
        <v>2129</v>
      </c>
      <c r="AW115" s="30" t="s">
        <v>2129</v>
      </c>
      <c r="AX115" s="30">
        <v>0</v>
      </c>
      <c r="AY115" s="30">
        <v>2700</v>
      </c>
      <c r="AZ115" s="30" t="s">
        <v>2129</v>
      </c>
      <c r="BA115" s="30" t="s">
        <v>2129</v>
      </c>
      <c r="BB115" s="30">
        <v>0</v>
      </c>
      <c r="BC115" s="30">
        <v>2700</v>
      </c>
      <c r="BD115" s="30" t="s">
        <v>2129</v>
      </c>
      <c r="BE115" s="30" t="s">
        <v>2129</v>
      </c>
      <c r="BF115" s="30" t="s">
        <v>2129</v>
      </c>
      <c r="BG115" s="30" t="s">
        <v>2129</v>
      </c>
      <c r="BH115" s="30" t="s">
        <v>2129</v>
      </c>
      <c r="BI115" s="30" t="s">
        <v>2129</v>
      </c>
      <c r="BJ115" s="30" t="s">
        <v>2129</v>
      </c>
      <c r="BK115" s="30" t="s">
        <v>2129</v>
      </c>
      <c r="BL115" s="30" t="s">
        <v>2129</v>
      </c>
      <c r="BM115" s="30" t="s">
        <v>2129</v>
      </c>
      <c r="BN115" s="30" t="s">
        <v>2129</v>
      </c>
      <c r="BO115" s="30" t="s">
        <v>2129</v>
      </c>
      <c r="BP115" s="30" t="s">
        <v>2129</v>
      </c>
      <c r="BQ115" s="30" t="s">
        <v>2129</v>
      </c>
      <c r="BR115" s="30" t="s">
        <v>2129</v>
      </c>
      <c r="BS115" s="30" t="s">
        <v>2129</v>
      </c>
      <c r="BT115" s="30" t="s">
        <v>2129</v>
      </c>
      <c r="BU115" s="30" t="s">
        <v>2129</v>
      </c>
      <c r="BV115" s="30" t="s">
        <v>2129</v>
      </c>
      <c r="BW115" s="30" t="s">
        <v>2129</v>
      </c>
      <c r="BX115" s="30" t="s">
        <v>3611</v>
      </c>
      <c r="BY115" s="30" t="s">
        <v>2129</v>
      </c>
      <c r="BZ115" s="30" t="s">
        <v>2129</v>
      </c>
      <c r="CA115" s="30" t="s">
        <v>2129</v>
      </c>
      <c r="CB115" s="30" t="s">
        <v>2129</v>
      </c>
      <c r="CC115" s="30" t="s">
        <v>2129</v>
      </c>
      <c r="CD115" s="30" t="s">
        <v>2129</v>
      </c>
      <c r="CE115" s="30" t="s">
        <v>3612</v>
      </c>
      <c r="CF115" s="30" t="s">
        <v>3613</v>
      </c>
      <c r="CG115" s="30" t="s">
        <v>2129</v>
      </c>
      <c r="CH115" s="30" t="s">
        <v>2129</v>
      </c>
      <c r="CI115" s="30" t="s">
        <v>2129</v>
      </c>
      <c r="CJ115" s="30" t="s">
        <v>2129</v>
      </c>
      <c r="CK115" s="30" t="s">
        <v>2129</v>
      </c>
      <c r="CL115" s="30" t="s">
        <v>2129</v>
      </c>
      <c r="CM115" s="30" t="s">
        <v>2129</v>
      </c>
      <c r="CN115" s="30" t="s">
        <v>2129</v>
      </c>
      <c r="CO115" s="30" t="s">
        <v>2129</v>
      </c>
      <c r="CP115" s="30" t="s">
        <v>2129</v>
      </c>
      <c r="CQ115" s="30" t="s">
        <v>2129</v>
      </c>
      <c r="CR115" s="30" t="s">
        <v>2129</v>
      </c>
      <c r="CS115" s="30"/>
      <c r="CT115" s="30" t="s">
        <v>2129</v>
      </c>
      <c r="CU115" s="30" t="s">
        <v>2129</v>
      </c>
      <c r="CV115" s="30" t="s">
        <v>3614</v>
      </c>
      <c r="CW115" s="30" t="s">
        <v>2129</v>
      </c>
      <c r="CX115" s="30" t="s">
        <v>2129</v>
      </c>
      <c r="CY115" s="30" t="s">
        <v>2129</v>
      </c>
      <c r="CZ115" s="30" t="s">
        <v>2129</v>
      </c>
      <c r="DA115" s="30" t="s">
        <v>2129</v>
      </c>
      <c r="DB115" s="30" t="s">
        <v>2129</v>
      </c>
      <c r="DC115" s="30" t="s">
        <v>2129</v>
      </c>
      <c r="DD115" s="30" t="s">
        <v>2129</v>
      </c>
      <c r="DE115" s="30" t="s">
        <v>2129</v>
      </c>
      <c r="DF115" s="30" t="s">
        <v>2129</v>
      </c>
      <c r="DG115" s="30" t="s">
        <v>2129</v>
      </c>
      <c r="DH115" s="30" t="s">
        <v>2129</v>
      </c>
      <c r="DI115" s="30" t="s">
        <v>2129</v>
      </c>
      <c r="DJ115" s="30" t="s">
        <v>2129</v>
      </c>
      <c r="DK115" s="30" t="s">
        <v>2129</v>
      </c>
      <c r="DL115" s="30" t="s">
        <v>2129</v>
      </c>
      <c r="DM115" s="30" t="s">
        <v>2129</v>
      </c>
      <c r="DN115" s="30" t="s">
        <v>2129</v>
      </c>
      <c r="DO115" s="30" t="s">
        <v>2129</v>
      </c>
      <c r="DP115" s="30" t="s">
        <v>2129</v>
      </c>
      <c r="DQ115" s="43" t="s">
        <v>2129</v>
      </c>
    </row>
    <row r="116" spans="1:121" x14ac:dyDescent="0.25">
      <c r="A116" s="39" t="s">
        <v>1673</v>
      </c>
      <c r="B116" s="29" t="s">
        <v>1672</v>
      </c>
      <c r="C116" s="29">
        <v>22393</v>
      </c>
      <c r="D116" s="29"/>
      <c r="E116" s="29" t="s">
        <v>14</v>
      </c>
      <c r="F116" s="29" t="s">
        <v>16</v>
      </c>
      <c r="G116" s="29" t="s">
        <v>3498</v>
      </c>
      <c r="H116" s="29" t="s">
        <v>991</v>
      </c>
      <c r="I116" s="29" t="s">
        <v>2127</v>
      </c>
      <c r="J116" s="29" t="s">
        <v>2152</v>
      </c>
      <c r="K116" s="29" t="s">
        <v>2129</v>
      </c>
      <c r="L116" s="29" t="s">
        <v>2129</v>
      </c>
      <c r="M116" s="29" t="s">
        <v>2130</v>
      </c>
      <c r="N116" s="29" t="s">
        <v>2153</v>
      </c>
      <c r="O116" s="29" t="s">
        <v>2152</v>
      </c>
      <c r="P116" s="29" t="s">
        <v>2152</v>
      </c>
      <c r="Q116" s="29" t="s">
        <v>2152</v>
      </c>
      <c r="R116" s="45">
        <v>45951.772916666669</v>
      </c>
      <c r="S116" s="45">
        <v>46085.461805555555</v>
      </c>
      <c r="T116" s="45">
        <v>46087.717361111114</v>
      </c>
      <c r="U116" s="45">
        <v>46085.461805555555</v>
      </c>
      <c r="V116" s="29" t="s">
        <v>2129</v>
      </c>
      <c r="W116" s="29" t="s">
        <v>2129</v>
      </c>
      <c r="X116" s="29" t="s">
        <v>2129</v>
      </c>
      <c r="Y116" s="29">
        <v>0</v>
      </c>
      <c r="Z116" s="29" t="s">
        <v>2129</v>
      </c>
      <c r="AA116" s="29" t="s">
        <v>2129</v>
      </c>
      <c r="AB116" s="29" t="s">
        <v>2129</v>
      </c>
      <c r="AC116" s="29" t="s">
        <v>2129</v>
      </c>
      <c r="AD116" s="29" t="s">
        <v>2152</v>
      </c>
      <c r="AE116" s="29" t="s">
        <v>2129</v>
      </c>
      <c r="AF116" s="29" t="s">
        <v>2129</v>
      </c>
      <c r="AG116" s="29" t="s">
        <v>2129</v>
      </c>
      <c r="AH116" s="29" t="s">
        <v>2129</v>
      </c>
      <c r="AI116" s="29" t="s">
        <v>3615</v>
      </c>
      <c r="AJ116" s="29" t="s">
        <v>2129</v>
      </c>
      <c r="AK116" s="29" t="s">
        <v>2129</v>
      </c>
      <c r="AL116" s="29" t="s">
        <v>2129</v>
      </c>
      <c r="AM116" s="29" t="s">
        <v>2129</v>
      </c>
      <c r="AN116" s="29" t="s">
        <v>2129</v>
      </c>
      <c r="AO116" s="29" t="s">
        <v>2129</v>
      </c>
      <c r="AP116" s="29" t="s">
        <v>2129</v>
      </c>
      <c r="AQ116" s="29" t="s">
        <v>2129</v>
      </c>
      <c r="AR116" s="29" t="s">
        <v>2129</v>
      </c>
      <c r="AS116" s="29" t="s">
        <v>2129</v>
      </c>
      <c r="AT116" s="29" t="s">
        <v>2129</v>
      </c>
      <c r="AU116" s="29" t="s">
        <v>2129</v>
      </c>
      <c r="AV116" s="29" t="s">
        <v>2129</v>
      </c>
      <c r="AW116" s="29" t="s">
        <v>2129</v>
      </c>
      <c r="AX116" s="29">
        <v>0</v>
      </c>
      <c r="AY116" s="29">
        <v>1800</v>
      </c>
      <c r="AZ116" s="29" t="s">
        <v>2129</v>
      </c>
      <c r="BA116" s="29" t="s">
        <v>2129</v>
      </c>
      <c r="BB116" s="29">
        <v>0</v>
      </c>
      <c r="BC116" s="29">
        <v>1800</v>
      </c>
      <c r="BD116" s="29" t="s">
        <v>2129</v>
      </c>
      <c r="BE116" s="29" t="s">
        <v>2129</v>
      </c>
      <c r="BF116" s="29" t="s">
        <v>2129</v>
      </c>
      <c r="BG116" s="29" t="s">
        <v>2129</v>
      </c>
      <c r="BH116" s="29" t="s">
        <v>2129</v>
      </c>
      <c r="BI116" s="29" t="s">
        <v>2129</v>
      </c>
      <c r="BJ116" s="29" t="s">
        <v>2129</v>
      </c>
      <c r="BK116" s="29" t="s">
        <v>2129</v>
      </c>
      <c r="BL116" s="29" t="s">
        <v>2129</v>
      </c>
      <c r="BM116" s="29" t="s">
        <v>2129</v>
      </c>
      <c r="BN116" s="29" t="s">
        <v>2129</v>
      </c>
      <c r="BO116" s="29" t="s">
        <v>2129</v>
      </c>
      <c r="BP116" s="29" t="s">
        <v>2129</v>
      </c>
      <c r="BQ116" s="29" t="s">
        <v>2129</v>
      </c>
      <c r="BR116" s="29" t="s">
        <v>2129</v>
      </c>
      <c r="BS116" s="29" t="s">
        <v>2129</v>
      </c>
      <c r="BT116" s="29" t="s">
        <v>2129</v>
      </c>
      <c r="BU116" s="29" t="s">
        <v>2129</v>
      </c>
      <c r="BV116" s="29" t="s">
        <v>2129</v>
      </c>
      <c r="BW116" s="29" t="s">
        <v>2129</v>
      </c>
      <c r="BX116" s="29" t="s">
        <v>3616</v>
      </c>
      <c r="BY116" s="29" t="s">
        <v>2129</v>
      </c>
      <c r="BZ116" s="29" t="s">
        <v>2129</v>
      </c>
      <c r="CA116" s="29" t="s">
        <v>2129</v>
      </c>
      <c r="CB116" s="29" t="s">
        <v>2129</v>
      </c>
      <c r="CC116" s="29" t="s">
        <v>2129</v>
      </c>
      <c r="CD116" s="29" t="s">
        <v>2129</v>
      </c>
      <c r="CE116" s="29" t="s">
        <v>3617</v>
      </c>
      <c r="CF116" s="29" t="s">
        <v>3613</v>
      </c>
      <c r="CG116" s="29" t="s">
        <v>2129</v>
      </c>
      <c r="CH116" s="29" t="s">
        <v>2129</v>
      </c>
      <c r="CI116" s="29" t="s">
        <v>2129</v>
      </c>
      <c r="CJ116" s="29" t="s">
        <v>2129</v>
      </c>
      <c r="CK116" s="29" t="s">
        <v>2129</v>
      </c>
      <c r="CL116" s="29" t="s">
        <v>2129</v>
      </c>
      <c r="CM116" s="29" t="s">
        <v>2129</v>
      </c>
      <c r="CN116" s="29" t="s">
        <v>2129</v>
      </c>
      <c r="CO116" s="29" t="s">
        <v>2129</v>
      </c>
      <c r="CP116" s="29" t="s">
        <v>2129</v>
      </c>
      <c r="CQ116" s="29" t="s">
        <v>2129</v>
      </c>
      <c r="CR116" s="29" t="s">
        <v>2129</v>
      </c>
      <c r="CS116" s="29"/>
      <c r="CT116" s="29" t="s">
        <v>2129</v>
      </c>
      <c r="CU116" s="29" t="s">
        <v>2129</v>
      </c>
      <c r="CV116" s="29" t="s">
        <v>3614</v>
      </c>
      <c r="CW116" s="29" t="s">
        <v>2129</v>
      </c>
      <c r="CX116" s="29" t="s">
        <v>2129</v>
      </c>
      <c r="CY116" s="29" t="s">
        <v>2129</v>
      </c>
      <c r="CZ116" s="29" t="s">
        <v>2129</v>
      </c>
      <c r="DA116" s="29" t="s">
        <v>2129</v>
      </c>
      <c r="DB116" s="29" t="s">
        <v>2129</v>
      </c>
      <c r="DC116" s="29" t="s">
        <v>2129</v>
      </c>
      <c r="DD116" s="29" t="s">
        <v>2129</v>
      </c>
      <c r="DE116" s="29" t="s">
        <v>2129</v>
      </c>
      <c r="DF116" s="29" t="s">
        <v>2129</v>
      </c>
      <c r="DG116" s="29" t="s">
        <v>2129</v>
      </c>
      <c r="DH116" s="29" t="s">
        <v>2129</v>
      </c>
      <c r="DI116" s="29" t="s">
        <v>2129</v>
      </c>
      <c r="DJ116" s="29" t="s">
        <v>2129</v>
      </c>
      <c r="DK116" s="29" t="s">
        <v>2129</v>
      </c>
      <c r="DL116" s="29" t="s">
        <v>2129</v>
      </c>
      <c r="DM116" s="29" t="s">
        <v>2129</v>
      </c>
      <c r="DN116" s="29" t="s">
        <v>2129</v>
      </c>
      <c r="DO116" s="29" t="s">
        <v>2129</v>
      </c>
      <c r="DP116" s="29" t="s">
        <v>2129</v>
      </c>
      <c r="DQ116" s="42" t="s">
        <v>2129</v>
      </c>
    </row>
    <row r="117" spans="1:121" x14ac:dyDescent="0.25">
      <c r="A117" s="36" t="s">
        <v>1675</v>
      </c>
      <c r="B117" s="30" t="s">
        <v>1674</v>
      </c>
      <c r="C117" s="30">
        <v>22392</v>
      </c>
      <c r="D117" s="30"/>
      <c r="E117" s="30" t="s">
        <v>14</v>
      </c>
      <c r="F117" s="30" t="s">
        <v>16</v>
      </c>
      <c r="G117" s="30" t="s">
        <v>3498</v>
      </c>
      <c r="H117" s="30" t="s">
        <v>991</v>
      </c>
      <c r="I117" s="30" t="s">
        <v>2127</v>
      </c>
      <c r="J117" s="30" t="s">
        <v>2152</v>
      </c>
      <c r="K117" s="30" t="s">
        <v>2129</v>
      </c>
      <c r="L117" s="30" t="s">
        <v>2129</v>
      </c>
      <c r="M117" s="30" t="s">
        <v>2130</v>
      </c>
      <c r="N117" s="30" t="s">
        <v>16</v>
      </c>
      <c r="O117" s="30" t="s">
        <v>2152</v>
      </c>
      <c r="P117" s="30" t="s">
        <v>2152</v>
      </c>
      <c r="Q117" s="30" t="s">
        <v>2152</v>
      </c>
      <c r="R117" s="46">
        <v>45951.772222222222</v>
      </c>
      <c r="S117" s="46">
        <v>46085.462500000001</v>
      </c>
      <c r="T117" s="46">
        <v>46087.717361111114</v>
      </c>
      <c r="U117" s="46">
        <v>46085.462500000001</v>
      </c>
      <c r="V117" s="30" t="s">
        <v>2129</v>
      </c>
      <c r="W117" s="30" t="s">
        <v>2129</v>
      </c>
      <c r="X117" s="30" t="s">
        <v>2129</v>
      </c>
      <c r="Y117" s="30">
        <v>0</v>
      </c>
      <c r="Z117" s="30" t="s">
        <v>2129</v>
      </c>
      <c r="AA117" s="30" t="s">
        <v>2129</v>
      </c>
      <c r="AB117" s="30" t="s">
        <v>2129</v>
      </c>
      <c r="AC117" s="30" t="s">
        <v>2129</v>
      </c>
      <c r="AD117" s="30" t="s">
        <v>2152</v>
      </c>
      <c r="AE117" s="30" t="s">
        <v>2129</v>
      </c>
      <c r="AF117" s="30" t="s">
        <v>2129</v>
      </c>
      <c r="AG117" s="30" t="s">
        <v>2129</v>
      </c>
      <c r="AH117" s="30" t="s">
        <v>2129</v>
      </c>
      <c r="AI117" s="30" t="s">
        <v>3618</v>
      </c>
      <c r="AJ117" s="30" t="s">
        <v>2129</v>
      </c>
      <c r="AK117" s="30" t="s">
        <v>2129</v>
      </c>
      <c r="AL117" s="30" t="s">
        <v>2129</v>
      </c>
      <c r="AM117" s="30" t="s">
        <v>2129</v>
      </c>
      <c r="AN117" s="30" t="s">
        <v>2129</v>
      </c>
      <c r="AO117" s="30" t="s">
        <v>2129</v>
      </c>
      <c r="AP117" s="30" t="s">
        <v>2129</v>
      </c>
      <c r="AQ117" s="30" t="s">
        <v>2129</v>
      </c>
      <c r="AR117" s="30" t="s">
        <v>2129</v>
      </c>
      <c r="AS117" s="30" t="s">
        <v>2129</v>
      </c>
      <c r="AT117" s="30" t="s">
        <v>2129</v>
      </c>
      <c r="AU117" s="30" t="s">
        <v>2129</v>
      </c>
      <c r="AV117" s="30" t="s">
        <v>2129</v>
      </c>
      <c r="AW117" s="30" t="s">
        <v>2129</v>
      </c>
      <c r="AX117" s="30">
        <v>0</v>
      </c>
      <c r="AY117" s="30">
        <v>5400</v>
      </c>
      <c r="AZ117" s="30" t="s">
        <v>2129</v>
      </c>
      <c r="BA117" s="30" t="s">
        <v>2129</v>
      </c>
      <c r="BB117" s="30">
        <v>0</v>
      </c>
      <c r="BC117" s="30">
        <v>5400</v>
      </c>
      <c r="BD117" s="30" t="s">
        <v>2129</v>
      </c>
      <c r="BE117" s="30" t="s">
        <v>2129</v>
      </c>
      <c r="BF117" s="30" t="s">
        <v>2129</v>
      </c>
      <c r="BG117" s="30" t="s">
        <v>2129</v>
      </c>
      <c r="BH117" s="30" t="s">
        <v>2129</v>
      </c>
      <c r="BI117" s="30" t="s">
        <v>2129</v>
      </c>
      <c r="BJ117" s="30" t="s">
        <v>2129</v>
      </c>
      <c r="BK117" s="30" t="s">
        <v>2129</v>
      </c>
      <c r="BL117" s="30" t="s">
        <v>2129</v>
      </c>
      <c r="BM117" s="30" t="s">
        <v>2129</v>
      </c>
      <c r="BN117" s="30" t="s">
        <v>2129</v>
      </c>
      <c r="BO117" s="30" t="s">
        <v>2129</v>
      </c>
      <c r="BP117" s="30" t="s">
        <v>2129</v>
      </c>
      <c r="BQ117" s="30" t="s">
        <v>2129</v>
      </c>
      <c r="BR117" s="30" t="s">
        <v>2129</v>
      </c>
      <c r="BS117" s="30" t="s">
        <v>2129</v>
      </c>
      <c r="BT117" s="30" t="s">
        <v>2129</v>
      </c>
      <c r="BU117" s="30" t="s">
        <v>2129</v>
      </c>
      <c r="BV117" s="30" t="s">
        <v>2129</v>
      </c>
      <c r="BW117" s="30" t="s">
        <v>2129</v>
      </c>
      <c r="BX117" s="30" t="s">
        <v>3616</v>
      </c>
      <c r="BY117" s="30" t="s">
        <v>2129</v>
      </c>
      <c r="BZ117" s="30" t="s">
        <v>2129</v>
      </c>
      <c r="CA117" s="30" t="s">
        <v>2129</v>
      </c>
      <c r="CB117" s="30" t="s">
        <v>2129</v>
      </c>
      <c r="CC117" s="30" t="s">
        <v>2129</v>
      </c>
      <c r="CD117" s="30" t="s">
        <v>2129</v>
      </c>
      <c r="CE117" s="30" t="s">
        <v>3619</v>
      </c>
      <c r="CF117" s="30" t="s">
        <v>3613</v>
      </c>
      <c r="CG117" s="30" t="s">
        <v>2129</v>
      </c>
      <c r="CH117" s="30" t="s">
        <v>2129</v>
      </c>
      <c r="CI117" s="30" t="s">
        <v>2129</v>
      </c>
      <c r="CJ117" s="30" t="s">
        <v>2129</v>
      </c>
      <c r="CK117" s="30" t="s">
        <v>2129</v>
      </c>
      <c r="CL117" s="30" t="s">
        <v>2129</v>
      </c>
      <c r="CM117" s="30" t="s">
        <v>2129</v>
      </c>
      <c r="CN117" s="30" t="s">
        <v>2129</v>
      </c>
      <c r="CO117" s="30" t="s">
        <v>2129</v>
      </c>
      <c r="CP117" s="30" t="s">
        <v>2129</v>
      </c>
      <c r="CQ117" s="30" t="s">
        <v>2129</v>
      </c>
      <c r="CR117" s="30" t="s">
        <v>2129</v>
      </c>
      <c r="CS117" s="30"/>
      <c r="CT117" s="30" t="s">
        <v>2129</v>
      </c>
      <c r="CU117" s="30" t="s">
        <v>2129</v>
      </c>
      <c r="CV117" s="30" t="s">
        <v>3620</v>
      </c>
      <c r="CW117" s="30" t="s">
        <v>2129</v>
      </c>
      <c r="CX117" s="30" t="s">
        <v>2129</v>
      </c>
      <c r="CY117" s="30" t="s">
        <v>2129</v>
      </c>
      <c r="CZ117" s="30" t="s">
        <v>2129</v>
      </c>
      <c r="DA117" s="30" t="s">
        <v>2129</v>
      </c>
      <c r="DB117" s="30" t="s">
        <v>2129</v>
      </c>
      <c r="DC117" s="30" t="s">
        <v>2129</v>
      </c>
      <c r="DD117" s="30" t="s">
        <v>2129</v>
      </c>
      <c r="DE117" s="30" t="s">
        <v>2129</v>
      </c>
      <c r="DF117" s="30" t="s">
        <v>2129</v>
      </c>
      <c r="DG117" s="30" t="s">
        <v>2129</v>
      </c>
      <c r="DH117" s="30" t="s">
        <v>2129</v>
      </c>
      <c r="DI117" s="30" t="s">
        <v>2129</v>
      </c>
      <c r="DJ117" s="30" t="s">
        <v>2129</v>
      </c>
      <c r="DK117" s="30" t="s">
        <v>2129</v>
      </c>
      <c r="DL117" s="30" t="s">
        <v>2129</v>
      </c>
      <c r="DM117" s="30" t="s">
        <v>2129</v>
      </c>
      <c r="DN117" s="30" t="s">
        <v>2129</v>
      </c>
      <c r="DO117" s="30" t="s">
        <v>2129</v>
      </c>
      <c r="DP117" s="30" t="s">
        <v>2129</v>
      </c>
      <c r="DQ117" s="43" t="s">
        <v>2129</v>
      </c>
    </row>
    <row r="118" spans="1:121" x14ac:dyDescent="0.25">
      <c r="A118" s="39" t="s">
        <v>1677</v>
      </c>
      <c r="B118" s="29" t="s">
        <v>1676</v>
      </c>
      <c r="C118" s="29">
        <v>22391</v>
      </c>
      <c r="D118" s="29"/>
      <c r="E118" s="29" t="s">
        <v>14</v>
      </c>
      <c r="F118" s="29" t="s">
        <v>16</v>
      </c>
      <c r="G118" s="29" t="s">
        <v>3498</v>
      </c>
      <c r="H118" s="29" t="s">
        <v>991</v>
      </c>
      <c r="I118" s="29" t="s">
        <v>2127</v>
      </c>
      <c r="J118" s="29" t="s">
        <v>2152</v>
      </c>
      <c r="K118" s="29" t="s">
        <v>2129</v>
      </c>
      <c r="L118" s="29" t="s">
        <v>2129</v>
      </c>
      <c r="M118" s="29" t="s">
        <v>2130</v>
      </c>
      <c r="N118" s="29" t="s">
        <v>2153</v>
      </c>
      <c r="O118" s="29" t="s">
        <v>2152</v>
      </c>
      <c r="P118" s="29" t="s">
        <v>2152</v>
      </c>
      <c r="Q118" s="29" t="s">
        <v>2152</v>
      </c>
      <c r="R118" s="45">
        <v>45951.770833333336</v>
      </c>
      <c r="S118" s="45">
        <v>46085.461805555555</v>
      </c>
      <c r="T118" s="45">
        <v>46087.717361111114</v>
      </c>
      <c r="U118" s="45">
        <v>46085.461805555555</v>
      </c>
      <c r="V118" s="29" t="s">
        <v>2129</v>
      </c>
      <c r="W118" s="29" t="s">
        <v>2129</v>
      </c>
      <c r="X118" s="29" t="s">
        <v>2129</v>
      </c>
      <c r="Y118" s="29">
        <v>0</v>
      </c>
      <c r="Z118" s="29" t="s">
        <v>2129</v>
      </c>
      <c r="AA118" s="29" t="s">
        <v>2129</v>
      </c>
      <c r="AB118" s="29" t="s">
        <v>2129</v>
      </c>
      <c r="AC118" s="29" t="s">
        <v>2129</v>
      </c>
      <c r="AD118" s="29" t="s">
        <v>2152</v>
      </c>
      <c r="AE118" s="29" t="s">
        <v>2129</v>
      </c>
      <c r="AF118" s="29" t="s">
        <v>2129</v>
      </c>
      <c r="AG118" s="29" t="s">
        <v>2129</v>
      </c>
      <c r="AH118" s="29" t="s">
        <v>2129</v>
      </c>
      <c r="AI118" s="29" t="s">
        <v>3621</v>
      </c>
      <c r="AJ118" s="29" t="s">
        <v>2129</v>
      </c>
      <c r="AK118" s="29" t="s">
        <v>2129</v>
      </c>
      <c r="AL118" s="29" t="s">
        <v>2129</v>
      </c>
      <c r="AM118" s="29" t="s">
        <v>2129</v>
      </c>
      <c r="AN118" s="29" t="s">
        <v>2129</v>
      </c>
      <c r="AO118" s="29" t="s">
        <v>2129</v>
      </c>
      <c r="AP118" s="29" t="s">
        <v>2129</v>
      </c>
      <c r="AQ118" s="29" t="s">
        <v>2129</v>
      </c>
      <c r="AR118" s="29" t="s">
        <v>2129</v>
      </c>
      <c r="AS118" s="29" t="s">
        <v>2129</v>
      </c>
      <c r="AT118" s="29" t="s">
        <v>2129</v>
      </c>
      <c r="AU118" s="29" t="s">
        <v>2129</v>
      </c>
      <c r="AV118" s="29" t="s">
        <v>2129</v>
      </c>
      <c r="AW118" s="29" t="s">
        <v>2129</v>
      </c>
      <c r="AX118" s="29">
        <v>0</v>
      </c>
      <c r="AY118" s="29">
        <v>7200</v>
      </c>
      <c r="AZ118" s="29" t="s">
        <v>2129</v>
      </c>
      <c r="BA118" s="29" t="s">
        <v>2129</v>
      </c>
      <c r="BB118" s="29">
        <v>0</v>
      </c>
      <c r="BC118" s="29">
        <v>7200</v>
      </c>
      <c r="BD118" s="29" t="s">
        <v>2129</v>
      </c>
      <c r="BE118" s="29" t="s">
        <v>2129</v>
      </c>
      <c r="BF118" s="29" t="s">
        <v>2129</v>
      </c>
      <c r="BG118" s="29" t="s">
        <v>2129</v>
      </c>
      <c r="BH118" s="29" t="s">
        <v>2129</v>
      </c>
      <c r="BI118" s="29" t="s">
        <v>2129</v>
      </c>
      <c r="BJ118" s="29" t="s">
        <v>2129</v>
      </c>
      <c r="BK118" s="29" t="s">
        <v>2129</v>
      </c>
      <c r="BL118" s="29" t="s">
        <v>2129</v>
      </c>
      <c r="BM118" s="29" t="s">
        <v>2129</v>
      </c>
      <c r="BN118" s="29" t="s">
        <v>2129</v>
      </c>
      <c r="BO118" s="29" t="s">
        <v>2129</v>
      </c>
      <c r="BP118" s="29" t="s">
        <v>2129</v>
      </c>
      <c r="BQ118" s="29" t="s">
        <v>2129</v>
      </c>
      <c r="BR118" s="29" t="s">
        <v>2129</v>
      </c>
      <c r="BS118" s="29" t="s">
        <v>2129</v>
      </c>
      <c r="BT118" s="29" t="s">
        <v>2129</v>
      </c>
      <c r="BU118" s="29" t="s">
        <v>2129</v>
      </c>
      <c r="BV118" s="29" t="s">
        <v>2129</v>
      </c>
      <c r="BW118" s="29" t="s">
        <v>2129</v>
      </c>
      <c r="BX118" s="29" t="s">
        <v>3616</v>
      </c>
      <c r="BY118" s="29" t="s">
        <v>2129</v>
      </c>
      <c r="BZ118" s="29" t="s">
        <v>2129</v>
      </c>
      <c r="CA118" s="29" t="s">
        <v>2129</v>
      </c>
      <c r="CB118" s="29" t="s">
        <v>2129</v>
      </c>
      <c r="CC118" s="29" t="s">
        <v>2129</v>
      </c>
      <c r="CD118" s="29" t="s">
        <v>2129</v>
      </c>
      <c r="CE118" s="29" t="s">
        <v>3622</v>
      </c>
      <c r="CF118" s="29" t="s">
        <v>3613</v>
      </c>
      <c r="CG118" s="29" t="s">
        <v>2129</v>
      </c>
      <c r="CH118" s="29" t="s">
        <v>2129</v>
      </c>
      <c r="CI118" s="29" t="s">
        <v>2129</v>
      </c>
      <c r="CJ118" s="29" t="s">
        <v>2129</v>
      </c>
      <c r="CK118" s="29" t="s">
        <v>2129</v>
      </c>
      <c r="CL118" s="29" t="s">
        <v>2129</v>
      </c>
      <c r="CM118" s="29" t="s">
        <v>2129</v>
      </c>
      <c r="CN118" s="29" t="s">
        <v>2129</v>
      </c>
      <c r="CO118" s="29" t="s">
        <v>2129</v>
      </c>
      <c r="CP118" s="29" t="s">
        <v>2129</v>
      </c>
      <c r="CQ118" s="29" t="s">
        <v>2129</v>
      </c>
      <c r="CR118" s="29" t="s">
        <v>2129</v>
      </c>
      <c r="CS118" s="29"/>
      <c r="CT118" s="29" t="s">
        <v>2129</v>
      </c>
      <c r="CU118" s="29" t="s">
        <v>2129</v>
      </c>
      <c r="CV118" s="29" t="s">
        <v>3614</v>
      </c>
      <c r="CW118" s="29" t="s">
        <v>2129</v>
      </c>
      <c r="CX118" s="29" t="s">
        <v>2129</v>
      </c>
      <c r="CY118" s="29" t="s">
        <v>2129</v>
      </c>
      <c r="CZ118" s="29" t="s">
        <v>2129</v>
      </c>
      <c r="DA118" s="29" t="s">
        <v>2129</v>
      </c>
      <c r="DB118" s="29" t="s">
        <v>2129</v>
      </c>
      <c r="DC118" s="29" t="s">
        <v>2129</v>
      </c>
      <c r="DD118" s="29" t="s">
        <v>2129</v>
      </c>
      <c r="DE118" s="29" t="s">
        <v>2129</v>
      </c>
      <c r="DF118" s="29" t="s">
        <v>2129</v>
      </c>
      <c r="DG118" s="29" t="s">
        <v>2129</v>
      </c>
      <c r="DH118" s="29" t="s">
        <v>2129</v>
      </c>
      <c r="DI118" s="29" t="s">
        <v>2129</v>
      </c>
      <c r="DJ118" s="29" t="s">
        <v>2129</v>
      </c>
      <c r="DK118" s="29" t="s">
        <v>2129</v>
      </c>
      <c r="DL118" s="29" t="s">
        <v>2129</v>
      </c>
      <c r="DM118" s="29" t="s">
        <v>2129</v>
      </c>
      <c r="DN118" s="29" t="s">
        <v>2129</v>
      </c>
      <c r="DO118" s="29" t="s">
        <v>2129</v>
      </c>
      <c r="DP118" s="29" t="s">
        <v>2129</v>
      </c>
      <c r="DQ118" s="42" t="s">
        <v>2129</v>
      </c>
    </row>
    <row r="119" spans="1:121" x14ac:dyDescent="0.25">
      <c r="A119" s="36" t="s">
        <v>1679</v>
      </c>
      <c r="B119" s="30" t="s">
        <v>1678</v>
      </c>
      <c r="C119" s="30">
        <v>22390</v>
      </c>
      <c r="D119" s="30"/>
      <c r="E119" s="30" t="s">
        <v>14</v>
      </c>
      <c r="F119" s="30" t="s">
        <v>16</v>
      </c>
      <c r="G119" s="30" t="s">
        <v>3498</v>
      </c>
      <c r="H119" s="30" t="s">
        <v>991</v>
      </c>
      <c r="I119" s="30" t="s">
        <v>2127</v>
      </c>
      <c r="J119" s="30" t="s">
        <v>2152</v>
      </c>
      <c r="K119" s="30" t="s">
        <v>2129</v>
      </c>
      <c r="L119" s="30" t="s">
        <v>2129</v>
      </c>
      <c r="M119" s="30" t="s">
        <v>2130</v>
      </c>
      <c r="N119" s="30" t="s">
        <v>2153</v>
      </c>
      <c r="O119" s="30" t="s">
        <v>2152</v>
      </c>
      <c r="P119" s="30" t="s">
        <v>2152</v>
      </c>
      <c r="Q119" s="30" t="s">
        <v>2152</v>
      </c>
      <c r="R119" s="46">
        <v>45951.770138888889</v>
      </c>
      <c r="S119" s="46">
        <v>46085.461805555555</v>
      </c>
      <c r="T119" s="46">
        <v>46087.717361111114</v>
      </c>
      <c r="U119" s="46">
        <v>46085.461805555555</v>
      </c>
      <c r="V119" s="30" t="s">
        <v>2129</v>
      </c>
      <c r="W119" s="30" t="s">
        <v>3623</v>
      </c>
      <c r="X119" s="30" t="s">
        <v>2129</v>
      </c>
      <c r="Y119" s="30">
        <v>0</v>
      </c>
      <c r="Z119" s="30" t="s">
        <v>2129</v>
      </c>
      <c r="AA119" s="30" t="s">
        <v>2129</v>
      </c>
      <c r="AB119" s="30" t="s">
        <v>3624</v>
      </c>
      <c r="AC119" s="30" t="s">
        <v>2129</v>
      </c>
      <c r="AD119" s="30" t="s">
        <v>2152</v>
      </c>
      <c r="AE119" s="30" t="s">
        <v>2129</v>
      </c>
      <c r="AF119" s="30" t="s">
        <v>2129</v>
      </c>
      <c r="AG119" s="30" t="s">
        <v>2129</v>
      </c>
      <c r="AH119" s="30" t="s">
        <v>2129</v>
      </c>
      <c r="AI119" s="30" t="s">
        <v>3625</v>
      </c>
      <c r="AJ119" s="30" t="s">
        <v>2129</v>
      </c>
      <c r="AK119" s="30" t="s">
        <v>2129</v>
      </c>
      <c r="AL119" s="30" t="s">
        <v>2129</v>
      </c>
      <c r="AM119" s="30" t="s">
        <v>2129</v>
      </c>
      <c r="AN119" s="30" t="s">
        <v>2129</v>
      </c>
      <c r="AO119" s="30" t="s">
        <v>2129</v>
      </c>
      <c r="AP119" s="30" t="s">
        <v>2129</v>
      </c>
      <c r="AQ119" s="30" t="s">
        <v>2129</v>
      </c>
      <c r="AR119" s="30" t="s">
        <v>2129</v>
      </c>
      <c r="AS119" s="30" t="s">
        <v>2129</v>
      </c>
      <c r="AT119" s="30" t="s">
        <v>2129</v>
      </c>
      <c r="AU119" s="30" t="s">
        <v>2129</v>
      </c>
      <c r="AV119" s="30" t="s">
        <v>2129</v>
      </c>
      <c r="AW119" s="30" t="s">
        <v>2129</v>
      </c>
      <c r="AX119" s="30">
        <v>0</v>
      </c>
      <c r="AY119" s="30">
        <v>3600</v>
      </c>
      <c r="AZ119" s="30" t="s">
        <v>2129</v>
      </c>
      <c r="BA119" s="30" t="s">
        <v>2129</v>
      </c>
      <c r="BB119" s="30">
        <v>0</v>
      </c>
      <c r="BC119" s="30">
        <v>3600</v>
      </c>
      <c r="BD119" s="30" t="s">
        <v>2129</v>
      </c>
      <c r="BE119" s="30" t="s">
        <v>2129</v>
      </c>
      <c r="BF119" s="30" t="s">
        <v>2129</v>
      </c>
      <c r="BG119" s="30" t="s">
        <v>2129</v>
      </c>
      <c r="BH119" s="30" t="s">
        <v>2129</v>
      </c>
      <c r="BI119" s="30" t="s">
        <v>2129</v>
      </c>
      <c r="BJ119" s="30" t="s">
        <v>2129</v>
      </c>
      <c r="BK119" s="30" t="s">
        <v>2129</v>
      </c>
      <c r="BL119" s="30" t="s">
        <v>2129</v>
      </c>
      <c r="BM119" s="30" t="s">
        <v>2129</v>
      </c>
      <c r="BN119" s="30" t="s">
        <v>2129</v>
      </c>
      <c r="BO119" s="30" t="s">
        <v>2129</v>
      </c>
      <c r="BP119" s="30" t="s">
        <v>2129</v>
      </c>
      <c r="BQ119" s="30" t="s">
        <v>2129</v>
      </c>
      <c r="BR119" s="30" t="s">
        <v>2129</v>
      </c>
      <c r="BS119" s="30" t="s">
        <v>2129</v>
      </c>
      <c r="BT119" s="30" t="s">
        <v>2129</v>
      </c>
      <c r="BU119" s="30" t="s">
        <v>2129</v>
      </c>
      <c r="BV119" s="30" t="s">
        <v>2129</v>
      </c>
      <c r="BW119" s="30" t="s">
        <v>2129</v>
      </c>
      <c r="BX119" s="30" t="s">
        <v>3616</v>
      </c>
      <c r="BY119" s="30" t="s">
        <v>2129</v>
      </c>
      <c r="BZ119" s="30" t="s">
        <v>2129</v>
      </c>
      <c r="CA119" s="30" t="s">
        <v>2129</v>
      </c>
      <c r="CB119" s="30" t="s">
        <v>2129</v>
      </c>
      <c r="CC119" s="30" t="s">
        <v>2129</v>
      </c>
      <c r="CD119" s="30" t="s">
        <v>2129</v>
      </c>
      <c r="CE119" s="30" t="s">
        <v>3626</v>
      </c>
      <c r="CF119" s="30" t="s">
        <v>3613</v>
      </c>
      <c r="CG119" s="30" t="s">
        <v>2129</v>
      </c>
      <c r="CH119" s="30" t="s">
        <v>2129</v>
      </c>
      <c r="CI119" s="30" t="s">
        <v>2129</v>
      </c>
      <c r="CJ119" s="30" t="s">
        <v>2129</v>
      </c>
      <c r="CK119" s="30" t="s">
        <v>2129</v>
      </c>
      <c r="CL119" s="30" t="s">
        <v>2129</v>
      </c>
      <c r="CM119" s="30" t="s">
        <v>2129</v>
      </c>
      <c r="CN119" s="30" t="s">
        <v>2129</v>
      </c>
      <c r="CO119" s="30" t="s">
        <v>2129</v>
      </c>
      <c r="CP119" s="30" t="s">
        <v>2129</v>
      </c>
      <c r="CQ119" s="30" t="s">
        <v>2129</v>
      </c>
      <c r="CR119" s="30" t="s">
        <v>2129</v>
      </c>
      <c r="CS119" s="30"/>
      <c r="CT119" s="30" t="s">
        <v>2129</v>
      </c>
      <c r="CU119" s="30" t="s">
        <v>2129</v>
      </c>
      <c r="CV119" s="30" t="s">
        <v>3614</v>
      </c>
      <c r="CW119" s="30" t="s">
        <v>2129</v>
      </c>
      <c r="CX119" s="30" t="s">
        <v>2129</v>
      </c>
      <c r="CY119" s="30" t="s">
        <v>2129</v>
      </c>
      <c r="CZ119" s="30" t="s">
        <v>2129</v>
      </c>
      <c r="DA119" s="30" t="s">
        <v>2129</v>
      </c>
      <c r="DB119" s="30" t="s">
        <v>2129</v>
      </c>
      <c r="DC119" s="30" t="s">
        <v>2129</v>
      </c>
      <c r="DD119" s="30" t="s">
        <v>2129</v>
      </c>
      <c r="DE119" s="30" t="s">
        <v>2129</v>
      </c>
      <c r="DF119" s="30" t="s">
        <v>2129</v>
      </c>
      <c r="DG119" s="30" t="s">
        <v>2129</v>
      </c>
      <c r="DH119" s="30" t="s">
        <v>2129</v>
      </c>
      <c r="DI119" s="30" t="s">
        <v>2129</v>
      </c>
      <c r="DJ119" s="30" t="s">
        <v>2129</v>
      </c>
      <c r="DK119" s="30" t="s">
        <v>2129</v>
      </c>
      <c r="DL119" s="30" t="s">
        <v>2129</v>
      </c>
      <c r="DM119" s="30" t="s">
        <v>2129</v>
      </c>
      <c r="DN119" s="30" t="s">
        <v>2129</v>
      </c>
      <c r="DO119" s="30" t="s">
        <v>2129</v>
      </c>
      <c r="DP119" s="30" t="s">
        <v>2129</v>
      </c>
      <c r="DQ119" s="43" t="s">
        <v>2129</v>
      </c>
    </row>
    <row r="120" spans="1:121" x14ac:dyDescent="0.25">
      <c r="A120" s="39" t="s">
        <v>1681</v>
      </c>
      <c r="B120" s="29" t="s">
        <v>1682</v>
      </c>
      <c r="C120" s="29">
        <v>22336</v>
      </c>
      <c r="D120" s="29">
        <v>22333</v>
      </c>
      <c r="E120" s="29" t="s">
        <v>1379</v>
      </c>
      <c r="F120" s="29" t="s">
        <v>16</v>
      </c>
      <c r="G120" s="29" t="s">
        <v>3498</v>
      </c>
      <c r="H120" s="29" t="s">
        <v>991</v>
      </c>
      <c r="I120" s="29" t="s">
        <v>2127</v>
      </c>
      <c r="J120" s="29" t="s">
        <v>2152</v>
      </c>
      <c r="K120" s="29" t="s">
        <v>2129</v>
      </c>
      <c r="L120" s="29" t="s">
        <v>2129</v>
      </c>
      <c r="M120" s="29" t="s">
        <v>2130</v>
      </c>
      <c r="N120" s="29" t="s">
        <v>2153</v>
      </c>
      <c r="O120" s="29" t="s">
        <v>2160</v>
      </c>
      <c r="P120" s="29" t="s">
        <v>2152</v>
      </c>
      <c r="Q120" s="29" t="s">
        <v>2152</v>
      </c>
      <c r="R120" s="45">
        <v>45946.643055555556</v>
      </c>
      <c r="S120" s="45">
        <v>46086.469444444447</v>
      </c>
      <c r="T120" s="45">
        <v>46087.717361111114</v>
      </c>
      <c r="U120" s="45">
        <v>46086.469444444447</v>
      </c>
      <c r="V120" s="29" t="s">
        <v>2129</v>
      </c>
      <c r="W120" s="29" t="s">
        <v>2129</v>
      </c>
      <c r="X120" s="29" t="s">
        <v>2129</v>
      </c>
      <c r="Y120" s="29">
        <v>0</v>
      </c>
      <c r="Z120" s="29" t="s">
        <v>2129</v>
      </c>
      <c r="AA120" s="29" t="s">
        <v>2129</v>
      </c>
      <c r="AB120" s="29" t="s">
        <v>2129</v>
      </c>
      <c r="AC120" s="29" t="s">
        <v>2129</v>
      </c>
      <c r="AD120" s="29" t="s">
        <v>2152</v>
      </c>
      <c r="AE120" s="29" t="s">
        <v>2129</v>
      </c>
      <c r="AF120" s="29" t="s">
        <v>2129</v>
      </c>
      <c r="AG120" s="29" t="s">
        <v>2129</v>
      </c>
      <c r="AH120" s="29" t="s">
        <v>2129</v>
      </c>
      <c r="AI120" s="29" t="s">
        <v>3627</v>
      </c>
      <c r="AJ120" s="29" t="s">
        <v>3628</v>
      </c>
      <c r="AK120" s="29" t="s">
        <v>3629</v>
      </c>
      <c r="AL120" s="29" t="s">
        <v>3630</v>
      </c>
      <c r="AM120" s="29" t="s">
        <v>3631</v>
      </c>
      <c r="AN120" s="29" t="s">
        <v>3632</v>
      </c>
      <c r="AO120" s="29" t="s">
        <v>3633</v>
      </c>
      <c r="AP120" s="29" t="s">
        <v>2129</v>
      </c>
      <c r="AQ120" s="29" t="s">
        <v>2129</v>
      </c>
      <c r="AR120" s="29" t="s">
        <v>2129</v>
      </c>
      <c r="AS120" s="29" t="s">
        <v>2129</v>
      </c>
      <c r="AT120" s="29" t="s">
        <v>2129</v>
      </c>
      <c r="AU120" s="29" t="s">
        <v>2129</v>
      </c>
      <c r="AV120" s="29" t="s">
        <v>2129</v>
      </c>
      <c r="AW120" s="29" t="s">
        <v>2129</v>
      </c>
      <c r="AX120" s="29">
        <v>0</v>
      </c>
      <c r="AY120" s="29">
        <v>110700</v>
      </c>
      <c r="AZ120" s="29" t="s">
        <v>2129</v>
      </c>
      <c r="BA120" s="29" t="s">
        <v>2129</v>
      </c>
      <c r="BB120" s="29">
        <v>0</v>
      </c>
      <c r="BC120" s="29">
        <v>110700</v>
      </c>
      <c r="BD120" s="29" t="s">
        <v>2129</v>
      </c>
      <c r="BE120" s="29" t="s">
        <v>2129</v>
      </c>
      <c r="BF120" s="29" t="s">
        <v>2129</v>
      </c>
      <c r="BG120" s="29" t="s">
        <v>2129</v>
      </c>
      <c r="BH120" s="29" t="s">
        <v>2129</v>
      </c>
      <c r="BI120" s="29" t="s">
        <v>2129</v>
      </c>
      <c r="BJ120" s="29" t="s">
        <v>2129</v>
      </c>
      <c r="BK120" s="29" t="s">
        <v>2129</v>
      </c>
      <c r="BL120" s="29" t="s">
        <v>2129</v>
      </c>
      <c r="BM120" s="29" t="s">
        <v>2129</v>
      </c>
      <c r="BN120" s="29" t="s">
        <v>2129</v>
      </c>
      <c r="BO120" s="29" t="s">
        <v>2129</v>
      </c>
      <c r="BP120" s="29" t="s">
        <v>2129</v>
      </c>
      <c r="BQ120" s="29" t="s">
        <v>2129</v>
      </c>
      <c r="BR120" s="29" t="s">
        <v>2129</v>
      </c>
      <c r="BS120" s="29" t="s">
        <v>2129</v>
      </c>
      <c r="BT120" s="29" t="s">
        <v>2129</v>
      </c>
      <c r="BU120" s="29" t="s">
        <v>2129</v>
      </c>
      <c r="BV120" s="29" t="s">
        <v>2129</v>
      </c>
      <c r="BW120" s="29" t="s">
        <v>2129</v>
      </c>
      <c r="BX120" s="29" t="s">
        <v>2129</v>
      </c>
      <c r="BY120" s="29" t="s">
        <v>2129</v>
      </c>
      <c r="BZ120" s="29" t="s">
        <v>2129</v>
      </c>
      <c r="CA120" s="29" t="s">
        <v>2129</v>
      </c>
      <c r="CB120" s="29" t="s">
        <v>2129</v>
      </c>
      <c r="CC120" s="29" t="s">
        <v>2129</v>
      </c>
      <c r="CD120" s="29" t="s">
        <v>2129</v>
      </c>
      <c r="CE120" s="29" t="s">
        <v>3634</v>
      </c>
      <c r="CF120" s="29" t="s">
        <v>3613</v>
      </c>
      <c r="CG120" s="29" t="s">
        <v>2129</v>
      </c>
      <c r="CH120" s="29" t="s">
        <v>2129</v>
      </c>
      <c r="CI120" s="29" t="s">
        <v>2129</v>
      </c>
      <c r="CJ120" s="29" t="s">
        <v>2129</v>
      </c>
      <c r="CK120" s="29" t="s">
        <v>2129</v>
      </c>
      <c r="CL120" s="29" t="s">
        <v>2129</v>
      </c>
      <c r="CM120" s="29" t="s">
        <v>2129</v>
      </c>
      <c r="CN120" s="29" t="s">
        <v>2129</v>
      </c>
      <c r="CO120" s="29" t="s">
        <v>2129</v>
      </c>
      <c r="CP120" s="29" t="s">
        <v>2129</v>
      </c>
      <c r="CQ120" s="29" t="s">
        <v>2129</v>
      </c>
      <c r="CR120" s="29" t="s">
        <v>2129</v>
      </c>
      <c r="CS120" s="29"/>
      <c r="CT120" s="29" t="s">
        <v>2129</v>
      </c>
      <c r="CU120" s="29" t="s">
        <v>2129</v>
      </c>
      <c r="CV120" s="29" t="s">
        <v>2129</v>
      </c>
      <c r="CW120" s="29" t="s">
        <v>2129</v>
      </c>
      <c r="CX120" s="29" t="s">
        <v>2129</v>
      </c>
      <c r="CY120" s="29" t="s">
        <v>2129</v>
      </c>
      <c r="CZ120" s="29" t="s">
        <v>2129</v>
      </c>
      <c r="DA120" s="29" t="s">
        <v>2129</v>
      </c>
      <c r="DB120" s="29" t="s">
        <v>2129</v>
      </c>
      <c r="DC120" s="29" t="s">
        <v>2129</v>
      </c>
      <c r="DD120" s="29" t="s">
        <v>2129</v>
      </c>
      <c r="DE120" s="29" t="s">
        <v>2129</v>
      </c>
      <c r="DF120" s="29" t="s">
        <v>2129</v>
      </c>
      <c r="DG120" s="29" t="s">
        <v>2129</v>
      </c>
      <c r="DH120" s="29" t="s">
        <v>2129</v>
      </c>
      <c r="DI120" s="29" t="s">
        <v>2129</v>
      </c>
      <c r="DJ120" s="29" t="s">
        <v>2129</v>
      </c>
      <c r="DK120" s="29" t="s">
        <v>2129</v>
      </c>
      <c r="DL120" s="29" t="s">
        <v>2129</v>
      </c>
      <c r="DM120" s="29" t="s">
        <v>2129</v>
      </c>
      <c r="DN120" s="29" t="s">
        <v>2129</v>
      </c>
      <c r="DO120" s="29" t="s">
        <v>2129</v>
      </c>
      <c r="DP120" s="29" t="s">
        <v>2129</v>
      </c>
      <c r="DQ120" s="42" t="s">
        <v>2129</v>
      </c>
    </row>
    <row r="121" spans="1:121" x14ac:dyDescent="0.25">
      <c r="A121" s="36" t="s">
        <v>1681</v>
      </c>
      <c r="B121" s="30" t="s">
        <v>1683</v>
      </c>
      <c r="C121" s="30">
        <v>22334</v>
      </c>
      <c r="D121" s="30">
        <v>22333</v>
      </c>
      <c r="E121" s="30" t="s">
        <v>1379</v>
      </c>
      <c r="F121" s="30" t="s">
        <v>16</v>
      </c>
      <c r="G121" s="30" t="s">
        <v>3498</v>
      </c>
      <c r="H121" s="30" t="s">
        <v>991</v>
      </c>
      <c r="I121" s="30" t="s">
        <v>2127</v>
      </c>
      <c r="J121" s="30" t="s">
        <v>2152</v>
      </c>
      <c r="K121" s="30" t="s">
        <v>2129</v>
      </c>
      <c r="L121" s="30" t="s">
        <v>2129</v>
      </c>
      <c r="M121" s="30" t="s">
        <v>2130</v>
      </c>
      <c r="N121" s="30" t="s">
        <v>2153</v>
      </c>
      <c r="O121" s="30" t="s">
        <v>2158</v>
      </c>
      <c r="P121" s="30" t="s">
        <v>2152</v>
      </c>
      <c r="Q121" s="30" t="s">
        <v>2152</v>
      </c>
      <c r="R121" s="46">
        <v>45946.643055555556</v>
      </c>
      <c r="S121" s="46">
        <v>46086.466666666667</v>
      </c>
      <c r="T121" s="46">
        <v>46087.717361111114</v>
      </c>
      <c r="U121" s="46">
        <v>46086.466666666667</v>
      </c>
      <c r="V121" s="30" t="s">
        <v>2129</v>
      </c>
      <c r="W121" s="30" t="s">
        <v>2129</v>
      </c>
      <c r="X121" s="30" t="s">
        <v>2129</v>
      </c>
      <c r="Y121" s="30">
        <v>0</v>
      </c>
      <c r="Z121" s="30" t="s">
        <v>2129</v>
      </c>
      <c r="AA121" s="30" t="s">
        <v>2129</v>
      </c>
      <c r="AB121" s="30" t="s">
        <v>2129</v>
      </c>
      <c r="AC121" s="30" t="s">
        <v>2129</v>
      </c>
      <c r="AD121" s="30" t="s">
        <v>2151</v>
      </c>
      <c r="AE121" s="30" t="s">
        <v>2152</v>
      </c>
      <c r="AF121" s="30" t="s">
        <v>2129</v>
      </c>
      <c r="AG121" s="30" t="s">
        <v>2129</v>
      </c>
      <c r="AH121" s="30" t="s">
        <v>2129</v>
      </c>
      <c r="AI121" s="30" t="s">
        <v>3635</v>
      </c>
      <c r="AJ121" s="30" t="s">
        <v>3636</v>
      </c>
      <c r="AK121" s="30" t="s">
        <v>3637</v>
      </c>
      <c r="AL121" s="30" t="s">
        <v>3638</v>
      </c>
      <c r="AM121" s="30" t="s">
        <v>3639</v>
      </c>
      <c r="AN121" s="30" t="s">
        <v>3640</v>
      </c>
      <c r="AO121" s="30" t="s">
        <v>3641</v>
      </c>
      <c r="AP121" s="30" t="s">
        <v>3642</v>
      </c>
      <c r="AQ121" s="30" t="s">
        <v>3643</v>
      </c>
      <c r="AR121" s="30" t="s">
        <v>3644</v>
      </c>
      <c r="AS121" s="30" t="s">
        <v>3645</v>
      </c>
      <c r="AT121" s="30" t="s">
        <v>3646</v>
      </c>
      <c r="AU121" s="30" t="s">
        <v>3647</v>
      </c>
      <c r="AV121" s="30" t="s">
        <v>3648</v>
      </c>
      <c r="AW121" s="30" t="s">
        <v>2129</v>
      </c>
      <c r="AX121" s="30">
        <v>0</v>
      </c>
      <c r="AY121" s="30">
        <v>246600</v>
      </c>
      <c r="AZ121" s="30" t="s">
        <v>2129</v>
      </c>
      <c r="BA121" s="30" t="s">
        <v>2129</v>
      </c>
      <c r="BB121" s="30">
        <v>0</v>
      </c>
      <c r="BC121" s="30">
        <v>246600</v>
      </c>
      <c r="BD121" s="30" t="s">
        <v>2129</v>
      </c>
      <c r="BE121" s="30" t="s">
        <v>2129</v>
      </c>
      <c r="BF121" s="30" t="s">
        <v>2129</v>
      </c>
      <c r="BG121" s="30" t="s">
        <v>2129</v>
      </c>
      <c r="BH121" s="30" t="s">
        <v>2129</v>
      </c>
      <c r="BI121" s="30" t="s">
        <v>2129</v>
      </c>
      <c r="BJ121" s="30" t="s">
        <v>2129</v>
      </c>
      <c r="BK121" s="30" t="s">
        <v>2129</v>
      </c>
      <c r="BL121" s="30" t="s">
        <v>2129</v>
      </c>
      <c r="BM121" s="30" t="s">
        <v>2129</v>
      </c>
      <c r="BN121" s="30" t="s">
        <v>2129</v>
      </c>
      <c r="BO121" s="30" t="s">
        <v>2129</v>
      </c>
      <c r="BP121" s="30" t="s">
        <v>2129</v>
      </c>
      <c r="BQ121" s="30" t="s">
        <v>2129</v>
      </c>
      <c r="BR121" s="30" t="s">
        <v>2129</v>
      </c>
      <c r="BS121" s="30" t="s">
        <v>2129</v>
      </c>
      <c r="BT121" s="30" t="s">
        <v>2129</v>
      </c>
      <c r="BU121" s="30" t="s">
        <v>2129</v>
      </c>
      <c r="BV121" s="30" t="s">
        <v>2129</v>
      </c>
      <c r="BW121" s="30" t="s">
        <v>2129</v>
      </c>
      <c r="BX121" s="30" t="s">
        <v>2129</v>
      </c>
      <c r="BY121" s="30" t="s">
        <v>2129</v>
      </c>
      <c r="BZ121" s="30" t="s">
        <v>2129</v>
      </c>
      <c r="CA121" s="30" t="s">
        <v>2129</v>
      </c>
      <c r="CB121" s="30" t="s">
        <v>2129</v>
      </c>
      <c r="CC121" s="30" t="s">
        <v>2129</v>
      </c>
      <c r="CD121" s="30" t="s">
        <v>2129</v>
      </c>
      <c r="CE121" s="30" t="s">
        <v>3649</v>
      </c>
      <c r="CF121" s="30" t="s">
        <v>3613</v>
      </c>
      <c r="CG121" s="30" t="s">
        <v>2129</v>
      </c>
      <c r="CH121" s="30" t="s">
        <v>2129</v>
      </c>
      <c r="CI121" s="30" t="s">
        <v>2129</v>
      </c>
      <c r="CJ121" s="30" t="s">
        <v>2129</v>
      </c>
      <c r="CK121" s="30" t="s">
        <v>2129</v>
      </c>
      <c r="CL121" s="30" t="s">
        <v>2129</v>
      </c>
      <c r="CM121" s="30" t="s">
        <v>2129</v>
      </c>
      <c r="CN121" s="30" t="s">
        <v>2129</v>
      </c>
      <c r="CO121" s="30" t="s">
        <v>2129</v>
      </c>
      <c r="CP121" s="30" t="s">
        <v>2129</v>
      </c>
      <c r="CQ121" s="30" t="s">
        <v>2129</v>
      </c>
      <c r="CR121" s="30" t="s">
        <v>2129</v>
      </c>
      <c r="CS121" s="30"/>
      <c r="CT121" s="30" t="s">
        <v>2129</v>
      </c>
      <c r="CU121" s="30" t="s">
        <v>2129</v>
      </c>
      <c r="CV121" s="30" t="s">
        <v>3650</v>
      </c>
      <c r="CW121" s="30" t="s">
        <v>3651</v>
      </c>
      <c r="CX121" s="30" t="s">
        <v>3652</v>
      </c>
      <c r="CY121" s="30" t="s">
        <v>3653</v>
      </c>
      <c r="CZ121" s="30" t="s">
        <v>3654</v>
      </c>
      <c r="DA121" s="30" t="s">
        <v>3655</v>
      </c>
      <c r="DB121" s="30" t="s">
        <v>3656</v>
      </c>
      <c r="DC121" s="30" t="s">
        <v>3657</v>
      </c>
      <c r="DD121" s="30" t="s">
        <v>3658</v>
      </c>
      <c r="DE121" s="30" t="s">
        <v>3659</v>
      </c>
      <c r="DF121" s="30" t="s">
        <v>3660</v>
      </c>
      <c r="DG121" s="30" t="s">
        <v>3661</v>
      </c>
      <c r="DH121" s="30" t="s">
        <v>3662</v>
      </c>
      <c r="DI121" s="30" t="s">
        <v>3663</v>
      </c>
      <c r="DJ121" s="30" t="s">
        <v>3664</v>
      </c>
      <c r="DK121" s="30" t="s">
        <v>3665</v>
      </c>
      <c r="DL121" s="30" t="s">
        <v>3666</v>
      </c>
      <c r="DM121" s="30" t="s">
        <v>3667</v>
      </c>
      <c r="DN121" s="30" t="s">
        <v>3668</v>
      </c>
      <c r="DO121" s="30" t="s">
        <v>3669</v>
      </c>
      <c r="DP121" s="30" t="s">
        <v>3670</v>
      </c>
      <c r="DQ121" s="43" t="s">
        <v>3671</v>
      </c>
    </row>
    <row r="122" spans="1:121" x14ac:dyDescent="0.25">
      <c r="A122" s="39" t="s">
        <v>1689</v>
      </c>
      <c r="B122" s="29" t="s">
        <v>1688</v>
      </c>
      <c r="C122" s="29">
        <v>22308</v>
      </c>
      <c r="D122" s="29"/>
      <c r="E122" s="29" t="s">
        <v>14</v>
      </c>
      <c r="F122" s="29" t="s">
        <v>16</v>
      </c>
      <c r="G122" s="29" t="s">
        <v>3498</v>
      </c>
      <c r="H122" s="29" t="s">
        <v>991</v>
      </c>
      <c r="I122" s="29" t="s">
        <v>2127</v>
      </c>
      <c r="J122" s="29" t="s">
        <v>2152</v>
      </c>
      <c r="K122" s="29" t="s">
        <v>2129</v>
      </c>
      <c r="L122" s="29" t="s">
        <v>2129</v>
      </c>
      <c r="M122" s="29" t="s">
        <v>2130</v>
      </c>
      <c r="N122" s="29" t="s">
        <v>2153</v>
      </c>
      <c r="O122" s="29" t="s">
        <v>2152</v>
      </c>
      <c r="P122" s="29" t="s">
        <v>2152</v>
      </c>
      <c r="Q122" s="29" t="s">
        <v>2152</v>
      </c>
      <c r="R122" s="45">
        <v>45936.704861111109</v>
      </c>
      <c r="S122" s="45">
        <v>46085.461805555555</v>
      </c>
      <c r="T122" s="45">
        <v>46087.717361111114</v>
      </c>
      <c r="U122" s="45">
        <v>46085.461805555555</v>
      </c>
      <c r="V122" s="29" t="s">
        <v>2129</v>
      </c>
      <c r="W122" s="29" t="s">
        <v>2129</v>
      </c>
      <c r="X122" s="29" t="s">
        <v>2129</v>
      </c>
      <c r="Y122" s="29">
        <v>0</v>
      </c>
      <c r="Z122" s="29" t="s">
        <v>3592</v>
      </c>
      <c r="AA122" s="29" t="s">
        <v>2129</v>
      </c>
      <c r="AB122" s="29" t="s">
        <v>3672</v>
      </c>
      <c r="AC122" s="29" t="s">
        <v>2129</v>
      </c>
      <c r="AD122" s="29" t="s">
        <v>2152</v>
      </c>
      <c r="AE122" s="29" t="s">
        <v>2129</v>
      </c>
      <c r="AF122" s="29" t="s">
        <v>2129</v>
      </c>
      <c r="AG122" s="29" t="s">
        <v>2129</v>
      </c>
      <c r="AH122" s="29" t="s">
        <v>2129</v>
      </c>
      <c r="AI122" s="29" t="s">
        <v>3673</v>
      </c>
      <c r="AJ122" s="29" t="s">
        <v>2129</v>
      </c>
      <c r="AK122" s="29" t="s">
        <v>2129</v>
      </c>
      <c r="AL122" s="29" t="s">
        <v>2129</v>
      </c>
      <c r="AM122" s="29" t="s">
        <v>2129</v>
      </c>
      <c r="AN122" s="29" t="s">
        <v>2129</v>
      </c>
      <c r="AO122" s="29" t="s">
        <v>2129</v>
      </c>
      <c r="AP122" s="29" t="s">
        <v>2129</v>
      </c>
      <c r="AQ122" s="29" t="s">
        <v>2129</v>
      </c>
      <c r="AR122" s="29" t="s">
        <v>2129</v>
      </c>
      <c r="AS122" s="29" t="s">
        <v>2129</v>
      </c>
      <c r="AT122" s="29" t="s">
        <v>2129</v>
      </c>
      <c r="AU122" s="29" t="s">
        <v>2129</v>
      </c>
      <c r="AV122" s="29" t="s">
        <v>2129</v>
      </c>
      <c r="AW122" s="29" t="s">
        <v>2129</v>
      </c>
      <c r="AX122" s="29">
        <v>0</v>
      </c>
      <c r="AY122" s="29">
        <v>3600</v>
      </c>
      <c r="AZ122" s="29" t="s">
        <v>2129</v>
      </c>
      <c r="BA122" s="29" t="s">
        <v>2129</v>
      </c>
      <c r="BB122" s="29">
        <v>0</v>
      </c>
      <c r="BC122" s="29">
        <v>3600</v>
      </c>
      <c r="BD122" s="29" t="s">
        <v>2129</v>
      </c>
      <c r="BE122" s="29" t="s">
        <v>2129</v>
      </c>
      <c r="BF122" s="29" t="s">
        <v>2129</v>
      </c>
      <c r="BG122" s="29" t="s">
        <v>2129</v>
      </c>
      <c r="BH122" s="29" t="s">
        <v>2129</v>
      </c>
      <c r="BI122" s="29" t="s">
        <v>2129</v>
      </c>
      <c r="BJ122" s="29" t="s">
        <v>2129</v>
      </c>
      <c r="BK122" s="29" t="s">
        <v>2129</v>
      </c>
      <c r="BL122" s="29" t="s">
        <v>2129</v>
      </c>
      <c r="BM122" s="29" t="s">
        <v>2129</v>
      </c>
      <c r="BN122" s="29" t="s">
        <v>2129</v>
      </c>
      <c r="BO122" s="29" t="s">
        <v>2129</v>
      </c>
      <c r="BP122" s="29" t="s">
        <v>2129</v>
      </c>
      <c r="BQ122" s="29" t="s">
        <v>2129</v>
      </c>
      <c r="BR122" s="29" t="s">
        <v>2129</v>
      </c>
      <c r="BS122" s="29" t="s">
        <v>2129</v>
      </c>
      <c r="BT122" s="29" t="s">
        <v>2129</v>
      </c>
      <c r="BU122" s="29" t="s">
        <v>2129</v>
      </c>
      <c r="BV122" s="29" t="s">
        <v>2129</v>
      </c>
      <c r="BW122" s="29" t="s">
        <v>2129</v>
      </c>
      <c r="BX122" s="29" t="s">
        <v>2129</v>
      </c>
      <c r="BY122" s="29" t="s">
        <v>2129</v>
      </c>
      <c r="BZ122" s="29" t="s">
        <v>2129</v>
      </c>
      <c r="CA122" s="29" t="s">
        <v>2129</v>
      </c>
      <c r="CB122" s="29" t="s">
        <v>2129</v>
      </c>
      <c r="CC122" s="29" t="s">
        <v>2129</v>
      </c>
      <c r="CD122" s="29" t="s">
        <v>2129</v>
      </c>
      <c r="CE122" s="29" t="s">
        <v>3674</v>
      </c>
      <c r="CF122" s="29" t="s">
        <v>3613</v>
      </c>
      <c r="CG122" s="29" t="s">
        <v>2129</v>
      </c>
      <c r="CH122" s="29" t="s">
        <v>2129</v>
      </c>
      <c r="CI122" s="29" t="s">
        <v>2129</v>
      </c>
      <c r="CJ122" s="29" t="s">
        <v>2129</v>
      </c>
      <c r="CK122" s="29" t="s">
        <v>2129</v>
      </c>
      <c r="CL122" s="29" t="s">
        <v>2129</v>
      </c>
      <c r="CM122" s="29" t="s">
        <v>2129</v>
      </c>
      <c r="CN122" s="29" t="s">
        <v>2129</v>
      </c>
      <c r="CO122" s="29" t="s">
        <v>2129</v>
      </c>
      <c r="CP122" s="29" t="s">
        <v>2129</v>
      </c>
      <c r="CQ122" s="29" t="s">
        <v>2129</v>
      </c>
      <c r="CR122" s="29" t="s">
        <v>2129</v>
      </c>
      <c r="CS122" s="29"/>
      <c r="CT122" s="29" t="s">
        <v>2129</v>
      </c>
      <c r="CU122" s="29" t="s">
        <v>2129</v>
      </c>
      <c r="CV122" s="29" t="s">
        <v>3614</v>
      </c>
      <c r="CW122" s="29" t="s">
        <v>2129</v>
      </c>
      <c r="CX122" s="29" t="s">
        <v>2129</v>
      </c>
      <c r="CY122" s="29" t="s">
        <v>2129</v>
      </c>
      <c r="CZ122" s="29" t="s">
        <v>2129</v>
      </c>
      <c r="DA122" s="29" t="s">
        <v>2129</v>
      </c>
      <c r="DB122" s="29" t="s">
        <v>2129</v>
      </c>
      <c r="DC122" s="29" t="s">
        <v>2129</v>
      </c>
      <c r="DD122" s="29" t="s">
        <v>2129</v>
      </c>
      <c r="DE122" s="29" t="s">
        <v>2129</v>
      </c>
      <c r="DF122" s="29" t="s">
        <v>2129</v>
      </c>
      <c r="DG122" s="29" t="s">
        <v>2129</v>
      </c>
      <c r="DH122" s="29" t="s">
        <v>2129</v>
      </c>
      <c r="DI122" s="29" t="s">
        <v>2129</v>
      </c>
      <c r="DJ122" s="29" t="s">
        <v>2129</v>
      </c>
      <c r="DK122" s="29" t="s">
        <v>2129</v>
      </c>
      <c r="DL122" s="29" t="s">
        <v>2129</v>
      </c>
      <c r="DM122" s="29" t="s">
        <v>2129</v>
      </c>
      <c r="DN122" s="29" t="s">
        <v>2129</v>
      </c>
      <c r="DO122" s="29" t="s">
        <v>2129</v>
      </c>
      <c r="DP122" s="29" t="s">
        <v>2129</v>
      </c>
      <c r="DQ122" s="42" t="s">
        <v>2129</v>
      </c>
    </row>
    <row r="123" spans="1:121" x14ac:dyDescent="0.25">
      <c r="A123" s="36" t="s">
        <v>3675</v>
      </c>
      <c r="B123" s="30" t="s">
        <v>3676</v>
      </c>
      <c r="C123" s="30">
        <v>22285</v>
      </c>
      <c r="D123" s="30"/>
      <c r="E123" s="30" t="s">
        <v>14</v>
      </c>
      <c r="F123" s="30" t="s">
        <v>16</v>
      </c>
      <c r="G123" s="30" t="s">
        <v>3498</v>
      </c>
      <c r="H123" s="30" t="s">
        <v>991</v>
      </c>
      <c r="I123" s="30" t="s">
        <v>2127</v>
      </c>
      <c r="J123" s="30" t="s">
        <v>2152</v>
      </c>
      <c r="K123" s="30" t="s">
        <v>2129</v>
      </c>
      <c r="L123" s="30" t="s">
        <v>2129</v>
      </c>
      <c r="M123" s="30" t="s">
        <v>2130</v>
      </c>
      <c r="N123" s="30" t="s">
        <v>2153</v>
      </c>
      <c r="O123" s="30" t="s">
        <v>2152</v>
      </c>
      <c r="P123" s="30" t="s">
        <v>2152</v>
      </c>
      <c r="Q123" s="30" t="s">
        <v>2152</v>
      </c>
      <c r="R123" s="46">
        <v>45933.731944444444</v>
      </c>
      <c r="S123" s="46">
        <v>46085.461805555555</v>
      </c>
      <c r="T123" s="46">
        <v>46087.717361111114</v>
      </c>
      <c r="U123" s="46">
        <v>46085.461805555555</v>
      </c>
      <c r="V123" s="30" t="s">
        <v>2129</v>
      </c>
      <c r="W123" s="30" t="s">
        <v>2129</v>
      </c>
      <c r="X123" s="30" t="s">
        <v>2129</v>
      </c>
      <c r="Y123" s="30">
        <v>0</v>
      </c>
      <c r="Z123" s="30" t="s">
        <v>3592</v>
      </c>
      <c r="AA123" s="30" t="s">
        <v>3677</v>
      </c>
      <c r="AB123" s="30" t="s">
        <v>3678</v>
      </c>
      <c r="AC123" s="30" t="s">
        <v>2129</v>
      </c>
      <c r="AD123" s="30" t="s">
        <v>2152</v>
      </c>
      <c r="AE123" s="30" t="s">
        <v>2129</v>
      </c>
      <c r="AF123" s="30" t="s">
        <v>2129</v>
      </c>
      <c r="AG123" s="30" t="s">
        <v>2129</v>
      </c>
      <c r="AH123" s="30" t="s">
        <v>2129</v>
      </c>
      <c r="AI123" s="30" t="s">
        <v>3679</v>
      </c>
      <c r="AJ123" s="30" t="s">
        <v>2129</v>
      </c>
      <c r="AK123" s="30" t="s">
        <v>2129</v>
      </c>
      <c r="AL123" s="30" t="s">
        <v>2129</v>
      </c>
      <c r="AM123" s="30" t="s">
        <v>2129</v>
      </c>
      <c r="AN123" s="30" t="s">
        <v>2129</v>
      </c>
      <c r="AO123" s="30" t="s">
        <v>2129</v>
      </c>
      <c r="AP123" s="30" t="s">
        <v>2129</v>
      </c>
      <c r="AQ123" s="30" t="s">
        <v>2129</v>
      </c>
      <c r="AR123" s="30" t="s">
        <v>2129</v>
      </c>
      <c r="AS123" s="30" t="s">
        <v>2129</v>
      </c>
      <c r="AT123" s="30" t="s">
        <v>2129</v>
      </c>
      <c r="AU123" s="30" t="s">
        <v>2129</v>
      </c>
      <c r="AV123" s="30" t="s">
        <v>2129</v>
      </c>
      <c r="AW123" s="30" t="s">
        <v>2129</v>
      </c>
      <c r="AX123" s="30">
        <v>0</v>
      </c>
      <c r="AY123" s="30">
        <v>28800</v>
      </c>
      <c r="AZ123" s="30" t="s">
        <v>2129</v>
      </c>
      <c r="BA123" s="30" t="s">
        <v>2129</v>
      </c>
      <c r="BB123" s="30">
        <v>0</v>
      </c>
      <c r="BC123" s="30">
        <v>28800</v>
      </c>
      <c r="BD123" s="30" t="s">
        <v>2129</v>
      </c>
      <c r="BE123" s="30" t="s">
        <v>2129</v>
      </c>
      <c r="BF123" s="30" t="s">
        <v>2129</v>
      </c>
      <c r="BG123" s="30" t="s">
        <v>2129</v>
      </c>
      <c r="BH123" s="30" t="s">
        <v>2129</v>
      </c>
      <c r="BI123" s="30" t="s">
        <v>2129</v>
      </c>
      <c r="BJ123" s="30" t="s">
        <v>2129</v>
      </c>
      <c r="BK123" s="30" t="s">
        <v>2129</v>
      </c>
      <c r="BL123" s="30" t="s">
        <v>2129</v>
      </c>
      <c r="BM123" s="30" t="s">
        <v>2129</v>
      </c>
      <c r="BN123" s="30" t="s">
        <v>2129</v>
      </c>
      <c r="BO123" s="30" t="s">
        <v>2129</v>
      </c>
      <c r="BP123" s="30" t="s">
        <v>2129</v>
      </c>
      <c r="BQ123" s="30" t="s">
        <v>2129</v>
      </c>
      <c r="BR123" s="30" t="s">
        <v>2129</v>
      </c>
      <c r="BS123" s="30" t="s">
        <v>2129</v>
      </c>
      <c r="BT123" s="30" t="s">
        <v>2129</v>
      </c>
      <c r="BU123" s="30" t="s">
        <v>2129</v>
      </c>
      <c r="BV123" s="30" t="s">
        <v>2129</v>
      </c>
      <c r="BW123" s="30" t="s">
        <v>2129</v>
      </c>
      <c r="BX123" s="30" t="s">
        <v>3680</v>
      </c>
      <c r="BY123" s="30" t="s">
        <v>2129</v>
      </c>
      <c r="BZ123" s="30" t="s">
        <v>2129</v>
      </c>
      <c r="CA123" s="30" t="s">
        <v>2129</v>
      </c>
      <c r="CB123" s="30" t="s">
        <v>2129</v>
      </c>
      <c r="CC123" s="30" t="s">
        <v>2129</v>
      </c>
      <c r="CD123" s="30" t="s">
        <v>2129</v>
      </c>
      <c r="CE123" s="30" t="s">
        <v>3681</v>
      </c>
      <c r="CF123" s="30" t="s">
        <v>3613</v>
      </c>
      <c r="CG123" s="30" t="s">
        <v>2129</v>
      </c>
      <c r="CH123" s="30" t="s">
        <v>2129</v>
      </c>
      <c r="CI123" s="30" t="s">
        <v>2129</v>
      </c>
      <c r="CJ123" s="30" t="s">
        <v>2129</v>
      </c>
      <c r="CK123" s="30" t="s">
        <v>2129</v>
      </c>
      <c r="CL123" s="30" t="s">
        <v>2129</v>
      </c>
      <c r="CM123" s="30" t="s">
        <v>2129</v>
      </c>
      <c r="CN123" s="30" t="s">
        <v>2129</v>
      </c>
      <c r="CO123" s="30" t="s">
        <v>2129</v>
      </c>
      <c r="CP123" s="30" t="s">
        <v>2129</v>
      </c>
      <c r="CQ123" s="30" t="s">
        <v>2129</v>
      </c>
      <c r="CR123" s="30" t="s">
        <v>2129</v>
      </c>
      <c r="CS123" s="30"/>
      <c r="CT123" s="30" t="s">
        <v>2129</v>
      </c>
      <c r="CU123" s="30" t="s">
        <v>2129</v>
      </c>
      <c r="CV123" s="30" t="s">
        <v>3614</v>
      </c>
      <c r="CW123" s="30" t="s">
        <v>2129</v>
      </c>
      <c r="CX123" s="30" t="s">
        <v>2129</v>
      </c>
      <c r="CY123" s="30" t="s">
        <v>2129</v>
      </c>
      <c r="CZ123" s="30" t="s">
        <v>2129</v>
      </c>
      <c r="DA123" s="30" t="s">
        <v>2129</v>
      </c>
      <c r="DB123" s="30" t="s">
        <v>2129</v>
      </c>
      <c r="DC123" s="30" t="s">
        <v>2129</v>
      </c>
      <c r="DD123" s="30" t="s">
        <v>2129</v>
      </c>
      <c r="DE123" s="30" t="s">
        <v>2129</v>
      </c>
      <c r="DF123" s="30" t="s">
        <v>2129</v>
      </c>
      <c r="DG123" s="30" t="s">
        <v>2129</v>
      </c>
      <c r="DH123" s="30" t="s">
        <v>2129</v>
      </c>
      <c r="DI123" s="30" t="s">
        <v>2129</v>
      </c>
      <c r="DJ123" s="30" t="s">
        <v>2129</v>
      </c>
      <c r="DK123" s="30" t="s">
        <v>2129</v>
      </c>
      <c r="DL123" s="30" t="s">
        <v>2129</v>
      </c>
      <c r="DM123" s="30" t="s">
        <v>2129</v>
      </c>
      <c r="DN123" s="30" t="s">
        <v>2129</v>
      </c>
      <c r="DO123" s="30" t="s">
        <v>2129</v>
      </c>
      <c r="DP123" s="30" t="s">
        <v>2129</v>
      </c>
      <c r="DQ123" s="43" t="s">
        <v>2129</v>
      </c>
    </row>
    <row r="124" spans="1:121" x14ac:dyDescent="0.25">
      <c r="A124" s="39" t="s">
        <v>3682</v>
      </c>
      <c r="B124" s="29" t="s">
        <v>3683</v>
      </c>
      <c r="C124" s="29">
        <v>22092</v>
      </c>
      <c r="D124" s="29"/>
      <c r="E124" s="29" t="s">
        <v>14</v>
      </c>
      <c r="F124" s="29" t="s">
        <v>10</v>
      </c>
      <c r="G124" s="29" t="s">
        <v>3498</v>
      </c>
      <c r="H124" s="29" t="s">
        <v>991</v>
      </c>
      <c r="I124" s="29" t="s">
        <v>2127</v>
      </c>
      <c r="J124" s="29" t="s">
        <v>2152</v>
      </c>
      <c r="K124" s="29" t="s">
        <v>2129</v>
      </c>
      <c r="L124" s="29" t="s">
        <v>2129</v>
      </c>
      <c r="M124" s="29" t="s">
        <v>2130</v>
      </c>
      <c r="N124" s="29" t="s">
        <v>2129</v>
      </c>
      <c r="O124" s="29" t="s">
        <v>2141</v>
      </c>
      <c r="P124" s="29" t="s">
        <v>2145</v>
      </c>
      <c r="Q124" s="29" t="s">
        <v>2145</v>
      </c>
      <c r="R124" s="45">
        <v>45894.074999999997</v>
      </c>
      <c r="S124" s="45">
        <v>46085.415972222225</v>
      </c>
      <c r="T124" s="45">
        <v>46087.717361111114</v>
      </c>
      <c r="U124" s="45"/>
      <c r="V124" s="29" t="s">
        <v>2129</v>
      </c>
      <c r="W124" s="29" t="s">
        <v>2129</v>
      </c>
      <c r="X124" s="29" t="s">
        <v>2129</v>
      </c>
      <c r="Y124" s="29">
        <v>0</v>
      </c>
      <c r="Z124" s="29" t="s">
        <v>2129</v>
      </c>
      <c r="AA124" s="29" t="s">
        <v>2129</v>
      </c>
      <c r="AB124" s="29" t="s">
        <v>3684</v>
      </c>
      <c r="AC124" s="29" t="s">
        <v>2129</v>
      </c>
      <c r="AD124" s="29" t="s">
        <v>2145</v>
      </c>
      <c r="AE124" s="29" t="s">
        <v>2129</v>
      </c>
      <c r="AF124" s="29" t="s">
        <v>2129</v>
      </c>
      <c r="AG124" s="29" t="s">
        <v>2129</v>
      </c>
      <c r="AH124" s="29" t="s">
        <v>2129</v>
      </c>
      <c r="AI124" s="29" t="s">
        <v>2129</v>
      </c>
      <c r="AJ124" s="29" t="s">
        <v>2129</v>
      </c>
      <c r="AK124" s="29" t="s">
        <v>2129</v>
      </c>
      <c r="AL124" s="29" t="s">
        <v>2129</v>
      </c>
      <c r="AM124" s="29" t="s">
        <v>2129</v>
      </c>
      <c r="AN124" s="29" t="s">
        <v>2129</v>
      </c>
      <c r="AO124" s="29" t="s">
        <v>2129</v>
      </c>
      <c r="AP124" s="29" t="s">
        <v>2129</v>
      </c>
      <c r="AQ124" s="29" t="s">
        <v>2129</v>
      </c>
      <c r="AR124" s="29" t="s">
        <v>2129</v>
      </c>
      <c r="AS124" s="29" t="s">
        <v>2129</v>
      </c>
      <c r="AT124" s="29" t="s">
        <v>2129</v>
      </c>
      <c r="AU124" s="29" t="s">
        <v>2129</v>
      </c>
      <c r="AV124" s="29" t="s">
        <v>2129</v>
      </c>
      <c r="AW124" s="29" t="s">
        <v>2129</v>
      </c>
      <c r="AX124" s="29"/>
      <c r="AY124" s="29"/>
      <c r="AZ124" s="29" t="s">
        <v>2129</v>
      </c>
      <c r="BA124" s="29" t="s">
        <v>2129</v>
      </c>
      <c r="BB124" s="29"/>
      <c r="BC124" s="29"/>
      <c r="BD124" s="29" t="s">
        <v>2129</v>
      </c>
      <c r="BE124" s="29" t="s">
        <v>2129</v>
      </c>
      <c r="BF124" s="29" t="s">
        <v>2129</v>
      </c>
      <c r="BG124" s="29" t="s">
        <v>2129</v>
      </c>
      <c r="BH124" s="29" t="s">
        <v>2129</v>
      </c>
      <c r="BI124" s="29" t="s">
        <v>2129</v>
      </c>
      <c r="BJ124" s="29" t="s">
        <v>2129</v>
      </c>
      <c r="BK124" s="29" t="s">
        <v>2129</v>
      </c>
      <c r="BL124" s="29" t="s">
        <v>2129</v>
      </c>
      <c r="BM124" s="29" t="s">
        <v>2129</v>
      </c>
      <c r="BN124" s="29" t="s">
        <v>2129</v>
      </c>
      <c r="BO124" s="29" t="s">
        <v>2129</v>
      </c>
      <c r="BP124" s="29" t="s">
        <v>2129</v>
      </c>
      <c r="BQ124" s="29" t="s">
        <v>2129</v>
      </c>
      <c r="BR124" s="29" t="s">
        <v>2129</v>
      </c>
      <c r="BS124" s="29" t="s">
        <v>2129</v>
      </c>
      <c r="BT124" s="29" t="s">
        <v>2129</v>
      </c>
      <c r="BU124" s="29" t="s">
        <v>2129</v>
      </c>
      <c r="BV124" s="29" t="s">
        <v>2129</v>
      </c>
      <c r="BW124" s="29" t="s">
        <v>2129</v>
      </c>
      <c r="BX124" s="29" t="s">
        <v>3685</v>
      </c>
      <c r="BY124" s="29" t="s">
        <v>2129</v>
      </c>
      <c r="BZ124" s="29" t="s">
        <v>2129</v>
      </c>
      <c r="CA124" s="29" t="s">
        <v>2129</v>
      </c>
      <c r="CB124" s="29" t="s">
        <v>2129</v>
      </c>
      <c r="CC124" s="29" t="s">
        <v>2129</v>
      </c>
      <c r="CD124" s="29" t="s">
        <v>2129</v>
      </c>
      <c r="CE124" s="29" t="s">
        <v>3686</v>
      </c>
      <c r="CF124" s="29" t="s">
        <v>2129</v>
      </c>
      <c r="CG124" s="29" t="s">
        <v>2129</v>
      </c>
      <c r="CH124" s="29" t="s">
        <v>2129</v>
      </c>
      <c r="CI124" s="29" t="s">
        <v>2129</v>
      </c>
      <c r="CJ124" s="29" t="s">
        <v>2129</v>
      </c>
      <c r="CK124" s="29" t="s">
        <v>2129</v>
      </c>
      <c r="CL124" s="29" t="s">
        <v>2129</v>
      </c>
      <c r="CM124" s="29" t="s">
        <v>2129</v>
      </c>
      <c r="CN124" s="29" t="s">
        <v>2129</v>
      </c>
      <c r="CO124" s="29" t="s">
        <v>2129</v>
      </c>
      <c r="CP124" s="29" t="s">
        <v>2129</v>
      </c>
      <c r="CQ124" s="29" t="s">
        <v>2129</v>
      </c>
      <c r="CR124" s="29" t="s">
        <v>2129</v>
      </c>
      <c r="CS124" s="29"/>
      <c r="CT124" s="29" t="s">
        <v>2129</v>
      </c>
      <c r="CU124" s="29" t="s">
        <v>2129</v>
      </c>
      <c r="CV124" s="29" t="s">
        <v>2129</v>
      </c>
      <c r="CW124" s="29" t="s">
        <v>2129</v>
      </c>
      <c r="CX124" s="29" t="s">
        <v>2129</v>
      </c>
      <c r="CY124" s="29" t="s">
        <v>2129</v>
      </c>
      <c r="CZ124" s="29" t="s">
        <v>2129</v>
      </c>
      <c r="DA124" s="29" t="s">
        <v>2129</v>
      </c>
      <c r="DB124" s="29" t="s">
        <v>2129</v>
      </c>
      <c r="DC124" s="29" t="s">
        <v>2129</v>
      </c>
      <c r="DD124" s="29" t="s">
        <v>2129</v>
      </c>
      <c r="DE124" s="29" t="s">
        <v>2129</v>
      </c>
      <c r="DF124" s="29" t="s">
        <v>2129</v>
      </c>
      <c r="DG124" s="29" t="s">
        <v>2129</v>
      </c>
      <c r="DH124" s="29" t="s">
        <v>2129</v>
      </c>
      <c r="DI124" s="29" t="s">
        <v>2129</v>
      </c>
      <c r="DJ124" s="29" t="s">
        <v>2129</v>
      </c>
      <c r="DK124" s="29" t="s">
        <v>2129</v>
      </c>
      <c r="DL124" s="29" t="s">
        <v>2129</v>
      </c>
      <c r="DM124" s="29" t="s">
        <v>2129</v>
      </c>
      <c r="DN124" s="29" t="s">
        <v>2129</v>
      </c>
      <c r="DO124" s="29" t="s">
        <v>2129</v>
      </c>
      <c r="DP124" s="29" t="s">
        <v>2129</v>
      </c>
      <c r="DQ124" s="42" t="s">
        <v>2129</v>
      </c>
    </row>
    <row r="125" spans="1:121" x14ac:dyDescent="0.25">
      <c r="A125" s="36" t="s">
        <v>1691</v>
      </c>
      <c r="B125" s="30" t="s">
        <v>1690</v>
      </c>
      <c r="C125" s="30">
        <v>22085</v>
      </c>
      <c r="D125" s="30"/>
      <c r="E125" s="30" t="s">
        <v>14</v>
      </c>
      <c r="F125" s="30" t="s">
        <v>16</v>
      </c>
      <c r="G125" s="30" t="s">
        <v>3498</v>
      </c>
      <c r="H125" s="30" t="s">
        <v>991</v>
      </c>
      <c r="I125" s="30" t="s">
        <v>2127</v>
      </c>
      <c r="J125" s="30" t="s">
        <v>2152</v>
      </c>
      <c r="K125" s="30" t="s">
        <v>2129</v>
      </c>
      <c r="L125" s="30" t="s">
        <v>2129</v>
      </c>
      <c r="M125" s="30" t="s">
        <v>2130</v>
      </c>
      <c r="N125" s="30" t="s">
        <v>2153</v>
      </c>
      <c r="O125" s="30" t="s">
        <v>2152</v>
      </c>
      <c r="P125" s="30" t="s">
        <v>2145</v>
      </c>
      <c r="Q125" s="30" t="s">
        <v>2145</v>
      </c>
      <c r="R125" s="46">
        <v>45894.060416666667</v>
      </c>
      <c r="S125" s="46">
        <v>46085.461805555555</v>
      </c>
      <c r="T125" s="46">
        <v>46087.717361111114</v>
      </c>
      <c r="U125" s="46">
        <v>46085.461805555555</v>
      </c>
      <c r="V125" s="30" t="s">
        <v>2129</v>
      </c>
      <c r="W125" s="30" t="s">
        <v>2129</v>
      </c>
      <c r="X125" s="30" t="s">
        <v>2129</v>
      </c>
      <c r="Y125" s="30">
        <v>0</v>
      </c>
      <c r="Z125" s="30" t="s">
        <v>3677</v>
      </c>
      <c r="AA125" s="30" t="s">
        <v>2129</v>
      </c>
      <c r="AB125" s="30" t="s">
        <v>3687</v>
      </c>
      <c r="AC125" s="30" t="s">
        <v>2129</v>
      </c>
      <c r="AD125" s="30" t="s">
        <v>2145</v>
      </c>
      <c r="AE125" s="30" t="s">
        <v>2152</v>
      </c>
      <c r="AF125" s="30" t="s">
        <v>2129</v>
      </c>
      <c r="AG125" s="30" t="s">
        <v>2129</v>
      </c>
      <c r="AH125" s="30" t="s">
        <v>2129</v>
      </c>
      <c r="AI125" s="30" t="s">
        <v>3688</v>
      </c>
      <c r="AJ125" s="30" t="s">
        <v>3689</v>
      </c>
      <c r="AK125" s="30" t="s">
        <v>2129</v>
      </c>
      <c r="AL125" s="30" t="s">
        <v>2129</v>
      </c>
      <c r="AM125" s="30" t="s">
        <v>2129</v>
      </c>
      <c r="AN125" s="30" t="s">
        <v>2129</v>
      </c>
      <c r="AO125" s="30" t="s">
        <v>2129</v>
      </c>
      <c r="AP125" s="30" t="s">
        <v>2129</v>
      </c>
      <c r="AQ125" s="30" t="s">
        <v>2129</v>
      </c>
      <c r="AR125" s="30" t="s">
        <v>2129</v>
      </c>
      <c r="AS125" s="30" t="s">
        <v>2129</v>
      </c>
      <c r="AT125" s="30" t="s">
        <v>2129</v>
      </c>
      <c r="AU125" s="30" t="s">
        <v>2129</v>
      </c>
      <c r="AV125" s="30" t="s">
        <v>2129</v>
      </c>
      <c r="AW125" s="30" t="s">
        <v>2129</v>
      </c>
      <c r="AX125" s="30">
        <v>0</v>
      </c>
      <c r="AY125" s="30">
        <v>14400</v>
      </c>
      <c r="AZ125" s="30" t="s">
        <v>2129</v>
      </c>
      <c r="BA125" s="30" t="s">
        <v>2129</v>
      </c>
      <c r="BB125" s="30">
        <v>0</v>
      </c>
      <c r="BC125" s="30">
        <v>14400</v>
      </c>
      <c r="BD125" s="30" t="s">
        <v>2129</v>
      </c>
      <c r="BE125" s="30" t="s">
        <v>2129</v>
      </c>
      <c r="BF125" s="30" t="s">
        <v>2129</v>
      </c>
      <c r="BG125" s="30" t="s">
        <v>2129</v>
      </c>
      <c r="BH125" s="30" t="s">
        <v>2129</v>
      </c>
      <c r="BI125" s="30" t="s">
        <v>2129</v>
      </c>
      <c r="BJ125" s="30" t="s">
        <v>2129</v>
      </c>
      <c r="BK125" s="30" t="s">
        <v>3690</v>
      </c>
      <c r="BL125" s="30" t="s">
        <v>2129</v>
      </c>
      <c r="BM125" s="30" t="s">
        <v>2129</v>
      </c>
      <c r="BN125" s="30" t="s">
        <v>2129</v>
      </c>
      <c r="BO125" s="30" t="s">
        <v>2129</v>
      </c>
      <c r="BP125" s="30" t="s">
        <v>2129</v>
      </c>
      <c r="BQ125" s="30" t="s">
        <v>2129</v>
      </c>
      <c r="BR125" s="30" t="s">
        <v>2129</v>
      </c>
      <c r="BS125" s="30" t="s">
        <v>2129</v>
      </c>
      <c r="BT125" s="30" t="s">
        <v>2129</v>
      </c>
      <c r="BU125" s="30" t="s">
        <v>2129</v>
      </c>
      <c r="BV125" s="30" t="s">
        <v>2129</v>
      </c>
      <c r="BW125" s="30" t="s">
        <v>2129</v>
      </c>
      <c r="BX125" s="30" t="s">
        <v>3680</v>
      </c>
      <c r="BY125" s="30" t="s">
        <v>2129</v>
      </c>
      <c r="BZ125" s="30" t="s">
        <v>2129</v>
      </c>
      <c r="CA125" s="30" t="s">
        <v>2129</v>
      </c>
      <c r="CB125" s="30" t="s">
        <v>2129</v>
      </c>
      <c r="CC125" s="30" t="s">
        <v>2129</v>
      </c>
      <c r="CD125" s="30" t="s">
        <v>2129</v>
      </c>
      <c r="CE125" s="30" t="s">
        <v>3691</v>
      </c>
      <c r="CF125" s="30" t="s">
        <v>3613</v>
      </c>
      <c r="CG125" s="30" t="s">
        <v>2129</v>
      </c>
      <c r="CH125" s="30" t="s">
        <v>2129</v>
      </c>
      <c r="CI125" s="30" t="s">
        <v>2129</v>
      </c>
      <c r="CJ125" s="30" t="s">
        <v>2129</v>
      </c>
      <c r="CK125" s="30" t="s">
        <v>2129</v>
      </c>
      <c r="CL125" s="30" t="s">
        <v>2129</v>
      </c>
      <c r="CM125" s="30" t="s">
        <v>2129</v>
      </c>
      <c r="CN125" s="30" t="s">
        <v>2129</v>
      </c>
      <c r="CO125" s="30" t="s">
        <v>2129</v>
      </c>
      <c r="CP125" s="30" t="s">
        <v>2129</v>
      </c>
      <c r="CQ125" s="30" t="s">
        <v>2129</v>
      </c>
      <c r="CR125" s="30" t="s">
        <v>2129</v>
      </c>
      <c r="CS125" s="30"/>
      <c r="CT125" s="30" t="s">
        <v>2129</v>
      </c>
      <c r="CU125" s="30" t="s">
        <v>2129</v>
      </c>
      <c r="CV125" s="30" t="s">
        <v>3614</v>
      </c>
      <c r="CW125" s="30" t="s">
        <v>2129</v>
      </c>
      <c r="CX125" s="30" t="s">
        <v>2129</v>
      </c>
      <c r="CY125" s="30" t="s">
        <v>2129</v>
      </c>
      <c r="CZ125" s="30" t="s">
        <v>2129</v>
      </c>
      <c r="DA125" s="30" t="s">
        <v>2129</v>
      </c>
      <c r="DB125" s="30" t="s">
        <v>2129</v>
      </c>
      <c r="DC125" s="30" t="s">
        <v>2129</v>
      </c>
      <c r="DD125" s="30" t="s">
        <v>2129</v>
      </c>
      <c r="DE125" s="30" t="s">
        <v>2129</v>
      </c>
      <c r="DF125" s="30" t="s">
        <v>2129</v>
      </c>
      <c r="DG125" s="30" t="s">
        <v>2129</v>
      </c>
      <c r="DH125" s="30" t="s">
        <v>2129</v>
      </c>
      <c r="DI125" s="30" t="s">
        <v>2129</v>
      </c>
      <c r="DJ125" s="30" t="s">
        <v>2129</v>
      </c>
      <c r="DK125" s="30" t="s">
        <v>2129</v>
      </c>
      <c r="DL125" s="30" t="s">
        <v>2129</v>
      </c>
      <c r="DM125" s="30" t="s">
        <v>2129</v>
      </c>
      <c r="DN125" s="30" t="s">
        <v>2129</v>
      </c>
      <c r="DO125" s="30" t="s">
        <v>2129</v>
      </c>
      <c r="DP125" s="30" t="s">
        <v>2129</v>
      </c>
      <c r="DQ125" s="43" t="s">
        <v>2129</v>
      </c>
    </row>
    <row r="126" spans="1:121" x14ac:dyDescent="0.25">
      <c r="A126" s="39" t="s">
        <v>1693</v>
      </c>
      <c r="B126" s="29" t="s">
        <v>1692</v>
      </c>
      <c r="C126" s="29">
        <v>22084</v>
      </c>
      <c r="D126" s="29"/>
      <c r="E126" s="29" t="s">
        <v>14</v>
      </c>
      <c r="F126" s="29" t="s">
        <v>16</v>
      </c>
      <c r="G126" s="29" t="s">
        <v>3498</v>
      </c>
      <c r="H126" s="29" t="s">
        <v>991</v>
      </c>
      <c r="I126" s="29" t="s">
        <v>2127</v>
      </c>
      <c r="J126" s="29" t="s">
        <v>2152</v>
      </c>
      <c r="K126" s="29" t="s">
        <v>2129</v>
      </c>
      <c r="L126" s="29" t="s">
        <v>2129</v>
      </c>
      <c r="M126" s="29" t="s">
        <v>2130</v>
      </c>
      <c r="N126" s="29" t="s">
        <v>2153</v>
      </c>
      <c r="O126" s="29" t="s">
        <v>2152</v>
      </c>
      <c r="P126" s="29" t="s">
        <v>2145</v>
      </c>
      <c r="Q126" s="29" t="s">
        <v>2145</v>
      </c>
      <c r="R126" s="45">
        <v>45894.059027777781</v>
      </c>
      <c r="S126" s="45">
        <v>46085.461805555555</v>
      </c>
      <c r="T126" s="45">
        <v>46087.717361111114</v>
      </c>
      <c r="U126" s="45">
        <v>46085.461805555555</v>
      </c>
      <c r="V126" s="29" t="s">
        <v>2129</v>
      </c>
      <c r="W126" s="29" t="s">
        <v>2129</v>
      </c>
      <c r="X126" s="29" t="s">
        <v>2129</v>
      </c>
      <c r="Y126" s="29">
        <v>0</v>
      </c>
      <c r="Z126" s="29" t="s">
        <v>3677</v>
      </c>
      <c r="AA126" s="29" t="s">
        <v>2129</v>
      </c>
      <c r="AB126" s="29" t="s">
        <v>3692</v>
      </c>
      <c r="AC126" s="29" t="s">
        <v>2129</v>
      </c>
      <c r="AD126" s="29" t="s">
        <v>2145</v>
      </c>
      <c r="AE126" s="29" t="s">
        <v>2152</v>
      </c>
      <c r="AF126" s="29" t="s">
        <v>2380</v>
      </c>
      <c r="AG126" s="29" t="s">
        <v>2129</v>
      </c>
      <c r="AH126" s="29" t="s">
        <v>2129</v>
      </c>
      <c r="AI126" s="29" t="s">
        <v>3693</v>
      </c>
      <c r="AJ126" s="29" t="s">
        <v>3694</v>
      </c>
      <c r="AK126" s="29" t="s">
        <v>2129</v>
      </c>
      <c r="AL126" s="29" t="s">
        <v>2129</v>
      </c>
      <c r="AM126" s="29" t="s">
        <v>2129</v>
      </c>
      <c r="AN126" s="29" t="s">
        <v>2129</v>
      </c>
      <c r="AO126" s="29" t="s">
        <v>2129</v>
      </c>
      <c r="AP126" s="29" t="s">
        <v>2129</v>
      </c>
      <c r="AQ126" s="29" t="s">
        <v>2129</v>
      </c>
      <c r="AR126" s="29" t="s">
        <v>2129</v>
      </c>
      <c r="AS126" s="29" t="s">
        <v>2129</v>
      </c>
      <c r="AT126" s="29" t="s">
        <v>2129</v>
      </c>
      <c r="AU126" s="29" t="s">
        <v>2129</v>
      </c>
      <c r="AV126" s="29" t="s">
        <v>2129</v>
      </c>
      <c r="AW126" s="29" t="s">
        <v>2129</v>
      </c>
      <c r="AX126" s="29">
        <v>0</v>
      </c>
      <c r="AY126" s="29">
        <v>21600</v>
      </c>
      <c r="AZ126" s="29" t="s">
        <v>2129</v>
      </c>
      <c r="BA126" s="29" t="s">
        <v>2129</v>
      </c>
      <c r="BB126" s="29">
        <v>0</v>
      </c>
      <c r="BC126" s="29">
        <v>21600</v>
      </c>
      <c r="BD126" s="29" t="s">
        <v>2129</v>
      </c>
      <c r="BE126" s="29" t="s">
        <v>2129</v>
      </c>
      <c r="BF126" s="29" t="s">
        <v>2129</v>
      </c>
      <c r="BG126" s="29" t="s">
        <v>2129</v>
      </c>
      <c r="BH126" s="29" t="s">
        <v>2129</v>
      </c>
      <c r="BI126" s="29" t="s">
        <v>2129</v>
      </c>
      <c r="BJ126" s="29" t="s">
        <v>2129</v>
      </c>
      <c r="BK126" s="29" t="s">
        <v>3695</v>
      </c>
      <c r="BL126" s="29" t="s">
        <v>2129</v>
      </c>
      <c r="BM126" s="29" t="s">
        <v>2129</v>
      </c>
      <c r="BN126" s="29" t="s">
        <v>2129</v>
      </c>
      <c r="BO126" s="29" t="s">
        <v>2129</v>
      </c>
      <c r="BP126" s="29" t="s">
        <v>2129</v>
      </c>
      <c r="BQ126" s="29" t="s">
        <v>2129</v>
      </c>
      <c r="BR126" s="29" t="s">
        <v>2129</v>
      </c>
      <c r="BS126" s="29" t="s">
        <v>2129</v>
      </c>
      <c r="BT126" s="29" t="s">
        <v>2129</v>
      </c>
      <c r="BU126" s="29" t="s">
        <v>2129</v>
      </c>
      <c r="BV126" s="29" t="s">
        <v>2129</v>
      </c>
      <c r="BW126" s="29" t="s">
        <v>2129</v>
      </c>
      <c r="BX126" s="29" t="s">
        <v>3680</v>
      </c>
      <c r="BY126" s="29" t="s">
        <v>2129</v>
      </c>
      <c r="BZ126" s="29" t="s">
        <v>2129</v>
      </c>
      <c r="CA126" s="29" t="s">
        <v>2129</v>
      </c>
      <c r="CB126" s="29" t="s">
        <v>2129</v>
      </c>
      <c r="CC126" s="29" t="s">
        <v>2129</v>
      </c>
      <c r="CD126" s="29" t="s">
        <v>2129</v>
      </c>
      <c r="CE126" s="29" t="s">
        <v>3696</v>
      </c>
      <c r="CF126" s="29" t="s">
        <v>3613</v>
      </c>
      <c r="CG126" s="29" t="s">
        <v>2129</v>
      </c>
      <c r="CH126" s="29" t="s">
        <v>2129</v>
      </c>
      <c r="CI126" s="29" t="s">
        <v>2129</v>
      </c>
      <c r="CJ126" s="29" t="s">
        <v>2129</v>
      </c>
      <c r="CK126" s="29" t="s">
        <v>2129</v>
      </c>
      <c r="CL126" s="29" t="s">
        <v>2129</v>
      </c>
      <c r="CM126" s="29" t="s">
        <v>2129</v>
      </c>
      <c r="CN126" s="29" t="s">
        <v>2129</v>
      </c>
      <c r="CO126" s="29" t="s">
        <v>2129</v>
      </c>
      <c r="CP126" s="29" t="s">
        <v>2129</v>
      </c>
      <c r="CQ126" s="29" t="s">
        <v>2129</v>
      </c>
      <c r="CR126" s="29" t="s">
        <v>2129</v>
      </c>
      <c r="CS126" s="29"/>
      <c r="CT126" s="29" t="s">
        <v>2129</v>
      </c>
      <c r="CU126" s="29" t="s">
        <v>2129</v>
      </c>
      <c r="CV126" s="29" t="s">
        <v>3697</v>
      </c>
      <c r="CW126" s="29" t="s">
        <v>3614</v>
      </c>
      <c r="CX126" s="29" t="s">
        <v>2129</v>
      </c>
      <c r="CY126" s="29" t="s">
        <v>2129</v>
      </c>
      <c r="CZ126" s="29" t="s">
        <v>2129</v>
      </c>
      <c r="DA126" s="29" t="s">
        <v>2129</v>
      </c>
      <c r="DB126" s="29" t="s">
        <v>2129</v>
      </c>
      <c r="DC126" s="29" t="s">
        <v>2129</v>
      </c>
      <c r="DD126" s="29" t="s">
        <v>2129</v>
      </c>
      <c r="DE126" s="29" t="s">
        <v>2129</v>
      </c>
      <c r="DF126" s="29" t="s">
        <v>2129</v>
      </c>
      <c r="DG126" s="29" t="s">
        <v>2129</v>
      </c>
      <c r="DH126" s="29" t="s">
        <v>2129</v>
      </c>
      <c r="DI126" s="29" t="s">
        <v>2129</v>
      </c>
      <c r="DJ126" s="29" t="s">
        <v>2129</v>
      </c>
      <c r="DK126" s="29" t="s">
        <v>2129</v>
      </c>
      <c r="DL126" s="29" t="s">
        <v>2129</v>
      </c>
      <c r="DM126" s="29" t="s">
        <v>2129</v>
      </c>
      <c r="DN126" s="29" t="s">
        <v>2129</v>
      </c>
      <c r="DO126" s="29" t="s">
        <v>2129</v>
      </c>
      <c r="DP126" s="29" t="s">
        <v>2129</v>
      </c>
      <c r="DQ126" s="42" t="s">
        <v>2129</v>
      </c>
    </row>
    <row r="127" spans="1:121" x14ac:dyDescent="0.25">
      <c r="A127" s="36" t="s">
        <v>1695</v>
      </c>
      <c r="B127" s="30" t="s">
        <v>1694</v>
      </c>
      <c r="C127" s="30">
        <v>22083</v>
      </c>
      <c r="D127" s="30"/>
      <c r="E127" s="30" t="s">
        <v>14</v>
      </c>
      <c r="F127" s="30" t="s">
        <v>16</v>
      </c>
      <c r="G127" s="30" t="s">
        <v>3498</v>
      </c>
      <c r="H127" s="30" t="s">
        <v>991</v>
      </c>
      <c r="I127" s="30" t="s">
        <v>2127</v>
      </c>
      <c r="J127" s="30" t="s">
        <v>2152</v>
      </c>
      <c r="K127" s="30" t="s">
        <v>2129</v>
      </c>
      <c r="L127" s="30" t="s">
        <v>2129</v>
      </c>
      <c r="M127" s="30" t="s">
        <v>2130</v>
      </c>
      <c r="N127" s="30" t="s">
        <v>2153</v>
      </c>
      <c r="O127" s="30" t="s">
        <v>2152</v>
      </c>
      <c r="P127" s="30" t="s">
        <v>2145</v>
      </c>
      <c r="Q127" s="30" t="s">
        <v>2145</v>
      </c>
      <c r="R127" s="46">
        <v>45894.058333333334</v>
      </c>
      <c r="S127" s="46">
        <v>46085.461805555555</v>
      </c>
      <c r="T127" s="46">
        <v>46087.717361111114</v>
      </c>
      <c r="U127" s="46">
        <v>46085.461805555555</v>
      </c>
      <c r="V127" s="30" t="s">
        <v>2129</v>
      </c>
      <c r="W127" s="30" t="s">
        <v>2129</v>
      </c>
      <c r="X127" s="30" t="s">
        <v>2129</v>
      </c>
      <c r="Y127" s="30">
        <v>0</v>
      </c>
      <c r="Z127" s="30" t="s">
        <v>3677</v>
      </c>
      <c r="AA127" s="30" t="s">
        <v>2129</v>
      </c>
      <c r="AB127" s="30" t="s">
        <v>3698</v>
      </c>
      <c r="AC127" s="30" t="s">
        <v>2129</v>
      </c>
      <c r="AD127" s="30" t="s">
        <v>2145</v>
      </c>
      <c r="AE127" s="30" t="s">
        <v>2152</v>
      </c>
      <c r="AF127" s="30" t="s">
        <v>2380</v>
      </c>
      <c r="AG127" s="30" t="s">
        <v>2129</v>
      </c>
      <c r="AH127" s="30" t="s">
        <v>2129</v>
      </c>
      <c r="AI127" s="30" t="s">
        <v>3693</v>
      </c>
      <c r="AJ127" s="30" t="s">
        <v>3694</v>
      </c>
      <c r="AK127" s="30" t="s">
        <v>2129</v>
      </c>
      <c r="AL127" s="30" t="s">
        <v>2129</v>
      </c>
      <c r="AM127" s="30" t="s">
        <v>2129</v>
      </c>
      <c r="AN127" s="30" t="s">
        <v>2129</v>
      </c>
      <c r="AO127" s="30" t="s">
        <v>2129</v>
      </c>
      <c r="AP127" s="30" t="s">
        <v>2129</v>
      </c>
      <c r="AQ127" s="30" t="s">
        <v>2129</v>
      </c>
      <c r="AR127" s="30" t="s">
        <v>2129</v>
      </c>
      <c r="AS127" s="30" t="s">
        <v>2129</v>
      </c>
      <c r="AT127" s="30" t="s">
        <v>2129</v>
      </c>
      <c r="AU127" s="30" t="s">
        <v>2129</v>
      </c>
      <c r="AV127" s="30" t="s">
        <v>2129</v>
      </c>
      <c r="AW127" s="30" t="s">
        <v>2129</v>
      </c>
      <c r="AX127" s="30">
        <v>0</v>
      </c>
      <c r="AY127" s="30">
        <v>21600</v>
      </c>
      <c r="AZ127" s="30" t="s">
        <v>2129</v>
      </c>
      <c r="BA127" s="30" t="s">
        <v>2129</v>
      </c>
      <c r="BB127" s="30">
        <v>0</v>
      </c>
      <c r="BC127" s="30">
        <v>21600</v>
      </c>
      <c r="BD127" s="30" t="s">
        <v>2129</v>
      </c>
      <c r="BE127" s="30" t="s">
        <v>2129</v>
      </c>
      <c r="BF127" s="30" t="s">
        <v>2129</v>
      </c>
      <c r="BG127" s="30" t="s">
        <v>2129</v>
      </c>
      <c r="BH127" s="30" t="s">
        <v>2129</v>
      </c>
      <c r="BI127" s="30" t="s">
        <v>2129</v>
      </c>
      <c r="BJ127" s="30" t="s">
        <v>2129</v>
      </c>
      <c r="BK127" s="30" t="s">
        <v>3699</v>
      </c>
      <c r="BL127" s="30" t="s">
        <v>2129</v>
      </c>
      <c r="BM127" s="30" t="s">
        <v>2129</v>
      </c>
      <c r="BN127" s="30" t="s">
        <v>2129</v>
      </c>
      <c r="BO127" s="30" t="s">
        <v>2129</v>
      </c>
      <c r="BP127" s="30" t="s">
        <v>2129</v>
      </c>
      <c r="BQ127" s="30" t="s">
        <v>2129</v>
      </c>
      <c r="BR127" s="30" t="s">
        <v>2129</v>
      </c>
      <c r="BS127" s="30" t="s">
        <v>2129</v>
      </c>
      <c r="BT127" s="30" t="s">
        <v>2129</v>
      </c>
      <c r="BU127" s="30" t="s">
        <v>2129</v>
      </c>
      <c r="BV127" s="30" t="s">
        <v>2129</v>
      </c>
      <c r="BW127" s="30" t="s">
        <v>2129</v>
      </c>
      <c r="BX127" s="30" t="s">
        <v>3680</v>
      </c>
      <c r="BY127" s="30" t="s">
        <v>2129</v>
      </c>
      <c r="BZ127" s="30" t="s">
        <v>2129</v>
      </c>
      <c r="CA127" s="30" t="s">
        <v>2129</v>
      </c>
      <c r="CB127" s="30" t="s">
        <v>2129</v>
      </c>
      <c r="CC127" s="30" t="s">
        <v>2129</v>
      </c>
      <c r="CD127" s="30" t="s">
        <v>2129</v>
      </c>
      <c r="CE127" s="30" t="s">
        <v>3700</v>
      </c>
      <c r="CF127" s="30" t="s">
        <v>3613</v>
      </c>
      <c r="CG127" s="30" t="s">
        <v>2129</v>
      </c>
      <c r="CH127" s="30" t="s">
        <v>2129</v>
      </c>
      <c r="CI127" s="30" t="s">
        <v>2129</v>
      </c>
      <c r="CJ127" s="30" t="s">
        <v>2129</v>
      </c>
      <c r="CK127" s="30" t="s">
        <v>2129</v>
      </c>
      <c r="CL127" s="30" t="s">
        <v>2129</v>
      </c>
      <c r="CM127" s="30" t="s">
        <v>2129</v>
      </c>
      <c r="CN127" s="30" t="s">
        <v>2129</v>
      </c>
      <c r="CO127" s="30" t="s">
        <v>2129</v>
      </c>
      <c r="CP127" s="30" t="s">
        <v>2129</v>
      </c>
      <c r="CQ127" s="30" t="s">
        <v>2129</v>
      </c>
      <c r="CR127" s="30" t="s">
        <v>2129</v>
      </c>
      <c r="CS127" s="30"/>
      <c r="CT127" s="30" t="s">
        <v>2129</v>
      </c>
      <c r="CU127" s="30" t="s">
        <v>2129</v>
      </c>
      <c r="CV127" s="30" t="s">
        <v>3697</v>
      </c>
      <c r="CW127" s="30" t="s">
        <v>3614</v>
      </c>
      <c r="CX127" s="30" t="s">
        <v>2129</v>
      </c>
      <c r="CY127" s="30" t="s">
        <v>2129</v>
      </c>
      <c r="CZ127" s="30" t="s">
        <v>2129</v>
      </c>
      <c r="DA127" s="30" t="s">
        <v>2129</v>
      </c>
      <c r="DB127" s="30" t="s">
        <v>2129</v>
      </c>
      <c r="DC127" s="30" t="s">
        <v>2129</v>
      </c>
      <c r="DD127" s="30" t="s">
        <v>2129</v>
      </c>
      <c r="DE127" s="30" t="s">
        <v>2129</v>
      </c>
      <c r="DF127" s="30" t="s">
        <v>2129</v>
      </c>
      <c r="DG127" s="30" t="s">
        <v>2129</v>
      </c>
      <c r="DH127" s="30" t="s">
        <v>2129</v>
      </c>
      <c r="DI127" s="30" t="s">
        <v>2129</v>
      </c>
      <c r="DJ127" s="30" t="s">
        <v>2129</v>
      </c>
      <c r="DK127" s="30" t="s">
        <v>2129</v>
      </c>
      <c r="DL127" s="30" t="s">
        <v>2129</v>
      </c>
      <c r="DM127" s="30" t="s">
        <v>2129</v>
      </c>
      <c r="DN127" s="30" t="s">
        <v>2129</v>
      </c>
      <c r="DO127" s="30" t="s">
        <v>2129</v>
      </c>
      <c r="DP127" s="30" t="s">
        <v>2129</v>
      </c>
      <c r="DQ127" s="43" t="s">
        <v>2129</v>
      </c>
    </row>
    <row r="128" spans="1:121" x14ac:dyDescent="0.25">
      <c r="A128" s="39" t="s">
        <v>3701</v>
      </c>
      <c r="B128" s="29" t="s">
        <v>3702</v>
      </c>
      <c r="C128" s="29">
        <v>22057</v>
      </c>
      <c r="D128" s="29"/>
      <c r="E128" s="29" t="s">
        <v>14</v>
      </c>
      <c r="F128" s="29" t="s">
        <v>16</v>
      </c>
      <c r="G128" s="29" t="s">
        <v>3498</v>
      </c>
      <c r="H128" s="29" t="s">
        <v>991</v>
      </c>
      <c r="I128" s="29" t="s">
        <v>2127</v>
      </c>
      <c r="J128" s="29" t="s">
        <v>2152</v>
      </c>
      <c r="K128" s="29" t="s">
        <v>2129</v>
      </c>
      <c r="L128" s="29" t="s">
        <v>2129</v>
      </c>
      <c r="M128" s="29" t="s">
        <v>2130</v>
      </c>
      <c r="N128" s="29" t="s">
        <v>2153</v>
      </c>
      <c r="O128" s="29" t="s">
        <v>2152</v>
      </c>
      <c r="P128" s="29" t="s">
        <v>2145</v>
      </c>
      <c r="Q128" s="29" t="s">
        <v>2145</v>
      </c>
      <c r="R128" s="45">
        <v>45894.01458333333</v>
      </c>
      <c r="S128" s="45">
        <v>46085.461805555555</v>
      </c>
      <c r="T128" s="45">
        <v>46087.717361111114</v>
      </c>
      <c r="U128" s="45">
        <v>46085.461805555555</v>
      </c>
      <c r="V128" s="29" t="s">
        <v>2129</v>
      </c>
      <c r="W128" s="29" t="s">
        <v>2129</v>
      </c>
      <c r="X128" s="29" t="s">
        <v>2129</v>
      </c>
      <c r="Y128" s="29">
        <v>0</v>
      </c>
      <c r="Z128" s="29" t="s">
        <v>3703</v>
      </c>
      <c r="AA128" s="29" t="s">
        <v>3704</v>
      </c>
      <c r="AB128" s="29" t="s">
        <v>3705</v>
      </c>
      <c r="AC128" s="29" t="s">
        <v>2129</v>
      </c>
      <c r="AD128" s="29" t="s">
        <v>2145</v>
      </c>
      <c r="AE128" s="29" t="s">
        <v>2152</v>
      </c>
      <c r="AF128" s="29" t="s">
        <v>2129</v>
      </c>
      <c r="AG128" s="29" t="s">
        <v>2129</v>
      </c>
      <c r="AH128" s="29" t="s">
        <v>2129</v>
      </c>
      <c r="AI128" s="29" t="s">
        <v>3706</v>
      </c>
      <c r="AJ128" s="29" t="s">
        <v>3707</v>
      </c>
      <c r="AK128" s="29" t="s">
        <v>2129</v>
      </c>
      <c r="AL128" s="29" t="s">
        <v>2129</v>
      </c>
      <c r="AM128" s="29" t="s">
        <v>2129</v>
      </c>
      <c r="AN128" s="29" t="s">
        <v>2129</v>
      </c>
      <c r="AO128" s="29" t="s">
        <v>2129</v>
      </c>
      <c r="AP128" s="29" t="s">
        <v>2129</v>
      </c>
      <c r="AQ128" s="29" t="s">
        <v>2129</v>
      </c>
      <c r="AR128" s="29" t="s">
        <v>2129</v>
      </c>
      <c r="AS128" s="29" t="s">
        <v>2129</v>
      </c>
      <c r="AT128" s="29" t="s">
        <v>2129</v>
      </c>
      <c r="AU128" s="29" t="s">
        <v>2129</v>
      </c>
      <c r="AV128" s="29" t="s">
        <v>2129</v>
      </c>
      <c r="AW128" s="29" t="s">
        <v>2129</v>
      </c>
      <c r="AX128" s="29">
        <v>0</v>
      </c>
      <c r="AY128" s="29">
        <v>32400</v>
      </c>
      <c r="AZ128" s="29" t="s">
        <v>2129</v>
      </c>
      <c r="BA128" s="29" t="s">
        <v>2129</v>
      </c>
      <c r="BB128" s="29">
        <v>0</v>
      </c>
      <c r="BC128" s="29">
        <v>32400</v>
      </c>
      <c r="BD128" s="29" t="s">
        <v>2129</v>
      </c>
      <c r="BE128" s="29" t="s">
        <v>2129</v>
      </c>
      <c r="BF128" s="29" t="s">
        <v>2129</v>
      </c>
      <c r="BG128" s="29" t="s">
        <v>2129</v>
      </c>
      <c r="BH128" s="29" t="s">
        <v>2129</v>
      </c>
      <c r="BI128" s="29" t="s">
        <v>2129</v>
      </c>
      <c r="BJ128" s="29" t="s">
        <v>2129</v>
      </c>
      <c r="BK128" s="29" t="s">
        <v>3708</v>
      </c>
      <c r="BL128" s="29" t="s">
        <v>2129</v>
      </c>
      <c r="BM128" s="29" t="s">
        <v>2129</v>
      </c>
      <c r="BN128" s="29" t="s">
        <v>2129</v>
      </c>
      <c r="BO128" s="29" t="s">
        <v>2129</v>
      </c>
      <c r="BP128" s="29" t="s">
        <v>2129</v>
      </c>
      <c r="BQ128" s="29" t="s">
        <v>2129</v>
      </c>
      <c r="BR128" s="29" t="s">
        <v>2129</v>
      </c>
      <c r="BS128" s="29" t="s">
        <v>2129</v>
      </c>
      <c r="BT128" s="29" t="s">
        <v>2129</v>
      </c>
      <c r="BU128" s="29" t="s">
        <v>2129</v>
      </c>
      <c r="BV128" s="29" t="s">
        <v>2129</v>
      </c>
      <c r="BW128" s="29" t="s">
        <v>2129</v>
      </c>
      <c r="BX128" s="29" t="s">
        <v>3680</v>
      </c>
      <c r="BY128" s="29" t="s">
        <v>2129</v>
      </c>
      <c r="BZ128" s="29" t="s">
        <v>2129</v>
      </c>
      <c r="CA128" s="29" t="s">
        <v>2129</v>
      </c>
      <c r="CB128" s="29" t="s">
        <v>2129</v>
      </c>
      <c r="CC128" s="29" t="s">
        <v>2129</v>
      </c>
      <c r="CD128" s="29" t="s">
        <v>2129</v>
      </c>
      <c r="CE128" s="29" t="s">
        <v>3709</v>
      </c>
      <c r="CF128" s="29" t="s">
        <v>3613</v>
      </c>
      <c r="CG128" s="29" t="s">
        <v>2129</v>
      </c>
      <c r="CH128" s="29" t="s">
        <v>2129</v>
      </c>
      <c r="CI128" s="29" t="s">
        <v>2129</v>
      </c>
      <c r="CJ128" s="29" t="s">
        <v>2129</v>
      </c>
      <c r="CK128" s="29" t="s">
        <v>2129</v>
      </c>
      <c r="CL128" s="29" t="s">
        <v>2129</v>
      </c>
      <c r="CM128" s="29" t="s">
        <v>2129</v>
      </c>
      <c r="CN128" s="29" t="s">
        <v>2129</v>
      </c>
      <c r="CO128" s="29" t="s">
        <v>2129</v>
      </c>
      <c r="CP128" s="29" t="s">
        <v>2129</v>
      </c>
      <c r="CQ128" s="29" t="s">
        <v>2129</v>
      </c>
      <c r="CR128" s="29" t="s">
        <v>2129</v>
      </c>
      <c r="CS128" s="29"/>
      <c r="CT128" s="29" t="s">
        <v>2129</v>
      </c>
      <c r="CU128" s="29" t="s">
        <v>2129</v>
      </c>
      <c r="CV128" s="29" t="s">
        <v>3614</v>
      </c>
      <c r="CW128" s="29" t="s">
        <v>2129</v>
      </c>
      <c r="CX128" s="29" t="s">
        <v>2129</v>
      </c>
      <c r="CY128" s="29" t="s">
        <v>2129</v>
      </c>
      <c r="CZ128" s="29" t="s">
        <v>2129</v>
      </c>
      <c r="DA128" s="29" t="s">
        <v>2129</v>
      </c>
      <c r="DB128" s="29" t="s">
        <v>2129</v>
      </c>
      <c r="DC128" s="29" t="s">
        <v>2129</v>
      </c>
      <c r="DD128" s="29" t="s">
        <v>2129</v>
      </c>
      <c r="DE128" s="29" t="s">
        <v>2129</v>
      </c>
      <c r="DF128" s="29" t="s">
        <v>2129</v>
      </c>
      <c r="DG128" s="29" t="s">
        <v>2129</v>
      </c>
      <c r="DH128" s="29" t="s">
        <v>2129</v>
      </c>
      <c r="DI128" s="29" t="s">
        <v>2129</v>
      </c>
      <c r="DJ128" s="29" t="s">
        <v>2129</v>
      </c>
      <c r="DK128" s="29" t="s">
        <v>2129</v>
      </c>
      <c r="DL128" s="29" t="s">
        <v>2129</v>
      </c>
      <c r="DM128" s="29" t="s">
        <v>2129</v>
      </c>
      <c r="DN128" s="29" t="s">
        <v>2129</v>
      </c>
      <c r="DO128" s="29" t="s">
        <v>2129</v>
      </c>
      <c r="DP128" s="29" t="s">
        <v>2129</v>
      </c>
      <c r="DQ128" s="42" t="s">
        <v>2129</v>
      </c>
    </row>
    <row r="129" spans="1:121" x14ac:dyDescent="0.25">
      <c r="A129" s="36" t="s">
        <v>1138</v>
      </c>
      <c r="B129" s="30" t="s">
        <v>1137</v>
      </c>
      <c r="C129" s="30">
        <v>21866</v>
      </c>
      <c r="D129" s="30"/>
      <c r="E129" s="30" t="s">
        <v>14</v>
      </c>
      <c r="F129" s="30" t="s">
        <v>10</v>
      </c>
      <c r="G129" s="30" t="s">
        <v>3498</v>
      </c>
      <c r="H129" s="30" t="s">
        <v>991</v>
      </c>
      <c r="I129" s="30" t="s">
        <v>2127</v>
      </c>
      <c r="J129" s="30" t="s">
        <v>2152</v>
      </c>
      <c r="K129" s="30" t="s">
        <v>2129</v>
      </c>
      <c r="L129" s="30" t="s">
        <v>2129</v>
      </c>
      <c r="M129" s="30" t="s">
        <v>2130</v>
      </c>
      <c r="N129" s="30" t="s">
        <v>2129</v>
      </c>
      <c r="O129" s="30" t="s">
        <v>2141</v>
      </c>
      <c r="P129" s="30" t="s">
        <v>2145</v>
      </c>
      <c r="Q129" s="30" t="s">
        <v>2145</v>
      </c>
      <c r="R129" s="46">
        <v>45854.588888888888</v>
      </c>
      <c r="S129" s="46">
        <v>46086.4375</v>
      </c>
      <c r="T129" s="46">
        <v>46087.717361111114</v>
      </c>
      <c r="U129" s="46"/>
      <c r="V129" s="30" t="s">
        <v>2129</v>
      </c>
      <c r="W129" s="30" t="s">
        <v>3710</v>
      </c>
      <c r="X129" s="30" t="s">
        <v>2129</v>
      </c>
      <c r="Y129" s="30">
        <v>0</v>
      </c>
      <c r="Z129" s="30" t="s">
        <v>2129</v>
      </c>
      <c r="AA129" s="30" t="s">
        <v>2129</v>
      </c>
      <c r="AB129" s="30" t="s">
        <v>3711</v>
      </c>
      <c r="AC129" s="30" t="s">
        <v>2129</v>
      </c>
      <c r="AD129" s="30" t="s">
        <v>2141</v>
      </c>
      <c r="AE129" s="30" t="s">
        <v>2145</v>
      </c>
      <c r="AF129" s="30" t="s">
        <v>2129</v>
      </c>
      <c r="AG129" s="30" t="s">
        <v>2129</v>
      </c>
      <c r="AH129" s="30" t="s">
        <v>2129</v>
      </c>
      <c r="AI129" s="30" t="s">
        <v>2129</v>
      </c>
      <c r="AJ129" s="30" t="s">
        <v>2129</v>
      </c>
      <c r="AK129" s="30" t="s">
        <v>2129</v>
      </c>
      <c r="AL129" s="30" t="s">
        <v>2129</v>
      </c>
      <c r="AM129" s="30" t="s">
        <v>2129</v>
      </c>
      <c r="AN129" s="30" t="s">
        <v>2129</v>
      </c>
      <c r="AO129" s="30" t="s">
        <v>2129</v>
      </c>
      <c r="AP129" s="30" t="s">
        <v>2129</v>
      </c>
      <c r="AQ129" s="30" t="s">
        <v>2129</v>
      </c>
      <c r="AR129" s="30" t="s">
        <v>2129</v>
      </c>
      <c r="AS129" s="30" t="s">
        <v>2129</v>
      </c>
      <c r="AT129" s="30" t="s">
        <v>2129</v>
      </c>
      <c r="AU129" s="30" t="s">
        <v>2129</v>
      </c>
      <c r="AV129" s="30" t="s">
        <v>2129</v>
      </c>
      <c r="AW129" s="30" t="s">
        <v>2129</v>
      </c>
      <c r="AX129" s="30"/>
      <c r="AY129" s="30"/>
      <c r="AZ129" s="30" t="s">
        <v>2129</v>
      </c>
      <c r="BA129" s="30" t="s">
        <v>2129</v>
      </c>
      <c r="BB129" s="30"/>
      <c r="BC129" s="30"/>
      <c r="BD129" s="30" t="s">
        <v>2129</v>
      </c>
      <c r="BE129" s="30" t="s">
        <v>2129</v>
      </c>
      <c r="BF129" s="30" t="s">
        <v>2129</v>
      </c>
      <c r="BG129" s="30" t="s">
        <v>2129</v>
      </c>
      <c r="BH129" s="30" t="s">
        <v>2129</v>
      </c>
      <c r="BI129" s="30" t="s">
        <v>2129</v>
      </c>
      <c r="BJ129" s="30" t="s">
        <v>2129</v>
      </c>
      <c r="BK129" s="30" t="s">
        <v>3712</v>
      </c>
      <c r="BL129" s="30" t="s">
        <v>2129</v>
      </c>
      <c r="BM129" s="30" t="s">
        <v>2129</v>
      </c>
      <c r="BN129" s="30" t="s">
        <v>2129</v>
      </c>
      <c r="BO129" s="30" t="s">
        <v>2129</v>
      </c>
      <c r="BP129" s="30" t="s">
        <v>2129</v>
      </c>
      <c r="BQ129" s="30" t="s">
        <v>2129</v>
      </c>
      <c r="BR129" s="30" t="s">
        <v>2129</v>
      </c>
      <c r="BS129" s="30" t="s">
        <v>2129</v>
      </c>
      <c r="BT129" s="30" t="s">
        <v>2129</v>
      </c>
      <c r="BU129" s="30" t="s">
        <v>2129</v>
      </c>
      <c r="BV129" s="30" t="s">
        <v>2129</v>
      </c>
      <c r="BW129" s="30" t="s">
        <v>2129</v>
      </c>
      <c r="BX129" s="30" t="s">
        <v>3713</v>
      </c>
      <c r="BY129" s="30" t="s">
        <v>2129</v>
      </c>
      <c r="BZ129" s="30" t="s">
        <v>2129</v>
      </c>
      <c r="CA129" s="30" t="s">
        <v>2129</v>
      </c>
      <c r="CB129" s="30" t="s">
        <v>2129</v>
      </c>
      <c r="CC129" s="30" t="s">
        <v>2129</v>
      </c>
      <c r="CD129" s="30" t="s">
        <v>2129</v>
      </c>
      <c r="CE129" s="30" t="s">
        <v>3714</v>
      </c>
      <c r="CF129" s="30" t="s">
        <v>2129</v>
      </c>
      <c r="CG129" s="30" t="s">
        <v>2129</v>
      </c>
      <c r="CH129" s="30" t="s">
        <v>2129</v>
      </c>
      <c r="CI129" s="30" t="s">
        <v>2129</v>
      </c>
      <c r="CJ129" s="30" t="s">
        <v>2129</v>
      </c>
      <c r="CK129" s="30" t="s">
        <v>2129</v>
      </c>
      <c r="CL129" s="30" t="s">
        <v>2129</v>
      </c>
      <c r="CM129" s="30" t="s">
        <v>2129</v>
      </c>
      <c r="CN129" s="30" t="s">
        <v>2129</v>
      </c>
      <c r="CO129" s="30" t="s">
        <v>2129</v>
      </c>
      <c r="CP129" s="30" t="s">
        <v>2129</v>
      </c>
      <c r="CQ129" s="30" t="s">
        <v>2129</v>
      </c>
      <c r="CR129" s="30" t="s">
        <v>2129</v>
      </c>
      <c r="CS129" s="30"/>
      <c r="CT129" s="30" t="s">
        <v>2129</v>
      </c>
      <c r="CU129" s="30" t="s">
        <v>2129</v>
      </c>
      <c r="CV129" s="30" t="s">
        <v>3715</v>
      </c>
      <c r="CW129" s="30" t="s">
        <v>3716</v>
      </c>
      <c r="CX129" s="30" t="s">
        <v>2129</v>
      </c>
      <c r="CY129" s="30" t="s">
        <v>2129</v>
      </c>
      <c r="CZ129" s="30" t="s">
        <v>2129</v>
      </c>
      <c r="DA129" s="30" t="s">
        <v>2129</v>
      </c>
      <c r="DB129" s="30" t="s">
        <v>2129</v>
      </c>
      <c r="DC129" s="30" t="s">
        <v>2129</v>
      </c>
      <c r="DD129" s="30" t="s">
        <v>2129</v>
      </c>
      <c r="DE129" s="30" t="s">
        <v>2129</v>
      </c>
      <c r="DF129" s="30" t="s">
        <v>2129</v>
      </c>
      <c r="DG129" s="30" t="s">
        <v>2129</v>
      </c>
      <c r="DH129" s="30" t="s">
        <v>2129</v>
      </c>
      <c r="DI129" s="30" t="s">
        <v>2129</v>
      </c>
      <c r="DJ129" s="30" t="s">
        <v>2129</v>
      </c>
      <c r="DK129" s="30" t="s">
        <v>2129</v>
      </c>
      <c r="DL129" s="30" t="s">
        <v>2129</v>
      </c>
      <c r="DM129" s="30" t="s">
        <v>2129</v>
      </c>
      <c r="DN129" s="30" t="s">
        <v>2129</v>
      </c>
      <c r="DO129" s="30" t="s">
        <v>2129</v>
      </c>
      <c r="DP129" s="30" t="s">
        <v>2129</v>
      </c>
      <c r="DQ129" s="43" t="s">
        <v>2129</v>
      </c>
    </row>
    <row r="130" spans="1:121" x14ac:dyDescent="0.25">
      <c r="A130" s="39" t="s">
        <v>3717</v>
      </c>
      <c r="B130" s="29" t="s">
        <v>3573</v>
      </c>
      <c r="C130" s="29">
        <v>21756</v>
      </c>
      <c r="D130" s="29"/>
      <c r="E130" s="29" t="s">
        <v>2154</v>
      </c>
      <c r="F130" s="29" t="s">
        <v>10</v>
      </c>
      <c r="G130" s="29" t="s">
        <v>3498</v>
      </c>
      <c r="H130" s="29" t="s">
        <v>991</v>
      </c>
      <c r="I130" s="29" t="s">
        <v>2127</v>
      </c>
      <c r="J130" s="29" t="s">
        <v>2152</v>
      </c>
      <c r="K130" s="29" t="s">
        <v>2129</v>
      </c>
      <c r="L130" s="29" t="s">
        <v>2129</v>
      </c>
      <c r="M130" s="29" t="s">
        <v>2130</v>
      </c>
      <c r="N130" s="29" t="s">
        <v>2129</v>
      </c>
      <c r="O130" s="29" t="s">
        <v>2129</v>
      </c>
      <c r="P130" s="29" t="s">
        <v>2145</v>
      </c>
      <c r="Q130" s="29" t="s">
        <v>2145</v>
      </c>
      <c r="R130" s="45">
        <v>45834.411111111112</v>
      </c>
      <c r="S130" s="45">
        <v>46080.631249999999</v>
      </c>
      <c r="T130" s="45">
        <v>46087.717361111114</v>
      </c>
      <c r="U130" s="45"/>
      <c r="V130" s="29" t="s">
        <v>2129</v>
      </c>
      <c r="W130" s="29" t="s">
        <v>2129</v>
      </c>
      <c r="X130" s="29" t="s">
        <v>2129</v>
      </c>
      <c r="Y130" s="29">
        <v>0</v>
      </c>
      <c r="Z130" s="29" t="s">
        <v>3718</v>
      </c>
      <c r="AA130" s="29" t="s">
        <v>2129</v>
      </c>
      <c r="AB130" s="29" t="s">
        <v>3719</v>
      </c>
      <c r="AC130" s="29" t="s">
        <v>2129</v>
      </c>
      <c r="AD130" s="29" t="s">
        <v>2145</v>
      </c>
      <c r="AE130" s="29" t="s">
        <v>2129</v>
      </c>
      <c r="AF130" s="29" t="s">
        <v>2129</v>
      </c>
      <c r="AG130" s="29" t="s">
        <v>2129</v>
      </c>
      <c r="AH130" s="29" t="s">
        <v>2129</v>
      </c>
      <c r="AI130" s="29" t="s">
        <v>2129</v>
      </c>
      <c r="AJ130" s="29" t="s">
        <v>2129</v>
      </c>
      <c r="AK130" s="29" t="s">
        <v>2129</v>
      </c>
      <c r="AL130" s="29" t="s">
        <v>2129</v>
      </c>
      <c r="AM130" s="29" t="s">
        <v>2129</v>
      </c>
      <c r="AN130" s="29" t="s">
        <v>2129</v>
      </c>
      <c r="AO130" s="29" t="s">
        <v>2129</v>
      </c>
      <c r="AP130" s="29" t="s">
        <v>2129</v>
      </c>
      <c r="AQ130" s="29" t="s">
        <v>2129</v>
      </c>
      <c r="AR130" s="29" t="s">
        <v>2129</v>
      </c>
      <c r="AS130" s="29" t="s">
        <v>2129</v>
      </c>
      <c r="AT130" s="29" t="s">
        <v>2129</v>
      </c>
      <c r="AU130" s="29" t="s">
        <v>2129</v>
      </c>
      <c r="AV130" s="29" t="s">
        <v>2129</v>
      </c>
      <c r="AW130" s="29" t="s">
        <v>2129</v>
      </c>
      <c r="AX130" s="29"/>
      <c r="AY130" s="29"/>
      <c r="AZ130" s="29" t="s">
        <v>2129</v>
      </c>
      <c r="BA130" s="29" t="s">
        <v>2129</v>
      </c>
      <c r="BB130" s="29"/>
      <c r="BC130" s="29"/>
      <c r="BD130" s="29" t="s">
        <v>2129</v>
      </c>
      <c r="BE130" s="29" t="s">
        <v>2129</v>
      </c>
      <c r="BF130" s="29" t="s">
        <v>2129</v>
      </c>
      <c r="BG130" s="29" t="s">
        <v>2129</v>
      </c>
      <c r="BH130" s="29" t="s">
        <v>2129</v>
      </c>
      <c r="BI130" s="29" t="s">
        <v>2129</v>
      </c>
      <c r="BJ130" s="29" t="s">
        <v>2129</v>
      </c>
      <c r="BK130" s="29" t="s">
        <v>3720</v>
      </c>
      <c r="BL130" s="29" t="s">
        <v>3721</v>
      </c>
      <c r="BM130" s="29" t="s">
        <v>3722</v>
      </c>
      <c r="BN130" s="29" t="s">
        <v>2129</v>
      </c>
      <c r="BO130" s="29" t="s">
        <v>2129</v>
      </c>
      <c r="BP130" s="29" t="s">
        <v>2129</v>
      </c>
      <c r="BQ130" s="29" t="s">
        <v>2129</v>
      </c>
      <c r="BR130" s="29" t="s">
        <v>2129</v>
      </c>
      <c r="BS130" s="29" t="s">
        <v>2129</v>
      </c>
      <c r="BT130" s="29" t="s">
        <v>2129</v>
      </c>
      <c r="BU130" s="29" t="s">
        <v>2129</v>
      </c>
      <c r="BV130" s="29" t="s">
        <v>2129</v>
      </c>
      <c r="BW130" s="29" t="s">
        <v>2867</v>
      </c>
      <c r="BX130" s="29" t="s">
        <v>2129</v>
      </c>
      <c r="BY130" s="29" t="s">
        <v>3717</v>
      </c>
      <c r="BZ130" s="29" t="s">
        <v>10</v>
      </c>
      <c r="CA130" s="29" t="s">
        <v>2129</v>
      </c>
      <c r="CB130" s="29" t="s">
        <v>2129</v>
      </c>
      <c r="CC130" s="29" t="s">
        <v>2129</v>
      </c>
      <c r="CD130" s="29" t="s">
        <v>2129</v>
      </c>
      <c r="CE130" s="29" t="s">
        <v>3723</v>
      </c>
      <c r="CF130" s="29" t="s">
        <v>2129</v>
      </c>
      <c r="CG130" s="29" t="s">
        <v>2129</v>
      </c>
      <c r="CH130" s="29" t="s">
        <v>2129</v>
      </c>
      <c r="CI130" s="29" t="s">
        <v>2129</v>
      </c>
      <c r="CJ130" s="29" t="s">
        <v>2129</v>
      </c>
      <c r="CK130" s="29" t="s">
        <v>2129</v>
      </c>
      <c r="CL130" s="29" t="s">
        <v>2129</v>
      </c>
      <c r="CM130" s="29" t="s">
        <v>2129</v>
      </c>
      <c r="CN130" s="29" t="s">
        <v>2129</v>
      </c>
      <c r="CO130" s="29" t="s">
        <v>2129</v>
      </c>
      <c r="CP130" s="29" t="s">
        <v>2129</v>
      </c>
      <c r="CQ130" s="29" t="s">
        <v>2129</v>
      </c>
      <c r="CR130" s="29" t="s">
        <v>2129</v>
      </c>
      <c r="CS130" s="29"/>
      <c r="CT130" s="29" t="s">
        <v>2129</v>
      </c>
      <c r="CU130" s="29" t="s">
        <v>2129</v>
      </c>
      <c r="CV130" s="29" t="s">
        <v>2129</v>
      </c>
      <c r="CW130" s="29" t="s">
        <v>2129</v>
      </c>
      <c r="CX130" s="29" t="s">
        <v>2129</v>
      </c>
      <c r="CY130" s="29" t="s">
        <v>2129</v>
      </c>
      <c r="CZ130" s="29" t="s">
        <v>2129</v>
      </c>
      <c r="DA130" s="29" t="s">
        <v>2129</v>
      </c>
      <c r="DB130" s="29" t="s">
        <v>2129</v>
      </c>
      <c r="DC130" s="29" t="s">
        <v>2129</v>
      </c>
      <c r="DD130" s="29" t="s">
        <v>2129</v>
      </c>
      <c r="DE130" s="29" t="s">
        <v>2129</v>
      </c>
      <c r="DF130" s="29" t="s">
        <v>2129</v>
      </c>
      <c r="DG130" s="29" t="s">
        <v>2129</v>
      </c>
      <c r="DH130" s="29" t="s">
        <v>2129</v>
      </c>
      <c r="DI130" s="29" t="s">
        <v>2129</v>
      </c>
      <c r="DJ130" s="29" t="s">
        <v>2129</v>
      </c>
      <c r="DK130" s="29" t="s">
        <v>2129</v>
      </c>
      <c r="DL130" s="29" t="s">
        <v>2129</v>
      </c>
      <c r="DM130" s="29" t="s">
        <v>2129</v>
      </c>
      <c r="DN130" s="29" t="s">
        <v>2129</v>
      </c>
      <c r="DO130" s="29" t="s">
        <v>2129</v>
      </c>
      <c r="DP130" s="29" t="s">
        <v>2129</v>
      </c>
      <c r="DQ130" s="42" t="s">
        <v>2129</v>
      </c>
    </row>
    <row r="131" spans="1:121" x14ac:dyDescent="0.25">
      <c r="A131" s="36" t="s">
        <v>3724</v>
      </c>
      <c r="B131" s="30" t="s">
        <v>3725</v>
      </c>
      <c r="C131" s="30">
        <v>21749</v>
      </c>
      <c r="D131" s="30"/>
      <c r="E131" s="30" t="s">
        <v>2154</v>
      </c>
      <c r="F131" s="30" t="s">
        <v>16</v>
      </c>
      <c r="G131" s="30" t="s">
        <v>3498</v>
      </c>
      <c r="H131" s="30" t="s">
        <v>991</v>
      </c>
      <c r="I131" s="30" t="s">
        <v>2127</v>
      </c>
      <c r="J131" s="30" t="s">
        <v>2152</v>
      </c>
      <c r="K131" s="30" t="s">
        <v>2129</v>
      </c>
      <c r="L131" s="30" t="s">
        <v>2129</v>
      </c>
      <c r="M131" s="30" t="s">
        <v>2130</v>
      </c>
      <c r="N131" s="30" t="s">
        <v>16</v>
      </c>
      <c r="O131" s="30" t="s">
        <v>2129</v>
      </c>
      <c r="P131" s="30" t="s">
        <v>2145</v>
      </c>
      <c r="Q131" s="30" t="s">
        <v>2145</v>
      </c>
      <c r="R131" s="46">
        <v>45834.408333333333</v>
      </c>
      <c r="S131" s="46">
        <v>46080.709722222222</v>
      </c>
      <c r="T131" s="46">
        <v>46087.717361111114</v>
      </c>
      <c r="U131" s="46">
        <v>46080.709722222222</v>
      </c>
      <c r="V131" s="30" t="s">
        <v>2129</v>
      </c>
      <c r="W131" s="30" t="s">
        <v>2129</v>
      </c>
      <c r="X131" s="30" t="s">
        <v>2129</v>
      </c>
      <c r="Y131" s="30">
        <v>0</v>
      </c>
      <c r="Z131" s="30" t="s">
        <v>3718</v>
      </c>
      <c r="AA131" s="30" t="s">
        <v>2129</v>
      </c>
      <c r="AB131" s="30" t="s">
        <v>3726</v>
      </c>
      <c r="AC131" s="30" t="s">
        <v>2129</v>
      </c>
      <c r="AD131" s="30" t="s">
        <v>2145</v>
      </c>
      <c r="AE131" s="30" t="s">
        <v>2129</v>
      </c>
      <c r="AF131" s="30" t="s">
        <v>2129</v>
      </c>
      <c r="AG131" s="30" t="s">
        <v>2129</v>
      </c>
      <c r="AH131" s="30" t="s">
        <v>2129</v>
      </c>
      <c r="AI131" s="30" t="s">
        <v>2129</v>
      </c>
      <c r="AJ131" s="30" t="s">
        <v>2129</v>
      </c>
      <c r="AK131" s="30" t="s">
        <v>2129</v>
      </c>
      <c r="AL131" s="30" t="s">
        <v>2129</v>
      </c>
      <c r="AM131" s="30" t="s">
        <v>2129</v>
      </c>
      <c r="AN131" s="30" t="s">
        <v>2129</v>
      </c>
      <c r="AO131" s="30" t="s">
        <v>2129</v>
      </c>
      <c r="AP131" s="30" t="s">
        <v>2129</v>
      </c>
      <c r="AQ131" s="30" t="s">
        <v>2129</v>
      </c>
      <c r="AR131" s="30" t="s">
        <v>2129</v>
      </c>
      <c r="AS131" s="30" t="s">
        <v>2129</v>
      </c>
      <c r="AT131" s="30" t="s">
        <v>2129</v>
      </c>
      <c r="AU131" s="30" t="s">
        <v>2129</v>
      </c>
      <c r="AV131" s="30" t="s">
        <v>2129</v>
      </c>
      <c r="AW131" s="30" t="s">
        <v>2129</v>
      </c>
      <c r="AX131" s="30"/>
      <c r="AY131" s="30"/>
      <c r="AZ131" s="30" t="s">
        <v>2129</v>
      </c>
      <c r="BA131" s="30" t="s">
        <v>2129</v>
      </c>
      <c r="BB131" s="30"/>
      <c r="BC131" s="30"/>
      <c r="BD131" s="30" t="s">
        <v>2129</v>
      </c>
      <c r="BE131" s="30" t="s">
        <v>2129</v>
      </c>
      <c r="BF131" s="30" t="s">
        <v>2129</v>
      </c>
      <c r="BG131" s="30" t="s">
        <v>2129</v>
      </c>
      <c r="BH131" s="30" t="s">
        <v>2129</v>
      </c>
      <c r="BI131" s="30" t="s">
        <v>2129</v>
      </c>
      <c r="BJ131" s="30" t="s">
        <v>2129</v>
      </c>
      <c r="BK131" s="30" t="s">
        <v>2129</v>
      </c>
      <c r="BL131" s="30" t="s">
        <v>2129</v>
      </c>
      <c r="BM131" s="30" t="s">
        <v>2129</v>
      </c>
      <c r="BN131" s="30" t="s">
        <v>2129</v>
      </c>
      <c r="BO131" s="30" t="s">
        <v>2129</v>
      </c>
      <c r="BP131" s="30" t="s">
        <v>2129</v>
      </c>
      <c r="BQ131" s="30" t="s">
        <v>2129</v>
      </c>
      <c r="BR131" s="30" t="s">
        <v>2129</v>
      </c>
      <c r="BS131" s="30" t="s">
        <v>2129</v>
      </c>
      <c r="BT131" s="30" t="s">
        <v>2129</v>
      </c>
      <c r="BU131" s="30" t="s">
        <v>2129</v>
      </c>
      <c r="BV131" s="30" t="s">
        <v>2129</v>
      </c>
      <c r="BW131" s="30" t="s">
        <v>3458</v>
      </c>
      <c r="BX131" s="30" t="s">
        <v>2129</v>
      </c>
      <c r="BY131" s="30" t="s">
        <v>3724</v>
      </c>
      <c r="BZ131" s="30" t="s">
        <v>10</v>
      </c>
      <c r="CA131" s="30" t="s">
        <v>2129</v>
      </c>
      <c r="CB131" s="30" t="s">
        <v>2129</v>
      </c>
      <c r="CC131" s="30" t="s">
        <v>2129</v>
      </c>
      <c r="CD131" s="30" t="s">
        <v>2129</v>
      </c>
      <c r="CE131" s="30" t="s">
        <v>3727</v>
      </c>
      <c r="CF131" s="30" t="s">
        <v>2129</v>
      </c>
      <c r="CG131" s="30" t="s">
        <v>2129</v>
      </c>
      <c r="CH131" s="30" t="s">
        <v>2129</v>
      </c>
      <c r="CI131" s="30" t="s">
        <v>2129</v>
      </c>
      <c r="CJ131" s="30" t="s">
        <v>2129</v>
      </c>
      <c r="CK131" s="30" t="s">
        <v>2129</v>
      </c>
      <c r="CL131" s="30" t="s">
        <v>2129</v>
      </c>
      <c r="CM131" s="30" t="s">
        <v>2129</v>
      </c>
      <c r="CN131" s="30" t="s">
        <v>2129</v>
      </c>
      <c r="CO131" s="30" t="s">
        <v>2129</v>
      </c>
      <c r="CP131" s="30" t="s">
        <v>2129</v>
      </c>
      <c r="CQ131" s="30" t="s">
        <v>2129</v>
      </c>
      <c r="CR131" s="30" t="s">
        <v>2129</v>
      </c>
      <c r="CS131" s="30"/>
      <c r="CT131" s="30" t="s">
        <v>2129</v>
      </c>
      <c r="CU131" s="30" t="s">
        <v>2129</v>
      </c>
      <c r="CV131" s="30" t="s">
        <v>2129</v>
      </c>
      <c r="CW131" s="30" t="s">
        <v>2129</v>
      </c>
      <c r="CX131" s="30" t="s">
        <v>2129</v>
      </c>
      <c r="CY131" s="30" t="s">
        <v>2129</v>
      </c>
      <c r="CZ131" s="30" t="s">
        <v>2129</v>
      </c>
      <c r="DA131" s="30" t="s">
        <v>2129</v>
      </c>
      <c r="DB131" s="30" t="s">
        <v>2129</v>
      </c>
      <c r="DC131" s="30" t="s">
        <v>2129</v>
      </c>
      <c r="DD131" s="30" t="s">
        <v>2129</v>
      </c>
      <c r="DE131" s="30" t="s">
        <v>2129</v>
      </c>
      <c r="DF131" s="30" t="s">
        <v>2129</v>
      </c>
      <c r="DG131" s="30" t="s">
        <v>2129</v>
      </c>
      <c r="DH131" s="30" t="s">
        <v>2129</v>
      </c>
      <c r="DI131" s="30" t="s">
        <v>2129</v>
      </c>
      <c r="DJ131" s="30" t="s">
        <v>2129</v>
      </c>
      <c r="DK131" s="30" t="s">
        <v>2129</v>
      </c>
      <c r="DL131" s="30" t="s">
        <v>2129</v>
      </c>
      <c r="DM131" s="30" t="s">
        <v>2129</v>
      </c>
      <c r="DN131" s="30" t="s">
        <v>2129</v>
      </c>
      <c r="DO131" s="30" t="s">
        <v>2129</v>
      </c>
      <c r="DP131" s="30" t="s">
        <v>2129</v>
      </c>
      <c r="DQ131" s="43" t="s">
        <v>2129</v>
      </c>
    </row>
    <row r="132" spans="1:121" x14ac:dyDescent="0.25">
      <c r="A132" s="39" t="s">
        <v>3728</v>
      </c>
      <c r="B132" s="29" t="s">
        <v>3729</v>
      </c>
      <c r="C132" s="29">
        <v>21747</v>
      </c>
      <c r="D132" s="29"/>
      <c r="E132" s="29" t="s">
        <v>2154</v>
      </c>
      <c r="F132" s="29" t="s">
        <v>16</v>
      </c>
      <c r="G132" s="29" t="s">
        <v>3498</v>
      </c>
      <c r="H132" s="29" t="s">
        <v>991</v>
      </c>
      <c r="I132" s="29" t="s">
        <v>2127</v>
      </c>
      <c r="J132" s="29" t="s">
        <v>2152</v>
      </c>
      <c r="K132" s="29" t="s">
        <v>2129</v>
      </c>
      <c r="L132" s="29" t="s">
        <v>2129</v>
      </c>
      <c r="M132" s="29" t="s">
        <v>2130</v>
      </c>
      <c r="N132" s="29" t="s">
        <v>16</v>
      </c>
      <c r="O132" s="29" t="s">
        <v>2129</v>
      </c>
      <c r="P132" s="29" t="s">
        <v>2145</v>
      </c>
      <c r="Q132" s="29" t="s">
        <v>2145</v>
      </c>
      <c r="R132" s="45">
        <v>45834.407638888886</v>
      </c>
      <c r="S132" s="45">
        <v>46080.709722222222</v>
      </c>
      <c r="T132" s="45">
        <v>46087.717361111114</v>
      </c>
      <c r="U132" s="45">
        <v>46080.709722222222</v>
      </c>
      <c r="V132" s="29" t="s">
        <v>2129</v>
      </c>
      <c r="W132" s="29" t="s">
        <v>2129</v>
      </c>
      <c r="X132" s="29" t="s">
        <v>2129</v>
      </c>
      <c r="Y132" s="29">
        <v>0</v>
      </c>
      <c r="Z132" s="29" t="s">
        <v>3718</v>
      </c>
      <c r="AA132" s="29" t="s">
        <v>2129</v>
      </c>
      <c r="AB132" s="29" t="s">
        <v>3726</v>
      </c>
      <c r="AC132" s="29" t="s">
        <v>2129</v>
      </c>
      <c r="AD132" s="29" t="s">
        <v>2145</v>
      </c>
      <c r="AE132" s="29" t="s">
        <v>2129</v>
      </c>
      <c r="AF132" s="29" t="s">
        <v>2129</v>
      </c>
      <c r="AG132" s="29" t="s">
        <v>2129</v>
      </c>
      <c r="AH132" s="29" t="s">
        <v>2129</v>
      </c>
      <c r="AI132" s="29" t="s">
        <v>2129</v>
      </c>
      <c r="AJ132" s="29" t="s">
        <v>2129</v>
      </c>
      <c r="AK132" s="29" t="s">
        <v>2129</v>
      </c>
      <c r="AL132" s="29" t="s">
        <v>2129</v>
      </c>
      <c r="AM132" s="29" t="s">
        <v>2129</v>
      </c>
      <c r="AN132" s="29" t="s">
        <v>2129</v>
      </c>
      <c r="AO132" s="29" t="s">
        <v>2129</v>
      </c>
      <c r="AP132" s="29" t="s">
        <v>2129</v>
      </c>
      <c r="AQ132" s="29" t="s">
        <v>2129</v>
      </c>
      <c r="AR132" s="29" t="s">
        <v>2129</v>
      </c>
      <c r="AS132" s="29" t="s">
        <v>2129</v>
      </c>
      <c r="AT132" s="29" t="s">
        <v>2129</v>
      </c>
      <c r="AU132" s="29" t="s">
        <v>2129</v>
      </c>
      <c r="AV132" s="29" t="s">
        <v>2129</v>
      </c>
      <c r="AW132" s="29" t="s">
        <v>2129</v>
      </c>
      <c r="AX132" s="29"/>
      <c r="AY132" s="29"/>
      <c r="AZ132" s="29" t="s">
        <v>2129</v>
      </c>
      <c r="BA132" s="29" t="s">
        <v>2129</v>
      </c>
      <c r="BB132" s="29"/>
      <c r="BC132" s="29"/>
      <c r="BD132" s="29" t="s">
        <v>2129</v>
      </c>
      <c r="BE132" s="29" t="s">
        <v>2129</v>
      </c>
      <c r="BF132" s="29" t="s">
        <v>2129</v>
      </c>
      <c r="BG132" s="29" t="s">
        <v>2129</v>
      </c>
      <c r="BH132" s="29" t="s">
        <v>2129</v>
      </c>
      <c r="BI132" s="29" t="s">
        <v>2129</v>
      </c>
      <c r="BJ132" s="29" t="s">
        <v>2129</v>
      </c>
      <c r="BK132" s="29" t="s">
        <v>2129</v>
      </c>
      <c r="BL132" s="29" t="s">
        <v>2129</v>
      </c>
      <c r="BM132" s="29" t="s">
        <v>2129</v>
      </c>
      <c r="BN132" s="29" t="s">
        <v>2129</v>
      </c>
      <c r="BO132" s="29" t="s">
        <v>2129</v>
      </c>
      <c r="BP132" s="29" t="s">
        <v>2129</v>
      </c>
      <c r="BQ132" s="29" t="s">
        <v>2129</v>
      </c>
      <c r="BR132" s="29" t="s">
        <v>2129</v>
      </c>
      <c r="BS132" s="29" t="s">
        <v>2129</v>
      </c>
      <c r="BT132" s="29" t="s">
        <v>2129</v>
      </c>
      <c r="BU132" s="29" t="s">
        <v>2129</v>
      </c>
      <c r="BV132" s="29" t="s">
        <v>2129</v>
      </c>
      <c r="BW132" s="29" t="s">
        <v>2867</v>
      </c>
      <c r="BX132" s="29" t="s">
        <v>2129</v>
      </c>
      <c r="BY132" s="29" t="s">
        <v>3728</v>
      </c>
      <c r="BZ132" s="29" t="s">
        <v>10</v>
      </c>
      <c r="CA132" s="29" t="s">
        <v>2129</v>
      </c>
      <c r="CB132" s="29" t="s">
        <v>2129</v>
      </c>
      <c r="CC132" s="29" t="s">
        <v>2129</v>
      </c>
      <c r="CD132" s="29" t="s">
        <v>2129</v>
      </c>
      <c r="CE132" s="29" t="s">
        <v>3730</v>
      </c>
      <c r="CF132" s="29" t="s">
        <v>2129</v>
      </c>
      <c r="CG132" s="29" t="s">
        <v>2129</v>
      </c>
      <c r="CH132" s="29" t="s">
        <v>2129</v>
      </c>
      <c r="CI132" s="29" t="s">
        <v>2129</v>
      </c>
      <c r="CJ132" s="29" t="s">
        <v>2129</v>
      </c>
      <c r="CK132" s="29" t="s">
        <v>2129</v>
      </c>
      <c r="CL132" s="29" t="s">
        <v>2129</v>
      </c>
      <c r="CM132" s="29" t="s">
        <v>2129</v>
      </c>
      <c r="CN132" s="29" t="s">
        <v>2129</v>
      </c>
      <c r="CO132" s="29" t="s">
        <v>2129</v>
      </c>
      <c r="CP132" s="29" t="s">
        <v>2129</v>
      </c>
      <c r="CQ132" s="29" t="s">
        <v>2129</v>
      </c>
      <c r="CR132" s="29" t="s">
        <v>2129</v>
      </c>
      <c r="CS132" s="29"/>
      <c r="CT132" s="29" t="s">
        <v>2129</v>
      </c>
      <c r="CU132" s="29" t="s">
        <v>2129</v>
      </c>
      <c r="CV132" s="29" t="s">
        <v>2129</v>
      </c>
      <c r="CW132" s="29" t="s">
        <v>2129</v>
      </c>
      <c r="CX132" s="29" t="s">
        <v>2129</v>
      </c>
      <c r="CY132" s="29" t="s">
        <v>2129</v>
      </c>
      <c r="CZ132" s="29" t="s">
        <v>2129</v>
      </c>
      <c r="DA132" s="29" t="s">
        <v>2129</v>
      </c>
      <c r="DB132" s="29" t="s">
        <v>2129</v>
      </c>
      <c r="DC132" s="29" t="s">
        <v>2129</v>
      </c>
      <c r="DD132" s="29" t="s">
        <v>2129</v>
      </c>
      <c r="DE132" s="29" t="s">
        <v>2129</v>
      </c>
      <c r="DF132" s="29" t="s">
        <v>2129</v>
      </c>
      <c r="DG132" s="29" t="s">
        <v>2129</v>
      </c>
      <c r="DH132" s="29" t="s">
        <v>2129</v>
      </c>
      <c r="DI132" s="29" t="s">
        <v>2129</v>
      </c>
      <c r="DJ132" s="29" t="s">
        <v>2129</v>
      </c>
      <c r="DK132" s="29" t="s">
        <v>2129</v>
      </c>
      <c r="DL132" s="29" t="s">
        <v>2129</v>
      </c>
      <c r="DM132" s="29" t="s">
        <v>2129</v>
      </c>
      <c r="DN132" s="29" t="s">
        <v>2129</v>
      </c>
      <c r="DO132" s="29" t="s">
        <v>2129</v>
      </c>
      <c r="DP132" s="29" t="s">
        <v>2129</v>
      </c>
      <c r="DQ132" s="42" t="s">
        <v>2129</v>
      </c>
    </row>
    <row r="133" spans="1:121" x14ac:dyDescent="0.25">
      <c r="A133" s="36" t="s">
        <v>3731</v>
      </c>
      <c r="B133" s="30" t="s">
        <v>3561</v>
      </c>
      <c r="C133" s="30">
        <v>21745</v>
      </c>
      <c r="D133" s="30"/>
      <c r="E133" s="30" t="s">
        <v>2154</v>
      </c>
      <c r="F133" s="30" t="s">
        <v>10</v>
      </c>
      <c r="G133" s="30" t="s">
        <v>3498</v>
      </c>
      <c r="H133" s="30" t="s">
        <v>991</v>
      </c>
      <c r="I133" s="30" t="s">
        <v>2127</v>
      </c>
      <c r="J133" s="30" t="s">
        <v>2152</v>
      </c>
      <c r="K133" s="30" t="s">
        <v>2129</v>
      </c>
      <c r="L133" s="30" t="s">
        <v>2129</v>
      </c>
      <c r="M133" s="30" t="s">
        <v>2130</v>
      </c>
      <c r="N133" s="30" t="s">
        <v>2129</v>
      </c>
      <c r="O133" s="30" t="s">
        <v>2129</v>
      </c>
      <c r="P133" s="30" t="s">
        <v>2145</v>
      </c>
      <c r="Q133" s="30" t="s">
        <v>2145</v>
      </c>
      <c r="R133" s="46">
        <v>45834.406944444447</v>
      </c>
      <c r="S133" s="46">
        <v>46080.688194444447</v>
      </c>
      <c r="T133" s="46">
        <v>46087.717361111114</v>
      </c>
      <c r="U133" s="46"/>
      <c r="V133" s="30" t="s">
        <v>2129</v>
      </c>
      <c r="W133" s="30" t="s">
        <v>2129</v>
      </c>
      <c r="X133" s="30" t="s">
        <v>2129</v>
      </c>
      <c r="Y133" s="30">
        <v>0</v>
      </c>
      <c r="Z133" s="30" t="s">
        <v>3718</v>
      </c>
      <c r="AA133" s="30" t="s">
        <v>2129</v>
      </c>
      <c r="AB133" s="30" t="s">
        <v>3732</v>
      </c>
      <c r="AC133" s="30" t="s">
        <v>2129</v>
      </c>
      <c r="AD133" s="30" t="s">
        <v>2145</v>
      </c>
      <c r="AE133" s="30" t="s">
        <v>2129</v>
      </c>
      <c r="AF133" s="30" t="s">
        <v>2129</v>
      </c>
      <c r="AG133" s="30" t="s">
        <v>2129</v>
      </c>
      <c r="AH133" s="30" t="s">
        <v>2129</v>
      </c>
      <c r="AI133" s="30" t="s">
        <v>2129</v>
      </c>
      <c r="AJ133" s="30" t="s">
        <v>2129</v>
      </c>
      <c r="AK133" s="30" t="s">
        <v>2129</v>
      </c>
      <c r="AL133" s="30" t="s">
        <v>2129</v>
      </c>
      <c r="AM133" s="30" t="s">
        <v>2129</v>
      </c>
      <c r="AN133" s="30" t="s">
        <v>2129</v>
      </c>
      <c r="AO133" s="30" t="s">
        <v>2129</v>
      </c>
      <c r="AP133" s="30" t="s">
        <v>2129</v>
      </c>
      <c r="AQ133" s="30" t="s">
        <v>2129</v>
      </c>
      <c r="AR133" s="30" t="s">
        <v>2129</v>
      </c>
      <c r="AS133" s="30" t="s">
        <v>2129</v>
      </c>
      <c r="AT133" s="30" t="s">
        <v>2129</v>
      </c>
      <c r="AU133" s="30" t="s">
        <v>2129</v>
      </c>
      <c r="AV133" s="30" t="s">
        <v>2129</v>
      </c>
      <c r="AW133" s="30" t="s">
        <v>2129</v>
      </c>
      <c r="AX133" s="30"/>
      <c r="AY133" s="30"/>
      <c r="AZ133" s="30" t="s">
        <v>2129</v>
      </c>
      <c r="BA133" s="30" t="s">
        <v>2129</v>
      </c>
      <c r="BB133" s="30"/>
      <c r="BC133" s="30"/>
      <c r="BD133" s="30" t="s">
        <v>2129</v>
      </c>
      <c r="BE133" s="30" t="s">
        <v>2129</v>
      </c>
      <c r="BF133" s="30" t="s">
        <v>2129</v>
      </c>
      <c r="BG133" s="30" t="s">
        <v>2129</v>
      </c>
      <c r="BH133" s="30" t="s">
        <v>2129</v>
      </c>
      <c r="BI133" s="30" t="s">
        <v>2129</v>
      </c>
      <c r="BJ133" s="30" t="s">
        <v>2129</v>
      </c>
      <c r="BK133" s="30" t="s">
        <v>2129</v>
      </c>
      <c r="BL133" s="30" t="s">
        <v>2129</v>
      </c>
      <c r="BM133" s="30" t="s">
        <v>2129</v>
      </c>
      <c r="BN133" s="30" t="s">
        <v>2129</v>
      </c>
      <c r="BO133" s="30" t="s">
        <v>2129</v>
      </c>
      <c r="BP133" s="30" t="s">
        <v>2129</v>
      </c>
      <c r="BQ133" s="30" t="s">
        <v>2129</v>
      </c>
      <c r="BR133" s="30" t="s">
        <v>2129</v>
      </c>
      <c r="BS133" s="30" t="s">
        <v>2129</v>
      </c>
      <c r="BT133" s="30" t="s">
        <v>2129</v>
      </c>
      <c r="BU133" s="30" t="s">
        <v>2129</v>
      </c>
      <c r="BV133" s="30" t="s">
        <v>2129</v>
      </c>
      <c r="BW133" s="30" t="s">
        <v>3733</v>
      </c>
      <c r="BX133" s="30" t="s">
        <v>2129</v>
      </c>
      <c r="BY133" s="30" t="s">
        <v>3731</v>
      </c>
      <c r="BZ133" s="30" t="s">
        <v>10</v>
      </c>
      <c r="CA133" s="30" t="s">
        <v>2129</v>
      </c>
      <c r="CB133" s="30" t="s">
        <v>2129</v>
      </c>
      <c r="CC133" s="30" t="s">
        <v>2129</v>
      </c>
      <c r="CD133" s="30" t="s">
        <v>2129</v>
      </c>
      <c r="CE133" s="30" t="s">
        <v>3734</v>
      </c>
      <c r="CF133" s="30" t="s">
        <v>2129</v>
      </c>
      <c r="CG133" s="30" t="s">
        <v>2129</v>
      </c>
      <c r="CH133" s="30" t="s">
        <v>2129</v>
      </c>
      <c r="CI133" s="30" t="s">
        <v>2129</v>
      </c>
      <c r="CJ133" s="30" t="s">
        <v>2129</v>
      </c>
      <c r="CK133" s="30" t="s">
        <v>2129</v>
      </c>
      <c r="CL133" s="30" t="s">
        <v>2129</v>
      </c>
      <c r="CM133" s="30" t="s">
        <v>2129</v>
      </c>
      <c r="CN133" s="30" t="s">
        <v>2129</v>
      </c>
      <c r="CO133" s="30" t="s">
        <v>2129</v>
      </c>
      <c r="CP133" s="30" t="s">
        <v>2129</v>
      </c>
      <c r="CQ133" s="30" t="s">
        <v>2129</v>
      </c>
      <c r="CR133" s="30" t="s">
        <v>2129</v>
      </c>
      <c r="CS133" s="30"/>
      <c r="CT133" s="30" t="s">
        <v>2129</v>
      </c>
      <c r="CU133" s="30" t="s">
        <v>2129</v>
      </c>
      <c r="CV133" s="30" t="s">
        <v>2129</v>
      </c>
      <c r="CW133" s="30" t="s">
        <v>2129</v>
      </c>
      <c r="CX133" s="30" t="s">
        <v>2129</v>
      </c>
      <c r="CY133" s="30" t="s">
        <v>2129</v>
      </c>
      <c r="CZ133" s="30" t="s">
        <v>2129</v>
      </c>
      <c r="DA133" s="30" t="s">
        <v>2129</v>
      </c>
      <c r="DB133" s="30" t="s">
        <v>2129</v>
      </c>
      <c r="DC133" s="30" t="s">
        <v>2129</v>
      </c>
      <c r="DD133" s="30" t="s">
        <v>2129</v>
      </c>
      <c r="DE133" s="30" t="s">
        <v>2129</v>
      </c>
      <c r="DF133" s="30" t="s">
        <v>2129</v>
      </c>
      <c r="DG133" s="30" t="s">
        <v>2129</v>
      </c>
      <c r="DH133" s="30" t="s">
        <v>2129</v>
      </c>
      <c r="DI133" s="30" t="s">
        <v>2129</v>
      </c>
      <c r="DJ133" s="30" t="s">
        <v>2129</v>
      </c>
      <c r="DK133" s="30" t="s">
        <v>2129</v>
      </c>
      <c r="DL133" s="30" t="s">
        <v>2129</v>
      </c>
      <c r="DM133" s="30" t="s">
        <v>2129</v>
      </c>
      <c r="DN133" s="30" t="s">
        <v>2129</v>
      </c>
      <c r="DO133" s="30" t="s">
        <v>2129</v>
      </c>
      <c r="DP133" s="30" t="s">
        <v>2129</v>
      </c>
      <c r="DQ133" s="43" t="s">
        <v>2129</v>
      </c>
    </row>
    <row r="134" spans="1:121" x14ac:dyDescent="0.25">
      <c r="A134" s="39" t="s">
        <v>3038</v>
      </c>
      <c r="B134" s="29" t="s">
        <v>3037</v>
      </c>
      <c r="C134" s="29">
        <v>23039</v>
      </c>
      <c r="D134" s="29"/>
      <c r="E134" s="29" t="s">
        <v>14</v>
      </c>
      <c r="F134" s="29" t="s">
        <v>16</v>
      </c>
      <c r="G134" s="29" t="s">
        <v>12</v>
      </c>
      <c r="H134" s="29" t="s">
        <v>12</v>
      </c>
      <c r="I134" s="29" t="s">
        <v>2127</v>
      </c>
      <c r="J134" s="29" t="s">
        <v>2198</v>
      </c>
      <c r="K134" s="29" t="s">
        <v>2129</v>
      </c>
      <c r="L134" s="29" t="s">
        <v>2199</v>
      </c>
      <c r="M134" s="29" t="s">
        <v>2130</v>
      </c>
      <c r="N134" s="29" t="s">
        <v>16</v>
      </c>
      <c r="O134" s="29" t="s">
        <v>2150</v>
      </c>
      <c r="P134" s="29" t="s">
        <v>2198</v>
      </c>
      <c r="Q134" s="29" t="s">
        <v>2198</v>
      </c>
      <c r="R134" s="45">
        <v>46078.527083333334</v>
      </c>
      <c r="S134" s="45">
        <v>46086.431250000001</v>
      </c>
      <c r="T134" s="45">
        <v>46087.717361111114</v>
      </c>
      <c r="U134" s="45">
        <v>46079.628472222219</v>
      </c>
      <c r="V134" s="29" t="s">
        <v>2129</v>
      </c>
      <c r="W134" s="29" t="s">
        <v>2129</v>
      </c>
      <c r="X134" s="29" t="s">
        <v>2129</v>
      </c>
      <c r="Y134" s="29">
        <v>0</v>
      </c>
      <c r="Z134" s="29" t="s">
        <v>2129</v>
      </c>
      <c r="AA134" s="29" t="s">
        <v>2129</v>
      </c>
      <c r="AB134" s="29" t="s">
        <v>3735</v>
      </c>
      <c r="AC134" s="29" t="s">
        <v>2129</v>
      </c>
      <c r="AD134" s="29" t="s">
        <v>2200</v>
      </c>
      <c r="AE134" s="29" t="s">
        <v>2198</v>
      </c>
      <c r="AF134" s="29" t="s">
        <v>2129</v>
      </c>
      <c r="AG134" s="29" t="s">
        <v>2129</v>
      </c>
      <c r="AH134" s="29" t="s">
        <v>2129</v>
      </c>
      <c r="AI134" s="29" t="s">
        <v>3736</v>
      </c>
      <c r="AJ134" s="29" t="s">
        <v>2129</v>
      </c>
      <c r="AK134" s="29" t="s">
        <v>2129</v>
      </c>
      <c r="AL134" s="29" t="s">
        <v>2129</v>
      </c>
      <c r="AM134" s="29" t="s">
        <v>2129</v>
      </c>
      <c r="AN134" s="29" t="s">
        <v>2129</v>
      </c>
      <c r="AO134" s="29" t="s">
        <v>2129</v>
      </c>
      <c r="AP134" s="29" t="s">
        <v>2129</v>
      </c>
      <c r="AQ134" s="29" t="s">
        <v>2129</v>
      </c>
      <c r="AR134" s="29" t="s">
        <v>2129</v>
      </c>
      <c r="AS134" s="29" t="s">
        <v>2129</v>
      </c>
      <c r="AT134" s="29" t="s">
        <v>2129</v>
      </c>
      <c r="AU134" s="29" t="s">
        <v>2129</v>
      </c>
      <c r="AV134" s="29" t="s">
        <v>2129</v>
      </c>
      <c r="AW134" s="29" t="s">
        <v>2129</v>
      </c>
      <c r="AX134" s="29">
        <v>0</v>
      </c>
      <c r="AY134" s="29">
        <v>900</v>
      </c>
      <c r="AZ134" s="29" t="s">
        <v>2129</v>
      </c>
      <c r="BA134" s="29" t="s">
        <v>2129</v>
      </c>
      <c r="BB134" s="29">
        <v>0</v>
      </c>
      <c r="BC134" s="29">
        <v>900</v>
      </c>
      <c r="BD134" s="29" t="s">
        <v>2129</v>
      </c>
      <c r="BE134" s="29" t="s">
        <v>2129</v>
      </c>
      <c r="BF134" s="29" t="s">
        <v>2129</v>
      </c>
      <c r="BG134" s="29" t="s">
        <v>2129</v>
      </c>
      <c r="BH134" s="29" t="s">
        <v>2129</v>
      </c>
      <c r="BI134" s="29" t="s">
        <v>2129</v>
      </c>
      <c r="BJ134" s="29" t="s">
        <v>2129</v>
      </c>
      <c r="BK134" s="29" t="s">
        <v>2129</v>
      </c>
      <c r="BL134" s="29" t="s">
        <v>2129</v>
      </c>
      <c r="BM134" s="29" t="s">
        <v>2129</v>
      </c>
      <c r="BN134" s="29" t="s">
        <v>2129</v>
      </c>
      <c r="BO134" s="29" t="s">
        <v>2129</v>
      </c>
      <c r="BP134" s="29" t="s">
        <v>2129</v>
      </c>
      <c r="BQ134" s="29" t="s">
        <v>2129</v>
      </c>
      <c r="BR134" s="29" t="s">
        <v>2129</v>
      </c>
      <c r="BS134" s="29" t="s">
        <v>2129</v>
      </c>
      <c r="BT134" s="29" t="s">
        <v>2129</v>
      </c>
      <c r="BU134" s="29" t="s">
        <v>2129</v>
      </c>
      <c r="BV134" s="29" t="s">
        <v>2129</v>
      </c>
      <c r="BW134" s="29" t="s">
        <v>2129</v>
      </c>
      <c r="BX134" s="29" t="s">
        <v>2129</v>
      </c>
      <c r="BY134" s="29" t="s">
        <v>2129</v>
      </c>
      <c r="BZ134" s="29" t="s">
        <v>2129</v>
      </c>
      <c r="CA134" s="29" t="s">
        <v>2129</v>
      </c>
      <c r="CB134" s="29" t="s">
        <v>2129</v>
      </c>
      <c r="CC134" s="29" t="s">
        <v>2129</v>
      </c>
      <c r="CD134" s="29" t="s">
        <v>2129</v>
      </c>
      <c r="CE134" s="29" t="s">
        <v>3737</v>
      </c>
      <c r="CF134" s="29" t="s">
        <v>3738</v>
      </c>
      <c r="CG134" s="29" t="s">
        <v>2129</v>
      </c>
      <c r="CH134" s="29" t="s">
        <v>2129</v>
      </c>
      <c r="CI134" s="29" t="s">
        <v>2129</v>
      </c>
      <c r="CJ134" s="29" t="s">
        <v>2129</v>
      </c>
      <c r="CK134" s="29" t="s">
        <v>2129</v>
      </c>
      <c r="CL134" s="29" t="s">
        <v>2129</v>
      </c>
      <c r="CM134" s="29" t="s">
        <v>2129</v>
      </c>
      <c r="CN134" s="29" t="s">
        <v>2129</v>
      </c>
      <c r="CO134" s="29" t="s">
        <v>2129</v>
      </c>
      <c r="CP134" s="29" t="s">
        <v>2129</v>
      </c>
      <c r="CQ134" s="29" t="s">
        <v>2129</v>
      </c>
      <c r="CR134" s="29" t="s">
        <v>2129</v>
      </c>
      <c r="CS134" s="29">
        <v>10</v>
      </c>
      <c r="CT134" s="29" t="s">
        <v>2129</v>
      </c>
      <c r="CU134" s="29" t="s">
        <v>2129</v>
      </c>
      <c r="CV134" s="29" t="s">
        <v>3739</v>
      </c>
      <c r="CW134" s="29" t="s">
        <v>3740</v>
      </c>
      <c r="CX134" s="29" t="s">
        <v>2129</v>
      </c>
      <c r="CY134" s="29" t="s">
        <v>2129</v>
      </c>
      <c r="CZ134" s="29" t="s">
        <v>2129</v>
      </c>
      <c r="DA134" s="29" t="s">
        <v>2129</v>
      </c>
      <c r="DB134" s="29" t="s">
        <v>2129</v>
      </c>
      <c r="DC134" s="29" t="s">
        <v>2129</v>
      </c>
      <c r="DD134" s="29" t="s">
        <v>2129</v>
      </c>
      <c r="DE134" s="29" t="s">
        <v>2129</v>
      </c>
      <c r="DF134" s="29" t="s">
        <v>2129</v>
      </c>
      <c r="DG134" s="29" t="s">
        <v>2129</v>
      </c>
      <c r="DH134" s="29" t="s">
        <v>2129</v>
      </c>
      <c r="DI134" s="29" t="s">
        <v>2129</v>
      </c>
      <c r="DJ134" s="29" t="s">
        <v>2129</v>
      </c>
      <c r="DK134" s="29" t="s">
        <v>2129</v>
      </c>
      <c r="DL134" s="29" t="s">
        <v>2129</v>
      </c>
      <c r="DM134" s="29" t="s">
        <v>2129</v>
      </c>
      <c r="DN134" s="29" t="s">
        <v>2129</v>
      </c>
      <c r="DO134" s="29" t="s">
        <v>2129</v>
      </c>
      <c r="DP134" s="29" t="s">
        <v>2129</v>
      </c>
      <c r="DQ134" s="42" t="s">
        <v>2129</v>
      </c>
    </row>
    <row r="135" spans="1:121" x14ac:dyDescent="0.25">
      <c r="A135" s="36" t="s">
        <v>3741</v>
      </c>
      <c r="B135" s="30" t="s">
        <v>3742</v>
      </c>
      <c r="C135" s="30">
        <v>23037</v>
      </c>
      <c r="D135" s="30"/>
      <c r="E135" s="30" t="s">
        <v>14</v>
      </c>
      <c r="F135" s="30" t="s">
        <v>16</v>
      </c>
      <c r="G135" s="30" t="s">
        <v>12</v>
      </c>
      <c r="H135" s="30" t="s">
        <v>12</v>
      </c>
      <c r="I135" s="30" t="s">
        <v>2127</v>
      </c>
      <c r="J135" s="30" t="s">
        <v>2198</v>
      </c>
      <c r="K135" s="30" t="s">
        <v>2129</v>
      </c>
      <c r="L135" s="30" t="s">
        <v>2199</v>
      </c>
      <c r="M135" s="30" t="s">
        <v>2130</v>
      </c>
      <c r="N135" s="30" t="s">
        <v>16</v>
      </c>
      <c r="O135" s="30" t="s">
        <v>2198</v>
      </c>
      <c r="P135" s="30" t="s">
        <v>2198</v>
      </c>
      <c r="Q135" s="30" t="s">
        <v>2198</v>
      </c>
      <c r="R135" s="46">
        <v>46078.383333333331</v>
      </c>
      <c r="S135" s="46">
        <v>46078.43472222222</v>
      </c>
      <c r="T135" s="46">
        <v>46087.717361111114</v>
      </c>
      <c r="U135" s="46">
        <v>46078.43472222222</v>
      </c>
      <c r="V135" s="30" t="s">
        <v>2129</v>
      </c>
      <c r="W135" s="30" t="s">
        <v>2129</v>
      </c>
      <c r="X135" s="30" t="s">
        <v>2129</v>
      </c>
      <c r="Y135" s="30">
        <v>0</v>
      </c>
      <c r="Z135" s="30" t="s">
        <v>2129</v>
      </c>
      <c r="AA135" s="30" t="s">
        <v>2129</v>
      </c>
      <c r="AB135" s="30" t="s">
        <v>3743</v>
      </c>
      <c r="AC135" s="30" t="s">
        <v>2129</v>
      </c>
      <c r="AD135" s="30" t="s">
        <v>2198</v>
      </c>
      <c r="AE135" s="30" t="s">
        <v>2129</v>
      </c>
      <c r="AF135" s="30" t="s">
        <v>2129</v>
      </c>
      <c r="AG135" s="30" t="s">
        <v>2129</v>
      </c>
      <c r="AH135" s="30" t="s">
        <v>2129</v>
      </c>
      <c r="AI135" s="30" t="s">
        <v>2129</v>
      </c>
      <c r="AJ135" s="30" t="s">
        <v>2129</v>
      </c>
      <c r="AK135" s="30" t="s">
        <v>2129</v>
      </c>
      <c r="AL135" s="30" t="s">
        <v>2129</v>
      </c>
      <c r="AM135" s="30" t="s">
        <v>2129</v>
      </c>
      <c r="AN135" s="30" t="s">
        <v>2129</v>
      </c>
      <c r="AO135" s="30" t="s">
        <v>2129</v>
      </c>
      <c r="AP135" s="30" t="s">
        <v>2129</v>
      </c>
      <c r="AQ135" s="30" t="s">
        <v>2129</v>
      </c>
      <c r="AR135" s="30" t="s">
        <v>2129</v>
      </c>
      <c r="AS135" s="30" t="s">
        <v>2129</v>
      </c>
      <c r="AT135" s="30" t="s">
        <v>2129</v>
      </c>
      <c r="AU135" s="30" t="s">
        <v>2129</v>
      </c>
      <c r="AV135" s="30" t="s">
        <v>2129</v>
      </c>
      <c r="AW135" s="30" t="s">
        <v>2129</v>
      </c>
      <c r="AX135" s="30"/>
      <c r="AY135" s="30"/>
      <c r="AZ135" s="30" t="s">
        <v>2129</v>
      </c>
      <c r="BA135" s="30" t="s">
        <v>2129</v>
      </c>
      <c r="BB135" s="30"/>
      <c r="BC135" s="30"/>
      <c r="BD135" s="30" t="s">
        <v>2129</v>
      </c>
      <c r="BE135" s="30" t="s">
        <v>2129</v>
      </c>
      <c r="BF135" s="30" t="s">
        <v>2129</v>
      </c>
      <c r="BG135" s="30" t="s">
        <v>2129</v>
      </c>
      <c r="BH135" s="30" t="s">
        <v>2129</v>
      </c>
      <c r="BI135" s="30" t="s">
        <v>2129</v>
      </c>
      <c r="BJ135" s="30" t="s">
        <v>2129</v>
      </c>
      <c r="BK135" s="30" t="s">
        <v>2129</v>
      </c>
      <c r="BL135" s="30" t="s">
        <v>2129</v>
      </c>
      <c r="BM135" s="30" t="s">
        <v>2129</v>
      </c>
      <c r="BN135" s="30" t="s">
        <v>2129</v>
      </c>
      <c r="BO135" s="30" t="s">
        <v>2129</v>
      </c>
      <c r="BP135" s="30" t="s">
        <v>2129</v>
      </c>
      <c r="BQ135" s="30" t="s">
        <v>2129</v>
      </c>
      <c r="BR135" s="30" t="s">
        <v>2129</v>
      </c>
      <c r="BS135" s="30" t="s">
        <v>2129</v>
      </c>
      <c r="BT135" s="30" t="s">
        <v>2129</v>
      </c>
      <c r="BU135" s="30" t="s">
        <v>2129</v>
      </c>
      <c r="BV135" s="30" t="s">
        <v>2129</v>
      </c>
      <c r="BW135" s="30" t="s">
        <v>2129</v>
      </c>
      <c r="BX135" s="30" t="s">
        <v>2129</v>
      </c>
      <c r="BY135" s="30" t="s">
        <v>2129</v>
      </c>
      <c r="BZ135" s="30" t="s">
        <v>2129</v>
      </c>
      <c r="CA135" s="30" t="s">
        <v>2129</v>
      </c>
      <c r="CB135" s="30" t="s">
        <v>2129</v>
      </c>
      <c r="CC135" s="30" t="s">
        <v>2129</v>
      </c>
      <c r="CD135" s="30" t="s">
        <v>2129</v>
      </c>
      <c r="CE135" s="30" t="s">
        <v>3744</v>
      </c>
      <c r="CF135" s="30" t="s">
        <v>2129</v>
      </c>
      <c r="CG135" s="30" t="s">
        <v>2129</v>
      </c>
      <c r="CH135" s="30" t="s">
        <v>2129</v>
      </c>
      <c r="CI135" s="30" t="s">
        <v>2129</v>
      </c>
      <c r="CJ135" s="30" t="s">
        <v>2129</v>
      </c>
      <c r="CK135" s="30" t="s">
        <v>2129</v>
      </c>
      <c r="CL135" s="30" t="s">
        <v>2129</v>
      </c>
      <c r="CM135" s="30" t="s">
        <v>2129</v>
      </c>
      <c r="CN135" s="30" t="s">
        <v>2129</v>
      </c>
      <c r="CO135" s="30" t="s">
        <v>2129</v>
      </c>
      <c r="CP135" s="30" t="s">
        <v>2129</v>
      </c>
      <c r="CQ135" s="30" t="s">
        <v>2129</v>
      </c>
      <c r="CR135" s="30" t="s">
        <v>2129</v>
      </c>
      <c r="CS135" s="30"/>
      <c r="CT135" s="30" t="s">
        <v>2129</v>
      </c>
      <c r="CU135" s="30" t="s">
        <v>2129</v>
      </c>
      <c r="CV135" s="30" t="s">
        <v>3745</v>
      </c>
      <c r="CW135" s="30" t="s">
        <v>2129</v>
      </c>
      <c r="CX135" s="30" t="s">
        <v>2129</v>
      </c>
      <c r="CY135" s="30" t="s">
        <v>2129</v>
      </c>
      <c r="CZ135" s="30" t="s">
        <v>2129</v>
      </c>
      <c r="DA135" s="30" t="s">
        <v>2129</v>
      </c>
      <c r="DB135" s="30" t="s">
        <v>2129</v>
      </c>
      <c r="DC135" s="30" t="s">
        <v>2129</v>
      </c>
      <c r="DD135" s="30" t="s">
        <v>2129</v>
      </c>
      <c r="DE135" s="30" t="s">
        <v>2129</v>
      </c>
      <c r="DF135" s="30" t="s">
        <v>2129</v>
      </c>
      <c r="DG135" s="30" t="s">
        <v>2129</v>
      </c>
      <c r="DH135" s="30" t="s">
        <v>2129</v>
      </c>
      <c r="DI135" s="30" t="s">
        <v>2129</v>
      </c>
      <c r="DJ135" s="30" t="s">
        <v>2129</v>
      </c>
      <c r="DK135" s="30" t="s">
        <v>2129</v>
      </c>
      <c r="DL135" s="30" t="s">
        <v>2129</v>
      </c>
      <c r="DM135" s="30" t="s">
        <v>2129</v>
      </c>
      <c r="DN135" s="30" t="s">
        <v>2129</v>
      </c>
      <c r="DO135" s="30" t="s">
        <v>2129</v>
      </c>
      <c r="DP135" s="30" t="s">
        <v>2129</v>
      </c>
      <c r="DQ135" s="43" t="s">
        <v>2129</v>
      </c>
    </row>
    <row r="136" spans="1:121" x14ac:dyDescent="0.25">
      <c r="A136" s="39" t="s">
        <v>2135</v>
      </c>
      <c r="B136" s="29" t="s">
        <v>3746</v>
      </c>
      <c r="C136" s="29">
        <v>23029</v>
      </c>
      <c r="D136" s="29"/>
      <c r="E136" s="29" t="s">
        <v>2136</v>
      </c>
      <c r="F136" s="29" t="s">
        <v>10</v>
      </c>
      <c r="G136" s="29" t="s">
        <v>12</v>
      </c>
      <c r="H136" s="29" t="s">
        <v>12</v>
      </c>
      <c r="I136" s="29" t="s">
        <v>2127</v>
      </c>
      <c r="J136" s="29" t="s">
        <v>2198</v>
      </c>
      <c r="K136" s="29" t="s">
        <v>2129</v>
      </c>
      <c r="L136" s="29" t="s">
        <v>2199</v>
      </c>
      <c r="M136" s="29" t="s">
        <v>2130</v>
      </c>
      <c r="N136" s="29" t="s">
        <v>2129</v>
      </c>
      <c r="O136" s="29" t="s">
        <v>2131</v>
      </c>
      <c r="P136" s="29" t="s">
        <v>2198</v>
      </c>
      <c r="Q136" s="29" t="s">
        <v>2198</v>
      </c>
      <c r="R136" s="45">
        <v>46076.367361111108</v>
      </c>
      <c r="S136" s="45">
        <v>46076.367361111108</v>
      </c>
      <c r="T136" s="45">
        <v>46087.717361111114</v>
      </c>
      <c r="U136" s="45"/>
      <c r="V136" s="29" t="s">
        <v>2129</v>
      </c>
      <c r="W136" s="29" t="s">
        <v>2129</v>
      </c>
      <c r="X136" s="29" t="s">
        <v>2129</v>
      </c>
      <c r="Y136" s="29">
        <v>0</v>
      </c>
      <c r="Z136" s="29" t="s">
        <v>2129</v>
      </c>
      <c r="AA136" s="29" t="s">
        <v>2129</v>
      </c>
      <c r="AB136" s="29" t="s">
        <v>2129</v>
      </c>
      <c r="AC136" s="29" t="s">
        <v>2129</v>
      </c>
      <c r="AD136" s="29" t="s">
        <v>2198</v>
      </c>
      <c r="AE136" s="29" t="s">
        <v>2129</v>
      </c>
      <c r="AF136" s="29" t="s">
        <v>2129</v>
      </c>
      <c r="AG136" s="29" t="s">
        <v>2129</v>
      </c>
      <c r="AH136" s="29" t="s">
        <v>2129</v>
      </c>
      <c r="AI136" s="29" t="s">
        <v>2129</v>
      </c>
      <c r="AJ136" s="29" t="s">
        <v>2129</v>
      </c>
      <c r="AK136" s="29" t="s">
        <v>2129</v>
      </c>
      <c r="AL136" s="29" t="s">
        <v>2129</v>
      </c>
      <c r="AM136" s="29" t="s">
        <v>2129</v>
      </c>
      <c r="AN136" s="29" t="s">
        <v>2129</v>
      </c>
      <c r="AO136" s="29" t="s">
        <v>2129</v>
      </c>
      <c r="AP136" s="29" t="s">
        <v>2129</v>
      </c>
      <c r="AQ136" s="29" t="s">
        <v>2129</v>
      </c>
      <c r="AR136" s="29" t="s">
        <v>2129</v>
      </c>
      <c r="AS136" s="29" t="s">
        <v>2129</v>
      </c>
      <c r="AT136" s="29" t="s">
        <v>2129</v>
      </c>
      <c r="AU136" s="29" t="s">
        <v>2129</v>
      </c>
      <c r="AV136" s="29" t="s">
        <v>2129</v>
      </c>
      <c r="AW136" s="29" t="s">
        <v>2129</v>
      </c>
      <c r="AX136" s="29"/>
      <c r="AY136" s="29"/>
      <c r="AZ136" s="29" t="s">
        <v>2129</v>
      </c>
      <c r="BA136" s="29" t="s">
        <v>2129</v>
      </c>
      <c r="BB136" s="29"/>
      <c r="BC136" s="29"/>
      <c r="BD136" s="29" t="s">
        <v>2129</v>
      </c>
      <c r="BE136" s="29" t="s">
        <v>2129</v>
      </c>
      <c r="BF136" s="29" t="s">
        <v>2129</v>
      </c>
      <c r="BG136" s="29" t="s">
        <v>2129</v>
      </c>
      <c r="BH136" s="29" t="s">
        <v>2129</v>
      </c>
      <c r="BI136" s="29" t="s">
        <v>2129</v>
      </c>
      <c r="BJ136" s="29" t="s">
        <v>2129</v>
      </c>
      <c r="BK136" s="29" t="s">
        <v>2129</v>
      </c>
      <c r="BL136" s="29" t="s">
        <v>2129</v>
      </c>
      <c r="BM136" s="29" t="s">
        <v>2129</v>
      </c>
      <c r="BN136" s="29" t="s">
        <v>2129</v>
      </c>
      <c r="BO136" s="29" t="s">
        <v>2129</v>
      </c>
      <c r="BP136" s="29" t="s">
        <v>2129</v>
      </c>
      <c r="BQ136" s="29" t="s">
        <v>2129</v>
      </c>
      <c r="BR136" s="29" t="s">
        <v>2129</v>
      </c>
      <c r="BS136" s="29" t="s">
        <v>2129</v>
      </c>
      <c r="BT136" s="29" t="s">
        <v>2129</v>
      </c>
      <c r="BU136" s="29" t="s">
        <v>2129</v>
      </c>
      <c r="BV136" s="29" t="s">
        <v>2129</v>
      </c>
      <c r="BW136" s="29" t="s">
        <v>2129</v>
      </c>
      <c r="BX136" s="29" t="s">
        <v>2129</v>
      </c>
      <c r="BY136" s="29" t="s">
        <v>2129</v>
      </c>
      <c r="BZ136" s="29" t="s">
        <v>2129</v>
      </c>
      <c r="CA136" s="29" t="s">
        <v>2129</v>
      </c>
      <c r="CB136" s="29" t="s">
        <v>2129</v>
      </c>
      <c r="CC136" s="29" t="s">
        <v>2129</v>
      </c>
      <c r="CD136" s="29" t="s">
        <v>2129</v>
      </c>
      <c r="CE136" s="29" t="s">
        <v>3747</v>
      </c>
      <c r="CF136" s="29" t="s">
        <v>3738</v>
      </c>
      <c r="CG136" s="29" t="s">
        <v>2129</v>
      </c>
      <c r="CH136" s="29" t="s">
        <v>2129</v>
      </c>
      <c r="CI136" s="29" t="s">
        <v>2129</v>
      </c>
      <c r="CJ136" s="29" t="s">
        <v>2129</v>
      </c>
      <c r="CK136" s="29" t="s">
        <v>2129</v>
      </c>
      <c r="CL136" s="29" t="s">
        <v>2129</v>
      </c>
      <c r="CM136" s="29" t="s">
        <v>2129</v>
      </c>
      <c r="CN136" s="29" t="s">
        <v>2129</v>
      </c>
      <c r="CO136" s="29" t="s">
        <v>2129</v>
      </c>
      <c r="CP136" s="29" t="s">
        <v>2129</v>
      </c>
      <c r="CQ136" s="29" t="s">
        <v>2129</v>
      </c>
      <c r="CR136" s="29" t="s">
        <v>2129</v>
      </c>
      <c r="CS136" s="29"/>
      <c r="CT136" s="29" t="s">
        <v>2129</v>
      </c>
      <c r="CU136" s="29" t="s">
        <v>2129</v>
      </c>
      <c r="CV136" s="29" t="s">
        <v>2129</v>
      </c>
      <c r="CW136" s="29" t="s">
        <v>2129</v>
      </c>
      <c r="CX136" s="29" t="s">
        <v>2129</v>
      </c>
      <c r="CY136" s="29" t="s">
        <v>2129</v>
      </c>
      <c r="CZ136" s="29" t="s">
        <v>2129</v>
      </c>
      <c r="DA136" s="29" t="s">
        <v>2129</v>
      </c>
      <c r="DB136" s="29" t="s">
        <v>2129</v>
      </c>
      <c r="DC136" s="29" t="s">
        <v>2129</v>
      </c>
      <c r="DD136" s="29" t="s">
        <v>2129</v>
      </c>
      <c r="DE136" s="29" t="s">
        <v>2129</v>
      </c>
      <c r="DF136" s="29" t="s">
        <v>2129</v>
      </c>
      <c r="DG136" s="29" t="s">
        <v>2129</v>
      </c>
      <c r="DH136" s="29" t="s">
        <v>2129</v>
      </c>
      <c r="DI136" s="29" t="s">
        <v>2129</v>
      </c>
      <c r="DJ136" s="29" t="s">
        <v>2129</v>
      </c>
      <c r="DK136" s="29" t="s">
        <v>2129</v>
      </c>
      <c r="DL136" s="29" t="s">
        <v>2129</v>
      </c>
      <c r="DM136" s="29" t="s">
        <v>2129</v>
      </c>
      <c r="DN136" s="29" t="s">
        <v>2129</v>
      </c>
      <c r="DO136" s="29" t="s">
        <v>2129</v>
      </c>
      <c r="DP136" s="29" t="s">
        <v>2129</v>
      </c>
      <c r="DQ136" s="42" t="s">
        <v>2129</v>
      </c>
    </row>
    <row r="137" spans="1:121" x14ac:dyDescent="0.25">
      <c r="A137" s="36" t="s">
        <v>2135</v>
      </c>
      <c r="B137" s="30" t="s">
        <v>3748</v>
      </c>
      <c r="C137" s="30">
        <v>23028</v>
      </c>
      <c r="D137" s="30"/>
      <c r="E137" s="30" t="s">
        <v>2136</v>
      </c>
      <c r="F137" s="30" t="s">
        <v>10</v>
      </c>
      <c r="G137" s="30" t="s">
        <v>12</v>
      </c>
      <c r="H137" s="30" t="s">
        <v>12</v>
      </c>
      <c r="I137" s="30" t="s">
        <v>2127</v>
      </c>
      <c r="J137" s="30" t="s">
        <v>2198</v>
      </c>
      <c r="K137" s="30" t="s">
        <v>2129</v>
      </c>
      <c r="L137" s="30" t="s">
        <v>2199</v>
      </c>
      <c r="M137" s="30" t="s">
        <v>2130</v>
      </c>
      <c r="N137" s="30" t="s">
        <v>2129</v>
      </c>
      <c r="O137" s="30" t="s">
        <v>2200</v>
      </c>
      <c r="P137" s="30" t="s">
        <v>2198</v>
      </c>
      <c r="Q137" s="30" t="s">
        <v>2198</v>
      </c>
      <c r="R137" s="46">
        <v>46076.367361111108</v>
      </c>
      <c r="S137" s="46">
        <v>46076.367361111108</v>
      </c>
      <c r="T137" s="46">
        <v>46087.717361111114</v>
      </c>
      <c r="U137" s="46"/>
      <c r="V137" s="30" t="s">
        <v>2129</v>
      </c>
      <c r="W137" s="30" t="s">
        <v>2129</v>
      </c>
      <c r="X137" s="30" t="s">
        <v>2129</v>
      </c>
      <c r="Y137" s="30">
        <v>0</v>
      </c>
      <c r="Z137" s="30" t="s">
        <v>2129</v>
      </c>
      <c r="AA137" s="30" t="s">
        <v>2129</v>
      </c>
      <c r="AB137" s="30" t="s">
        <v>2129</v>
      </c>
      <c r="AC137" s="30" t="s">
        <v>2129</v>
      </c>
      <c r="AD137" s="30" t="s">
        <v>2198</v>
      </c>
      <c r="AE137" s="30" t="s">
        <v>2129</v>
      </c>
      <c r="AF137" s="30" t="s">
        <v>2129</v>
      </c>
      <c r="AG137" s="30" t="s">
        <v>2129</v>
      </c>
      <c r="AH137" s="30" t="s">
        <v>2129</v>
      </c>
      <c r="AI137" s="30" t="s">
        <v>2129</v>
      </c>
      <c r="AJ137" s="30" t="s">
        <v>2129</v>
      </c>
      <c r="AK137" s="30" t="s">
        <v>2129</v>
      </c>
      <c r="AL137" s="30" t="s">
        <v>2129</v>
      </c>
      <c r="AM137" s="30" t="s">
        <v>2129</v>
      </c>
      <c r="AN137" s="30" t="s">
        <v>2129</v>
      </c>
      <c r="AO137" s="30" t="s">
        <v>2129</v>
      </c>
      <c r="AP137" s="30" t="s">
        <v>2129</v>
      </c>
      <c r="AQ137" s="30" t="s">
        <v>2129</v>
      </c>
      <c r="AR137" s="30" t="s">
        <v>2129</v>
      </c>
      <c r="AS137" s="30" t="s">
        <v>2129</v>
      </c>
      <c r="AT137" s="30" t="s">
        <v>2129</v>
      </c>
      <c r="AU137" s="30" t="s">
        <v>2129</v>
      </c>
      <c r="AV137" s="30" t="s">
        <v>2129</v>
      </c>
      <c r="AW137" s="30" t="s">
        <v>2129</v>
      </c>
      <c r="AX137" s="30"/>
      <c r="AY137" s="30"/>
      <c r="AZ137" s="30" t="s">
        <v>2129</v>
      </c>
      <c r="BA137" s="30" t="s">
        <v>2129</v>
      </c>
      <c r="BB137" s="30"/>
      <c r="BC137" s="30"/>
      <c r="BD137" s="30" t="s">
        <v>2129</v>
      </c>
      <c r="BE137" s="30" t="s">
        <v>2129</v>
      </c>
      <c r="BF137" s="30" t="s">
        <v>2129</v>
      </c>
      <c r="BG137" s="30" t="s">
        <v>2129</v>
      </c>
      <c r="BH137" s="30" t="s">
        <v>2129</v>
      </c>
      <c r="BI137" s="30" t="s">
        <v>2129</v>
      </c>
      <c r="BJ137" s="30" t="s">
        <v>2129</v>
      </c>
      <c r="BK137" s="30" t="s">
        <v>2129</v>
      </c>
      <c r="BL137" s="30" t="s">
        <v>2129</v>
      </c>
      <c r="BM137" s="30" t="s">
        <v>2129</v>
      </c>
      <c r="BN137" s="30" t="s">
        <v>2129</v>
      </c>
      <c r="BO137" s="30" t="s">
        <v>2129</v>
      </c>
      <c r="BP137" s="30" t="s">
        <v>2129</v>
      </c>
      <c r="BQ137" s="30" t="s">
        <v>2129</v>
      </c>
      <c r="BR137" s="30" t="s">
        <v>2129</v>
      </c>
      <c r="BS137" s="30" t="s">
        <v>2129</v>
      </c>
      <c r="BT137" s="30" t="s">
        <v>2129</v>
      </c>
      <c r="BU137" s="30" t="s">
        <v>2129</v>
      </c>
      <c r="BV137" s="30" t="s">
        <v>2129</v>
      </c>
      <c r="BW137" s="30" t="s">
        <v>2129</v>
      </c>
      <c r="BX137" s="30" t="s">
        <v>2129</v>
      </c>
      <c r="BY137" s="30" t="s">
        <v>2129</v>
      </c>
      <c r="BZ137" s="30" t="s">
        <v>2129</v>
      </c>
      <c r="CA137" s="30" t="s">
        <v>2129</v>
      </c>
      <c r="CB137" s="30" t="s">
        <v>2129</v>
      </c>
      <c r="CC137" s="30" t="s">
        <v>2129</v>
      </c>
      <c r="CD137" s="30" t="s">
        <v>2129</v>
      </c>
      <c r="CE137" s="30" t="s">
        <v>3749</v>
      </c>
      <c r="CF137" s="30" t="s">
        <v>3738</v>
      </c>
      <c r="CG137" s="30" t="s">
        <v>2129</v>
      </c>
      <c r="CH137" s="30" t="s">
        <v>2129</v>
      </c>
      <c r="CI137" s="30" t="s">
        <v>2129</v>
      </c>
      <c r="CJ137" s="30" t="s">
        <v>2129</v>
      </c>
      <c r="CK137" s="30" t="s">
        <v>2129</v>
      </c>
      <c r="CL137" s="30" t="s">
        <v>2129</v>
      </c>
      <c r="CM137" s="30" t="s">
        <v>2129</v>
      </c>
      <c r="CN137" s="30" t="s">
        <v>2129</v>
      </c>
      <c r="CO137" s="30" t="s">
        <v>2129</v>
      </c>
      <c r="CP137" s="30" t="s">
        <v>2129</v>
      </c>
      <c r="CQ137" s="30" t="s">
        <v>2129</v>
      </c>
      <c r="CR137" s="30" t="s">
        <v>2129</v>
      </c>
      <c r="CS137" s="30"/>
      <c r="CT137" s="30" t="s">
        <v>2129</v>
      </c>
      <c r="CU137" s="30" t="s">
        <v>2129</v>
      </c>
      <c r="CV137" s="30" t="s">
        <v>2129</v>
      </c>
      <c r="CW137" s="30" t="s">
        <v>2129</v>
      </c>
      <c r="CX137" s="30" t="s">
        <v>2129</v>
      </c>
      <c r="CY137" s="30" t="s">
        <v>2129</v>
      </c>
      <c r="CZ137" s="30" t="s">
        <v>2129</v>
      </c>
      <c r="DA137" s="30" t="s">
        <v>2129</v>
      </c>
      <c r="DB137" s="30" t="s">
        <v>2129</v>
      </c>
      <c r="DC137" s="30" t="s">
        <v>2129</v>
      </c>
      <c r="DD137" s="30" t="s">
        <v>2129</v>
      </c>
      <c r="DE137" s="30" t="s">
        <v>2129</v>
      </c>
      <c r="DF137" s="30" t="s">
        <v>2129</v>
      </c>
      <c r="DG137" s="30" t="s">
        <v>2129</v>
      </c>
      <c r="DH137" s="30" t="s">
        <v>2129</v>
      </c>
      <c r="DI137" s="30" t="s">
        <v>2129</v>
      </c>
      <c r="DJ137" s="30" t="s">
        <v>2129</v>
      </c>
      <c r="DK137" s="30" t="s">
        <v>2129</v>
      </c>
      <c r="DL137" s="30" t="s">
        <v>2129</v>
      </c>
      <c r="DM137" s="30" t="s">
        <v>2129</v>
      </c>
      <c r="DN137" s="30" t="s">
        <v>2129</v>
      </c>
      <c r="DO137" s="30" t="s">
        <v>2129</v>
      </c>
      <c r="DP137" s="30" t="s">
        <v>2129</v>
      </c>
      <c r="DQ137" s="43" t="s">
        <v>2129</v>
      </c>
    </row>
    <row r="138" spans="1:121" x14ac:dyDescent="0.25">
      <c r="A138" s="39" t="s">
        <v>2796</v>
      </c>
      <c r="B138" s="29" t="s">
        <v>2790</v>
      </c>
      <c r="C138" s="29">
        <v>22980</v>
      </c>
      <c r="D138" s="29"/>
      <c r="E138" s="29" t="s">
        <v>14</v>
      </c>
      <c r="F138" s="29" t="s">
        <v>27</v>
      </c>
      <c r="G138" s="29" t="s">
        <v>12</v>
      </c>
      <c r="H138" s="29" t="s">
        <v>12</v>
      </c>
      <c r="I138" s="29" t="s">
        <v>2127</v>
      </c>
      <c r="J138" s="29" t="s">
        <v>2198</v>
      </c>
      <c r="K138" s="29" t="s">
        <v>2129</v>
      </c>
      <c r="L138" s="29" t="s">
        <v>2199</v>
      </c>
      <c r="M138" s="29" t="s">
        <v>2130</v>
      </c>
      <c r="N138" s="29" t="s">
        <v>2129</v>
      </c>
      <c r="O138" s="29" t="s">
        <v>2150</v>
      </c>
      <c r="P138" s="29" t="s">
        <v>2198</v>
      </c>
      <c r="Q138" s="29" t="s">
        <v>2198</v>
      </c>
      <c r="R138" s="45">
        <v>46071.40347222222</v>
      </c>
      <c r="S138" s="45">
        <v>46085.463194444441</v>
      </c>
      <c r="T138" s="45">
        <v>46087.717361111114</v>
      </c>
      <c r="U138" s="45"/>
      <c r="V138" s="29" t="s">
        <v>2129</v>
      </c>
      <c r="W138" s="29" t="s">
        <v>2129</v>
      </c>
      <c r="X138" s="29" t="s">
        <v>2129</v>
      </c>
      <c r="Y138" s="29">
        <v>0</v>
      </c>
      <c r="Z138" s="29" t="s">
        <v>2129</v>
      </c>
      <c r="AA138" s="29" t="s">
        <v>2129</v>
      </c>
      <c r="AB138" s="29" t="s">
        <v>3750</v>
      </c>
      <c r="AC138" s="29" t="s">
        <v>2129</v>
      </c>
      <c r="AD138" s="29" t="s">
        <v>2198</v>
      </c>
      <c r="AE138" s="29" t="s">
        <v>2129</v>
      </c>
      <c r="AF138" s="29" t="s">
        <v>2129</v>
      </c>
      <c r="AG138" s="29" t="s">
        <v>2129</v>
      </c>
      <c r="AH138" s="29" t="s">
        <v>2129</v>
      </c>
      <c r="AI138" s="29" t="s">
        <v>3751</v>
      </c>
      <c r="AJ138" s="29" t="s">
        <v>2129</v>
      </c>
      <c r="AK138" s="29" t="s">
        <v>2129</v>
      </c>
      <c r="AL138" s="29" t="s">
        <v>2129</v>
      </c>
      <c r="AM138" s="29" t="s">
        <v>2129</v>
      </c>
      <c r="AN138" s="29" t="s">
        <v>2129</v>
      </c>
      <c r="AO138" s="29" t="s">
        <v>2129</v>
      </c>
      <c r="AP138" s="29" t="s">
        <v>2129</v>
      </c>
      <c r="AQ138" s="29" t="s">
        <v>2129</v>
      </c>
      <c r="AR138" s="29" t="s">
        <v>2129</v>
      </c>
      <c r="AS138" s="29" t="s">
        <v>2129</v>
      </c>
      <c r="AT138" s="29" t="s">
        <v>2129</v>
      </c>
      <c r="AU138" s="29" t="s">
        <v>2129</v>
      </c>
      <c r="AV138" s="29" t="s">
        <v>2129</v>
      </c>
      <c r="AW138" s="29" t="s">
        <v>2129</v>
      </c>
      <c r="AX138" s="29">
        <v>0</v>
      </c>
      <c r="AY138" s="29">
        <v>7200</v>
      </c>
      <c r="AZ138" s="29" t="s">
        <v>2129</v>
      </c>
      <c r="BA138" s="29" t="s">
        <v>2129</v>
      </c>
      <c r="BB138" s="29">
        <v>0</v>
      </c>
      <c r="BC138" s="29">
        <v>7200</v>
      </c>
      <c r="BD138" s="29" t="s">
        <v>2129</v>
      </c>
      <c r="BE138" s="29" t="s">
        <v>2129</v>
      </c>
      <c r="BF138" s="29" t="s">
        <v>2129</v>
      </c>
      <c r="BG138" s="29" t="s">
        <v>2129</v>
      </c>
      <c r="BH138" s="29" t="s">
        <v>2129</v>
      </c>
      <c r="BI138" s="29" t="s">
        <v>2129</v>
      </c>
      <c r="BJ138" s="29" t="s">
        <v>2129</v>
      </c>
      <c r="BK138" s="29" t="s">
        <v>2129</v>
      </c>
      <c r="BL138" s="29" t="s">
        <v>2129</v>
      </c>
      <c r="BM138" s="29" t="s">
        <v>2129</v>
      </c>
      <c r="BN138" s="29" t="s">
        <v>2129</v>
      </c>
      <c r="BO138" s="29" t="s">
        <v>2129</v>
      </c>
      <c r="BP138" s="29" t="s">
        <v>2129</v>
      </c>
      <c r="BQ138" s="29" t="s">
        <v>2129</v>
      </c>
      <c r="BR138" s="29" t="s">
        <v>2129</v>
      </c>
      <c r="BS138" s="29" t="s">
        <v>2129</v>
      </c>
      <c r="BT138" s="29" t="s">
        <v>2129</v>
      </c>
      <c r="BU138" s="29" t="s">
        <v>2129</v>
      </c>
      <c r="BV138" s="29" t="s">
        <v>2129</v>
      </c>
      <c r="BW138" s="29" t="s">
        <v>2129</v>
      </c>
      <c r="BX138" s="29" t="s">
        <v>2129</v>
      </c>
      <c r="BY138" s="29" t="s">
        <v>2129</v>
      </c>
      <c r="BZ138" s="29" t="s">
        <v>2129</v>
      </c>
      <c r="CA138" s="29" t="s">
        <v>2129</v>
      </c>
      <c r="CB138" s="29" t="s">
        <v>2129</v>
      </c>
      <c r="CC138" s="29" t="s">
        <v>2129</v>
      </c>
      <c r="CD138" s="29" t="s">
        <v>2129</v>
      </c>
      <c r="CE138" s="29" t="s">
        <v>3752</v>
      </c>
      <c r="CF138" s="29" t="s">
        <v>3738</v>
      </c>
      <c r="CG138" s="29" t="s">
        <v>2129</v>
      </c>
      <c r="CH138" s="29" t="s">
        <v>2129</v>
      </c>
      <c r="CI138" s="29" t="s">
        <v>2129</v>
      </c>
      <c r="CJ138" s="29" t="s">
        <v>2129</v>
      </c>
      <c r="CK138" s="29" t="s">
        <v>2129</v>
      </c>
      <c r="CL138" s="29" t="s">
        <v>2129</v>
      </c>
      <c r="CM138" s="29" t="s">
        <v>2129</v>
      </c>
      <c r="CN138" s="29" t="s">
        <v>2129</v>
      </c>
      <c r="CO138" s="29" t="s">
        <v>2129</v>
      </c>
      <c r="CP138" s="29" t="s">
        <v>2129</v>
      </c>
      <c r="CQ138" s="29" t="s">
        <v>2129</v>
      </c>
      <c r="CR138" s="29" t="s">
        <v>2129</v>
      </c>
      <c r="CS138" s="29">
        <v>30</v>
      </c>
      <c r="CT138" s="29" t="s">
        <v>2129</v>
      </c>
      <c r="CU138" s="29" t="s">
        <v>2129</v>
      </c>
      <c r="CV138" s="29" t="s">
        <v>2129</v>
      </c>
      <c r="CW138" s="29" t="s">
        <v>2129</v>
      </c>
      <c r="CX138" s="29" t="s">
        <v>2129</v>
      </c>
      <c r="CY138" s="29" t="s">
        <v>2129</v>
      </c>
      <c r="CZ138" s="29" t="s">
        <v>2129</v>
      </c>
      <c r="DA138" s="29" t="s">
        <v>2129</v>
      </c>
      <c r="DB138" s="29" t="s">
        <v>2129</v>
      </c>
      <c r="DC138" s="29" t="s">
        <v>2129</v>
      </c>
      <c r="DD138" s="29" t="s">
        <v>2129</v>
      </c>
      <c r="DE138" s="29" t="s">
        <v>2129</v>
      </c>
      <c r="DF138" s="29" t="s">
        <v>2129</v>
      </c>
      <c r="DG138" s="29" t="s">
        <v>2129</v>
      </c>
      <c r="DH138" s="29" t="s">
        <v>2129</v>
      </c>
      <c r="DI138" s="29" t="s">
        <v>2129</v>
      </c>
      <c r="DJ138" s="29" t="s">
        <v>2129</v>
      </c>
      <c r="DK138" s="29" t="s">
        <v>2129</v>
      </c>
      <c r="DL138" s="29" t="s">
        <v>2129</v>
      </c>
      <c r="DM138" s="29" t="s">
        <v>2129</v>
      </c>
      <c r="DN138" s="29" t="s">
        <v>2129</v>
      </c>
      <c r="DO138" s="29" t="s">
        <v>2129</v>
      </c>
      <c r="DP138" s="29" t="s">
        <v>2129</v>
      </c>
      <c r="DQ138" s="42" t="s">
        <v>2129</v>
      </c>
    </row>
    <row r="139" spans="1:121" x14ac:dyDescent="0.25">
      <c r="A139" s="36" t="s">
        <v>3036</v>
      </c>
      <c r="B139" s="30" t="s">
        <v>3035</v>
      </c>
      <c r="C139" s="30">
        <v>22966</v>
      </c>
      <c r="D139" s="30"/>
      <c r="E139" s="30" t="s">
        <v>14</v>
      </c>
      <c r="F139" s="30" t="s">
        <v>16</v>
      </c>
      <c r="G139" s="30" t="s">
        <v>12</v>
      </c>
      <c r="H139" s="30" t="s">
        <v>12</v>
      </c>
      <c r="I139" s="30" t="s">
        <v>2127</v>
      </c>
      <c r="J139" s="30" t="s">
        <v>2198</v>
      </c>
      <c r="K139" s="30" t="s">
        <v>2129</v>
      </c>
      <c r="L139" s="30" t="s">
        <v>2199</v>
      </c>
      <c r="M139" s="30" t="s">
        <v>2130</v>
      </c>
      <c r="N139" s="30" t="s">
        <v>16</v>
      </c>
      <c r="O139" s="30" t="s">
        <v>2150</v>
      </c>
      <c r="P139" s="30" t="s">
        <v>2198</v>
      </c>
      <c r="Q139" s="30" t="s">
        <v>2198</v>
      </c>
      <c r="R139" s="46">
        <v>46063.588888888888</v>
      </c>
      <c r="S139" s="46">
        <v>46086.678472222222</v>
      </c>
      <c r="T139" s="46">
        <v>46087.717361111114</v>
      </c>
      <c r="U139" s="46">
        <v>46086.678472222222</v>
      </c>
      <c r="V139" s="30" t="s">
        <v>2129</v>
      </c>
      <c r="W139" s="30" t="s">
        <v>2129</v>
      </c>
      <c r="X139" s="30" t="s">
        <v>2129</v>
      </c>
      <c r="Y139" s="30">
        <v>0</v>
      </c>
      <c r="Z139" s="30" t="s">
        <v>2129</v>
      </c>
      <c r="AA139" s="30" t="s">
        <v>2129</v>
      </c>
      <c r="AB139" s="30" t="s">
        <v>3753</v>
      </c>
      <c r="AC139" s="30" t="s">
        <v>2129</v>
      </c>
      <c r="AD139" s="30" t="s">
        <v>2200</v>
      </c>
      <c r="AE139" s="30" t="s">
        <v>2198</v>
      </c>
      <c r="AF139" s="30" t="s">
        <v>2129</v>
      </c>
      <c r="AG139" s="30" t="s">
        <v>2129</v>
      </c>
      <c r="AH139" s="30" t="s">
        <v>2129</v>
      </c>
      <c r="AI139" s="30" t="s">
        <v>3754</v>
      </c>
      <c r="AJ139" s="30" t="s">
        <v>2129</v>
      </c>
      <c r="AK139" s="30" t="s">
        <v>2129</v>
      </c>
      <c r="AL139" s="30" t="s">
        <v>2129</v>
      </c>
      <c r="AM139" s="30" t="s">
        <v>2129</v>
      </c>
      <c r="AN139" s="30" t="s">
        <v>2129</v>
      </c>
      <c r="AO139" s="30" t="s">
        <v>2129</v>
      </c>
      <c r="AP139" s="30" t="s">
        <v>2129</v>
      </c>
      <c r="AQ139" s="30" t="s">
        <v>2129</v>
      </c>
      <c r="AR139" s="30" t="s">
        <v>2129</v>
      </c>
      <c r="AS139" s="30" t="s">
        <v>2129</v>
      </c>
      <c r="AT139" s="30" t="s">
        <v>2129</v>
      </c>
      <c r="AU139" s="30" t="s">
        <v>2129</v>
      </c>
      <c r="AV139" s="30" t="s">
        <v>2129</v>
      </c>
      <c r="AW139" s="30" t="s">
        <v>2129</v>
      </c>
      <c r="AX139" s="30">
        <v>0</v>
      </c>
      <c r="AY139" s="30">
        <v>7200</v>
      </c>
      <c r="AZ139" s="30" t="s">
        <v>2129</v>
      </c>
      <c r="BA139" s="30" t="s">
        <v>2129</v>
      </c>
      <c r="BB139" s="30">
        <v>0</v>
      </c>
      <c r="BC139" s="30">
        <v>7200</v>
      </c>
      <c r="BD139" s="30" t="s">
        <v>2129</v>
      </c>
      <c r="BE139" s="30" t="s">
        <v>2129</v>
      </c>
      <c r="BF139" s="30" t="s">
        <v>2129</v>
      </c>
      <c r="BG139" s="30" t="s">
        <v>2129</v>
      </c>
      <c r="BH139" s="30" t="s">
        <v>2129</v>
      </c>
      <c r="BI139" s="30" t="s">
        <v>2129</v>
      </c>
      <c r="BJ139" s="30" t="s">
        <v>2129</v>
      </c>
      <c r="BK139" s="30" t="s">
        <v>2129</v>
      </c>
      <c r="BL139" s="30" t="s">
        <v>2129</v>
      </c>
      <c r="BM139" s="30" t="s">
        <v>2129</v>
      </c>
      <c r="BN139" s="30" t="s">
        <v>2129</v>
      </c>
      <c r="BO139" s="30" t="s">
        <v>2129</v>
      </c>
      <c r="BP139" s="30" t="s">
        <v>2129</v>
      </c>
      <c r="BQ139" s="30" t="s">
        <v>2129</v>
      </c>
      <c r="BR139" s="30" t="s">
        <v>2129</v>
      </c>
      <c r="BS139" s="30" t="s">
        <v>2129</v>
      </c>
      <c r="BT139" s="30" t="s">
        <v>2129</v>
      </c>
      <c r="BU139" s="30" t="s">
        <v>2129</v>
      </c>
      <c r="BV139" s="30" t="s">
        <v>2129</v>
      </c>
      <c r="BW139" s="30" t="s">
        <v>2129</v>
      </c>
      <c r="BX139" s="30" t="s">
        <v>2129</v>
      </c>
      <c r="BY139" s="30" t="s">
        <v>2129</v>
      </c>
      <c r="BZ139" s="30" t="s">
        <v>2129</v>
      </c>
      <c r="CA139" s="30" t="s">
        <v>2129</v>
      </c>
      <c r="CB139" s="30" t="s">
        <v>2129</v>
      </c>
      <c r="CC139" s="30" t="s">
        <v>2129</v>
      </c>
      <c r="CD139" s="30" t="s">
        <v>2129</v>
      </c>
      <c r="CE139" s="30" t="s">
        <v>3755</v>
      </c>
      <c r="CF139" s="30" t="s">
        <v>3738</v>
      </c>
      <c r="CG139" s="30" t="s">
        <v>2129</v>
      </c>
      <c r="CH139" s="30" t="s">
        <v>2129</v>
      </c>
      <c r="CI139" s="30" t="s">
        <v>2129</v>
      </c>
      <c r="CJ139" s="30" t="s">
        <v>2129</v>
      </c>
      <c r="CK139" s="30" t="s">
        <v>2129</v>
      </c>
      <c r="CL139" s="30" t="s">
        <v>2129</v>
      </c>
      <c r="CM139" s="30" t="s">
        <v>2129</v>
      </c>
      <c r="CN139" s="30" t="s">
        <v>2129</v>
      </c>
      <c r="CO139" s="30" t="s">
        <v>2129</v>
      </c>
      <c r="CP139" s="30" t="s">
        <v>2129</v>
      </c>
      <c r="CQ139" s="30" t="s">
        <v>2129</v>
      </c>
      <c r="CR139" s="30" t="s">
        <v>2129</v>
      </c>
      <c r="CS139" s="30">
        <v>30</v>
      </c>
      <c r="CT139" s="30" t="s">
        <v>2129</v>
      </c>
      <c r="CU139" s="30" t="s">
        <v>2129</v>
      </c>
      <c r="CV139" s="30" t="s">
        <v>3756</v>
      </c>
      <c r="CW139" s="30" t="s">
        <v>2129</v>
      </c>
      <c r="CX139" s="30" t="s">
        <v>2129</v>
      </c>
      <c r="CY139" s="30" t="s">
        <v>2129</v>
      </c>
      <c r="CZ139" s="30" t="s">
        <v>2129</v>
      </c>
      <c r="DA139" s="30" t="s">
        <v>2129</v>
      </c>
      <c r="DB139" s="30" t="s">
        <v>2129</v>
      </c>
      <c r="DC139" s="30" t="s">
        <v>2129</v>
      </c>
      <c r="DD139" s="30" t="s">
        <v>2129</v>
      </c>
      <c r="DE139" s="30" t="s">
        <v>2129</v>
      </c>
      <c r="DF139" s="30" t="s">
        <v>2129</v>
      </c>
      <c r="DG139" s="30" t="s">
        <v>2129</v>
      </c>
      <c r="DH139" s="30" t="s">
        <v>2129</v>
      </c>
      <c r="DI139" s="30" t="s">
        <v>2129</v>
      </c>
      <c r="DJ139" s="30" t="s">
        <v>2129</v>
      </c>
      <c r="DK139" s="30" t="s">
        <v>2129</v>
      </c>
      <c r="DL139" s="30" t="s">
        <v>2129</v>
      </c>
      <c r="DM139" s="30" t="s">
        <v>2129</v>
      </c>
      <c r="DN139" s="30" t="s">
        <v>2129</v>
      </c>
      <c r="DO139" s="30" t="s">
        <v>2129</v>
      </c>
      <c r="DP139" s="30" t="s">
        <v>2129</v>
      </c>
      <c r="DQ139" s="43" t="s">
        <v>2129</v>
      </c>
    </row>
    <row r="140" spans="1:121" x14ac:dyDescent="0.25">
      <c r="A140" s="39" t="s">
        <v>2135</v>
      </c>
      <c r="B140" s="29" t="s">
        <v>2982</v>
      </c>
      <c r="C140" s="29">
        <v>22938</v>
      </c>
      <c r="D140" s="29"/>
      <c r="E140" s="29" t="s">
        <v>2136</v>
      </c>
      <c r="F140" s="29" t="s">
        <v>16</v>
      </c>
      <c r="G140" s="29" t="s">
        <v>12</v>
      </c>
      <c r="H140" s="29" t="s">
        <v>12</v>
      </c>
      <c r="I140" s="29" t="s">
        <v>2127</v>
      </c>
      <c r="J140" s="29" t="s">
        <v>2198</v>
      </c>
      <c r="K140" s="29" t="s">
        <v>2129</v>
      </c>
      <c r="L140" s="29" t="s">
        <v>2199</v>
      </c>
      <c r="M140" s="29" t="s">
        <v>2130</v>
      </c>
      <c r="N140" s="29" t="s">
        <v>16</v>
      </c>
      <c r="O140" s="29" t="s">
        <v>2131</v>
      </c>
      <c r="P140" s="29" t="s">
        <v>2198</v>
      </c>
      <c r="Q140" s="29" t="s">
        <v>2198</v>
      </c>
      <c r="R140" s="45">
        <v>46059.550694444442</v>
      </c>
      <c r="S140" s="45">
        <v>46076.368055555555</v>
      </c>
      <c r="T140" s="45">
        <v>46087.717361111114</v>
      </c>
      <c r="U140" s="45">
        <v>46076.368055555555</v>
      </c>
      <c r="V140" s="29" t="s">
        <v>2129</v>
      </c>
      <c r="W140" s="29" t="s">
        <v>2129</v>
      </c>
      <c r="X140" s="29" t="s">
        <v>2129</v>
      </c>
      <c r="Y140" s="29">
        <v>0</v>
      </c>
      <c r="Z140" s="29" t="s">
        <v>2129</v>
      </c>
      <c r="AA140" s="29" t="s">
        <v>2129</v>
      </c>
      <c r="AB140" s="29" t="s">
        <v>2129</v>
      </c>
      <c r="AC140" s="29" t="s">
        <v>2129</v>
      </c>
      <c r="AD140" s="29" t="s">
        <v>2198</v>
      </c>
      <c r="AE140" s="29" t="s">
        <v>2129</v>
      </c>
      <c r="AF140" s="29" t="s">
        <v>2129</v>
      </c>
      <c r="AG140" s="29" t="s">
        <v>2129</v>
      </c>
      <c r="AH140" s="29" t="s">
        <v>2129</v>
      </c>
      <c r="AI140" s="29" t="s">
        <v>2129</v>
      </c>
      <c r="AJ140" s="29" t="s">
        <v>2129</v>
      </c>
      <c r="AK140" s="29" t="s">
        <v>2129</v>
      </c>
      <c r="AL140" s="29" t="s">
        <v>2129</v>
      </c>
      <c r="AM140" s="29" t="s">
        <v>2129</v>
      </c>
      <c r="AN140" s="29" t="s">
        <v>2129</v>
      </c>
      <c r="AO140" s="29" t="s">
        <v>2129</v>
      </c>
      <c r="AP140" s="29" t="s">
        <v>2129</v>
      </c>
      <c r="AQ140" s="29" t="s">
        <v>2129</v>
      </c>
      <c r="AR140" s="29" t="s">
        <v>2129</v>
      </c>
      <c r="AS140" s="29" t="s">
        <v>2129</v>
      </c>
      <c r="AT140" s="29" t="s">
        <v>2129</v>
      </c>
      <c r="AU140" s="29" t="s">
        <v>2129</v>
      </c>
      <c r="AV140" s="29" t="s">
        <v>2129</v>
      </c>
      <c r="AW140" s="29" t="s">
        <v>2129</v>
      </c>
      <c r="AX140" s="29"/>
      <c r="AY140" s="29"/>
      <c r="AZ140" s="29" t="s">
        <v>2129</v>
      </c>
      <c r="BA140" s="29" t="s">
        <v>2129</v>
      </c>
      <c r="BB140" s="29"/>
      <c r="BC140" s="29"/>
      <c r="BD140" s="29" t="s">
        <v>2129</v>
      </c>
      <c r="BE140" s="29" t="s">
        <v>2129</v>
      </c>
      <c r="BF140" s="29" t="s">
        <v>2129</v>
      </c>
      <c r="BG140" s="29" t="s">
        <v>2129</v>
      </c>
      <c r="BH140" s="29" t="s">
        <v>2129</v>
      </c>
      <c r="BI140" s="29" t="s">
        <v>2129</v>
      </c>
      <c r="BJ140" s="29" t="s">
        <v>2129</v>
      </c>
      <c r="BK140" s="29" t="s">
        <v>2129</v>
      </c>
      <c r="BL140" s="29" t="s">
        <v>2129</v>
      </c>
      <c r="BM140" s="29" t="s">
        <v>2129</v>
      </c>
      <c r="BN140" s="29" t="s">
        <v>2129</v>
      </c>
      <c r="BO140" s="29" t="s">
        <v>2129</v>
      </c>
      <c r="BP140" s="29" t="s">
        <v>2129</v>
      </c>
      <c r="BQ140" s="29" t="s">
        <v>2129</v>
      </c>
      <c r="BR140" s="29" t="s">
        <v>2129</v>
      </c>
      <c r="BS140" s="29" t="s">
        <v>2129</v>
      </c>
      <c r="BT140" s="29" t="s">
        <v>2129</v>
      </c>
      <c r="BU140" s="29" t="s">
        <v>2129</v>
      </c>
      <c r="BV140" s="29" t="s">
        <v>2129</v>
      </c>
      <c r="BW140" s="29" t="s">
        <v>2129</v>
      </c>
      <c r="BX140" s="29" t="s">
        <v>2129</v>
      </c>
      <c r="BY140" s="29" t="s">
        <v>2129</v>
      </c>
      <c r="BZ140" s="29" t="s">
        <v>2129</v>
      </c>
      <c r="CA140" s="29" t="s">
        <v>2129</v>
      </c>
      <c r="CB140" s="29" t="s">
        <v>2129</v>
      </c>
      <c r="CC140" s="29" t="s">
        <v>2129</v>
      </c>
      <c r="CD140" s="29" t="s">
        <v>2129</v>
      </c>
      <c r="CE140" s="29" t="s">
        <v>2983</v>
      </c>
      <c r="CF140" s="29" t="s">
        <v>2979</v>
      </c>
      <c r="CG140" s="29" t="s">
        <v>2129</v>
      </c>
      <c r="CH140" s="29" t="s">
        <v>2129</v>
      </c>
      <c r="CI140" s="29" t="s">
        <v>2129</v>
      </c>
      <c r="CJ140" s="29" t="s">
        <v>2129</v>
      </c>
      <c r="CK140" s="29" t="s">
        <v>2129</v>
      </c>
      <c r="CL140" s="29" t="s">
        <v>2129</v>
      </c>
      <c r="CM140" s="29" t="s">
        <v>2129</v>
      </c>
      <c r="CN140" s="29" t="s">
        <v>2129</v>
      </c>
      <c r="CO140" s="29" t="s">
        <v>2129</v>
      </c>
      <c r="CP140" s="29" t="s">
        <v>2129</v>
      </c>
      <c r="CQ140" s="29" t="s">
        <v>2129</v>
      </c>
      <c r="CR140" s="29" t="s">
        <v>2129</v>
      </c>
      <c r="CS140" s="29"/>
      <c r="CT140" s="29" t="s">
        <v>2129</v>
      </c>
      <c r="CU140" s="29" t="s">
        <v>2129</v>
      </c>
      <c r="CV140" s="29" t="s">
        <v>2129</v>
      </c>
      <c r="CW140" s="29" t="s">
        <v>2129</v>
      </c>
      <c r="CX140" s="29" t="s">
        <v>2129</v>
      </c>
      <c r="CY140" s="29" t="s">
        <v>2129</v>
      </c>
      <c r="CZ140" s="29" t="s">
        <v>2129</v>
      </c>
      <c r="DA140" s="29" t="s">
        <v>2129</v>
      </c>
      <c r="DB140" s="29" t="s">
        <v>2129</v>
      </c>
      <c r="DC140" s="29" t="s">
        <v>2129</v>
      </c>
      <c r="DD140" s="29" t="s">
        <v>2129</v>
      </c>
      <c r="DE140" s="29" t="s">
        <v>2129</v>
      </c>
      <c r="DF140" s="29" t="s">
        <v>2129</v>
      </c>
      <c r="DG140" s="29" t="s">
        <v>2129</v>
      </c>
      <c r="DH140" s="29" t="s">
        <v>2129</v>
      </c>
      <c r="DI140" s="29" t="s">
        <v>2129</v>
      </c>
      <c r="DJ140" s="29" t="s">
        <v>2129</v>
      </c>
      <c r="DK140" s="29" t="s">
        <v>2129</v>
      </c>
      <c r="DL140" s="29" t="s">
        <v>2129</v>
      </c>
      <c r="DM140" s="29" t="s">
        <v>2129</v>
      </c>
      <c r="DN140" s="29" t="s">
        <v>2129</v>
      </c>
      <c r="DO140" s="29" t="s">
        <v>2129</v>
      </c>
      <c r="DP140" s="29" t="s">
        <v>2129</v>
      </c>
      <c r="DQ140" s="42" t="s">
        <v>2129</v>
      </c>
    </row>
    <row r="141" spans="1:121" x14ac:dyDescent="0.25">
      <c r="A141" s="36" t="s">
        <v>2135</v>
      </c>
      <c r="B141" s="30" t="s">
        <v>2984</v>
      </c>
      <c r="C141" s="30">
        <v>22937</v>
      </c>
      <c r="D141" s="30"/>
      <c r="E141" s="30" t="s">
        <v>2136</v>
      </c>
      <c r="F141" s="30" t="s">
        <v>16</v>
      </c>
      <c r="G141" s="30" t="s">
        <v>12</v>
      </c>
      <c r="H141" s="30" t="s">
        <v>12</v>
      </c>
      <c r="I141" s="30" t="s">
        <v>2127</v>
      </c>
      <c r="J141" s="30" t="s">
        <v>2198</v>
      </c>
      <c r="K141" s="30" t="s">
        <v>2129</v>
      </c>
      <c r="L141" s="30" t="s">
        <v>2199</v>
      </c>
      <c r="M141" s="30" t="s">
        <v>2130</v>
      </c>
      <c r="N141" s="30" t="s">
        <v>16</v>
      </c>
      <c r="O141" s="30" t="s">
        <v>2200</v>
      </c>
      <c r="P141" s="30" t="s">
        <v>2198</v>
      </c>
      <c r="Q141" s="30" t="s">
        <v>2198</v>
      </c>
      <c r="R141" s="46">
        <v>46059.550694444442</v>
      </c>
      <c r="S141" s="46">
        <v>46076.368055555555</v>
      </c>
      <c r="T141" s="46">
        <v>46087.717361111114</v>
      </c>
      <c r="U141" s="46">
        <v>46076.368055555555</v>
      </c>
      <c r="V141" s="30" t="s">
        <v>2129</v>
      </c>
      <c r="W141" s="30" t="s">
        <v>2129</v>
      </c>
      <c r="X141" s="30" t="s">
        <v>2129</v>
      </c>
      <c r="Y141" s="30">
        <v>0</v>
      </c>
      <c r="Z141" s="30" t="s">
        <v>2129</v>
      </c>
      <c r="AA141" s="30" t="s">
        <v>2129</v>
      </c>
      <c r="AB141" s="30" t="s">
        <v>2129</v>
      </c>
      <c r="AC141" s="30" t="s">
        <v>2129</v>
      </c>
      <c r="AD141" s="30" t="s">
        <v>2198</v>
      </c>
      <c r="AE141" s="30" t="s">
        <v>2129</v>
      </c>
      <c r="AF141" s="30" t="s">
        <v>2129</v>
      </c>
      <c r="AG141" s="30" t="s">
        <v>2129</v>
      </c>
      <c r="AH141" s="30" t="s">
        <v>2129</v>
      </c>
      <c r="AI141" s="30" t="s">
        <v>2129</v>
      </c>
      <c r="AJ141" s="30" t="s">
        <v>2129</v>
      </c>
      <c r="AK141" s="30" t="s">
        <v>2129</v>
      </c>
      <c r="AL141" s="30" t="s">
        <v>2129</v>
      </c>
      <c r="AM141" s="30" t="s">
        <v>2129</v>
      </c>
      <c r="AN141" s="30" t="s">
        <v>2129</v>
      </c>
      <c r="AO141" s="30" t="s">
        <v>2129</v>
      </c>
      <c r="AP141" s="30" t="s">
        <v>2129</v>
      </c>
      <c r="AQ141" s="30" t="s">
        <v>2129</v>
      </c>
      <c r="AR141" s="30" t="s">
        <v>2129</v>
      </c>
      <c r="AS141" s="30" t="s">
        <v>2129</v>
      </c>
      <c r="AT141" s="30" t="s">
        <v>2129</v>
      </c>
      <c r="AU141" s="30" t="s">
        <v>2129</v>
      </c>
      <c r="AV141" s="30" t="s">
        <v>2129</v>
      </c>
      <c r="AW141" s="30" t="s">
        <v>2129</v>
      </c>
      <c r="AX141" s="30"/>
      <c r="AY141" s="30"/>
      <c r="AZ141" s="30" t="s">
        <v>2129</v>
      </c>
      <c r="BA141" s="30" t="s">
        <v>2129</v>
      </c>
      <c r="BB141" s="30"/>
      <c r="BC141" s="30"/>
      <c r="BD141" s="30" t="s">
        <v>2129</v>
      </c>
      <c r="BE141" s="30" t="s">
        <v>2129</v>
      </c>
      <c r="BF141" s="30" t="s">
        <v>2129</v>
      </c>
      <c r="BG141" s="30" t="s">
        <v>2129</v>
      </c>
      <c r="BH141" s="30" t="s">
        <v>2129</v>
      </c>
      <c r="BI141" s="30" t="s">
        <v>2129</v>
      </c>
      <c r="BJ141" s="30" t="s">
        <v>2129</v>
      </c>
      <c r="BK141" s="30" t="s">
        <v>2129</v>
      </c>
      <c r="BL141" s="30" t="s">
        <v>2129</v>
      </c>
      <c r="BM141" s="30" t="s">
        <v>2129</v>
      </c>
      <c r="BN141" s="30" t="s">
        <v>2129</v>
      </c>
      <c r="BO141" s="30" t="s">
        <v>2129</v>
      </c>
      <c r="BP141" s="30" t="s">
        <v>2129</v>
      </c>
      <c r="BQ141" s="30" t="s">
        <v>2129</v>
      </c>
      <c r="BR141" s="30" t="s">
        <v>2129</v>
      </c>
      <c r="BS141" s="30" t="s">
        <v>2129</v>
      </c>
      <c r="BT141" s="30" t="s">
        <v>2129</v>
      </c>
      <c r="BU141" s="30" t="s">
        <v>2129</v>
      </c>
      <c r="BV141" s="30" t="s">
        <v>2129</v>
      </c>
      <c r="BW141" s="30" t="s">
        <v>2129</v>
      </c>
      <c r="BX141" s="30" t="s">
        <v>2129</v>
      </c>
      <c r="BY141" s="30" t="s">
        <v>2129</v>
      </c>
      <c r="BZ141" s="30" t="s">
        <v>2129</v>
      </c>
      <c r="CA141" s="30" t="s">
        <v>2129</v>
      </c>
      <c r="CB141" s="30" t="s">
        <v>2129</v>
      </c>
      <c r="CC141" s="30" t="s">
        <v>2129</v>
      </c>
      <c r="CD141" s="30" t="s">
        <v>2129</v>
      </c>
      <c r="CE141" s="30" t="s">
        <v>2985</v>
      </c>
      <c r="CF141" s="30" t="s">
        <v>2979</v>
      </c>
      <c r="CG141" s="30" t="s">
        <v>2129</v>
      </c>
      <c r="CH141" s="30" t="s">
        <v>2129</v>
      </c>
      <c r="CI141" s="30" t="s">
        <v>2129</v>
      </c>
      <c r="CJ141" s="30" t="s">
        <v>2129</v>
      </c>
      <c r="CK141" s="30" t="s">
        <v>2129</v>
      </c>
      <c r="CL141" s="30" t="s">
        <v>2129</v>
      </c>
      <c r="CM141" s="30" t="s">
        <v>2129</v>
      </c>
      <c r="CN141" s="30" t="s">
        <v>2129</v>
      </c>
      <c r="CO141" s="30" t="s">
        <v>2129</v>
      </c>
      <c r="CP141" s="30" t="s">
        <v>2129</v>
      </c>
      <c r="CQ141" s="30" t="s">
        <v>2129</v>
      </c>
      <c r="CR141" s="30" t="s">
        <v>2129</v>
      </c>
      <c r="CS141" s="30"/>
      <c r="CT141" s="30" t="s">
        <v>2129</v>
      </c>
      <c r="CU141" s="30" t="s">
        <v>2129</v>
      </c>
      <c r="CV141" s="30" t="s">
        <v>2129</v>
      </c>
      <c r="CW141" s="30" t="s">
        <v>2129</v>
      </c>
      <c r="CX141" s="30" t="s">
        <v>2129</v>
      </c>
      <c r="CY141" s="30" t="s">
        <v>2129</v>
      </c>
      <c r="CZ141" s="30" t="s">
        <v>2129</v>
      </c>
      <c r="DA141" s="30" t="s">
        <v>2129</v>
      </c>
      <c r="DB141" s="30" t="s">
        <v>2129</v>
      </c>
      <c r="DC141" s="30" t="s">
        <v>2129</v>
      </c>
      <c r="DD141" s="30" t="s">
        <v>2129</v>
      </c>
      <c r="DE141" s="30" t="s">
        <v>2129</v>
      </c>
      <c r="DF141" s="30" t="s">
        <v>2129</v>
      </c>
      <c r="DG141" s="30" t="s">
        <v>2129</v>
      </c>
      <c r="DH141" s="30" t="s">
        <v>2129</v>
      </c>
      <c r="DI141" s="30" t="s">
        <v>2129</v>
      </c>
      <c r="DJ141" s="30" t="s">
        <v>2129</v>
      </c>
      <c r="DK141" s="30" t="s">
        <v>2129</v>
      </c>
      <c r="DL141" s="30" t="s">
        <v>2129</v>
      </c>
      <c r="DM141" s="30" t="s">
        <v>2129</v>
      </c>
      <c r="DN141" s="30" t="s">
        <v>2129</v>
      </c>
      <c r="DO141" s="30" t="s">
        <v>2129</v>
      </c>
      <c r="DP141" s="30" t="s">
        <v>2129</v>
      </c>
      <c r="DQ141" s="43" t="s">
        <v>2129</v>
      </c>
    </row>
    <row r="142" spans="1:121" x14ac:dyDescent="0.25">
      <c r="A142" s="39" t="s">
        <v>2698</v>
      </c>
      <c r="B142" s="29" t="s">
        <v>2693</v>
      </c>
      <c r="C142" s="29">
        <v>22928</v>
      </c>
      <c r="D142" s="29"/>
      <c r="E142" s="29" t="s">
        <v>14</v>
      </c>
      <c r="F142" s="29" t="s">
        <v>16</v>
      </c>
      <c r="G142" s="29" t="s">
        <v>12</v>
      </c>
      <c r="H142" s="29" t="s">
        <v>12</v>
      </c>
      <c r="I142" s="29" t="s">
        <v>2127</v>
      </c>
      <c r="J142" s="29" t="s">
        <v>2198</v>
      </c>
      <c r="K142" s="29" t="s">
        <v>2129</v>
      </c>
      <c r="L142" s="29" t="s">
        <v>2199</v>
      </c>
      <c r="M142" s="29" t="s">
        <v>2130</v>
      </c>
      <c r="N142" s="29" t="s">
        <v>16</v>
      </c>
      <c r="O142" s="29" t="s">
        <v>2150</v>
      </c>
      <c r="P142" s="29" t="s">
        <v>2198</v>
      </c>
      <c r="Q142" s="29" t="s">
        <v>2198</v>
      </c>
      <c r="R142" s="45">
        <v>46058.477777777778</v>
      </c>
      <c r="S142" s="45">
        <v>46076.368750000001</v>
      </c>
      <c r="T142" s="45">
        <v>46058.590277777781</v>
      </c>
      <c r="U142" s="45">
        <v>46076.368750000001</v>
      </c>
      <c r="V142" s="29" t="s">
        <v>2129</v>
      </c>
      <c r="W142" s="29" t="s">
        <v>2129</v>
      </c>
      <c r="X142" s="29" t="s">
        <v>2129</v>
      </c>
      <c r="Y142" s="29">
        <v>0</v>
      </c>
      <c r="Z142" s="29" t="s">
        <v>2129</v>
      </c>
      <c r="AA142" s="29" t="s">
        <v>2129</v>
      </c>
      <c r="AB142" s="29" t="s">
        <v>2986</v>
      </c>
      <c r="AC142" s="29" t="s">
        <v>2129</v>
      </c>
      <c r="AD142" s="29" t="s">
        <v>2200</v>
      </c>
      <c r="AE142" s="29" t="s">
        <v>2198</v>
      </c>
      <c r="AF142" s="29" t="s">
        <v>2129</v>
      </c>
      <c r="AG142" s="29" t="s">
        <v>2129</v>
      </c>
      <c r="AH142" s="29" t="s">
        <v>2129</v>
      </c>
      <c r="AI142" s="29" t="s">
        <v>2129</v>
      </c>
      <c r="AJ142" s="29" t="s">
        <v>2129</v>
      </c>
      <c r="AK142" s="29" t="s">
        <v>2129</v>
      </c>
      <c r="AL142" s="29" t="s">
        <v>2129</v>
      </c>
      <c r="AM142" s="29" t="s">
        <v>2129</v>
      </c>
      <c r="AN142" s="29" t="s">
        <v>2129</v>
      </c>
      <c r="AO142" s="29" t="s">
        <v>2129</v>
      </c>
      <c r="AP142" s="29" t="s">
        <v>2129</v>
      </c>
      <c r="AQ142" s="29" t="s">
        <v>2129</v>
      </c>
      <c r="AR142" s="29" t="s">
        <v>2129</v>
      </c>
      <c r="AS142" s="29" t="s">
        <v>2129</v>
      </c>
      <c r="AT142" s="29" t="s">
        <v>2129</v>
      </c>
      <c r="AU142" s="29" t="s">
        <v>2129</v>
      </c>
      <c r="AV142" s="29" t="s">
        <v>2129</v>
      </c>
      <c r="AW142" s="29" t="s">
        <v>2129</v>
      </c>
      <c r="AX142" s="29"/>
      <c r="AY142" s="29"/>
      <c r="AZ142" s="29" t="s">
        <v>2129</v>
      </c>
      <c r="BA142" s="29" t="s">
        <v>2129</v>
      </c>
      <c r="BB142" s="29"/>
      <c r="BC142" s="29"/>
      <c r="BD142" s="29" t="s">
        <v>2129</v>
      </c>
      <c r="BE142" s="29" t="s">
        <v>2129</v>
      </c>
      <c r="BF142" s="29" t="s">
        <v>2129</v>
      </c>
      <c r="BG142" s="29" t="s">
        <v>2129</v>
      </c>
      <c r="BH142" s="29" t="s">
        <v>2129</v>
      </c>
      <c r="BI142" s="29" t="s">
        <v>2129</v>
      </c>
      <c r="BJ142" s="29" t="s">
        <v>2129</v>
      </c>
      <c r="BK142" s="29" t="s">
        <v>2129</v>
      </c>
      <c r="BL142" s="29" t="s">
        <v>2129</v>
      </c>
      <c r="BM142" s="29" t="s">
        <v>2129</v>
      </c>
      <c r="BN142" s="29" t="s">
        <v>2129</v>
      </c>
      <c r="BO142" s="29" t="s">
        <v>2129</v>
      </c>
      <c r="BP142" s="29" t="s">
        <v>2129</v>
      </c>
      <c r="BQ142" s="29" t="s">
        <v>2129</v>
      </c>
      <c r="BR142" s="29" t="s">
        <v>2129</v>
      </c>
      <c r="BS142" s="29" t="s">
        <v>2129</v>
      </c>
      <c r="BT142" s="29" t="s">
        <v>2129</v>
      </c>
      <c r="BU142" s="29" t="s">
        <v>2129</v>
      </c>
      <c r="BV142" s="29" t="s">
        <v>2129</v>
      </c>
      <c r="BW142" s="29" t="s">
        <v>2129</v>
      </c>
      <c r="BX142" s="29" t="s">
        <v>2129</v>
      </c>
      <c r="BY142" s="29" t="s">
        <v>2129</v>
      </c>
      <c r="BZ142" s="29" t="s">
        <v>2129</v>
      </c>
      <c r="CA142" s="29" t="s">
        <v>2129</v>
      </c>
      <c r="CB142" s="29" t="s">
        <v>2129</v>
      </c>
      <c r="CC142" s="29" t="s">
        <v>2129</v>
      </c>
      <c r="CD142" s="29" t="s">
        <v>2129</v>
      </c>
      <c r="CE142" s="29" t="s">
        <v>2987</v>
      </c>
      <c r="CF142" s="29" t="s">
        <v>2979</v>
      </c>
      <c r="CG142" s="29" t="s">
        <v>2129</v>
      </c>
      <c r="CH142" s="29" t="s">
        <v>2129</v>
      </c>
      <c r="CI142" s="29" t="s">
        <v>2129</v>
      </c>
      <c r="CJ142" s="29" t="s">
        <v>2129</v>
      </c>
      <c r="CK142" s="29" t="s">
        <v>2129</v>
      </c>
      <c r="CL142" s="29" t="s">
        <v>2129</v>
      </c>
      <c r="CM142" s="29" t="s">
        <v>2129</v>
      </c>
      <c r="CN142" s="29" t="s">
        <v>2129</v>
      </c>
      <c r="CO142" s="29" t="s">
        <v>2129</v>
      </c>
      <c r="CP142" s="29" t="s">
        <v>2129</v>
      </c>
      <c r="CQ142" s="29" t="s">
        <v>2129</v>
      </c>
      <c r="CR142" s="29" t="s">
        <v>2129</v>
      </c>
      <c r="CS142" s="29">
        <v>20</v>
      </c>
      <c r="CT142" s="29" t="s">
        <v>2129</v>
      </c>
      <c r="CU142" s="29" t="s">
        <v>2129</v>
      </c>
      <c r="CV142" s="29" t="s">
        <v>2988</v>
      </c>
      <c r="CW142" s="29" t="s">
        <v>2129</v>
      </c>
      <c r="CX142" s="29" t="s">
        <v>2129</v>
      </c>
      <c r="CY142" s="29" t="s">
        <v>2129</v>
      </c>
      <c r="CZ142" s="29" t="s">
        <v>2129</v>
      </c>
      <c r="DA142" s="29" t="s">
        <v>2129</v>
      </c>
      <c r="DB142" s="29" t="s">
        <v>2129</v>
      </c>
      <c r="DC142" s="29" t="s">
        <v>2129</v>
      </c>
      <c r="DD142" s="29" t="s">
        <v>2129</v>
      </c>
      <c r="DE142" s="29" t="s">
        <v>2129</v>
      </c>
      <c r="DF142" s="29" t="s">
        <v>2129</v>
      </c>
      <c r="DG142" s="29" t="s">
        <v>2129</v>
      </c>
      <c r="DH142" s="29" t="s">
        <v>2129</v>
      </c>
      <c r="DI142" s="29" t="s">
        <v>2129</v>
      </c>
      <c r="DJ142" s="29" t="s">
        <v>2129</v>
      </c>
      <c r="DK142" s="29" t="s">
        <v>2129</v>
      </c>
      <c r="DL142" s="29" t="s">
        <v>2129</v>
      </c>
      <c r="DM142" s="29" t="s">
        <v>2129</v>
      </c>
      <c r="DN142" s="29" t="s">
        <v>2129</v>
      </c>
      <c r="DO142" s="29" t="s">
        <v>2129</v>
      </c>
      <c r="DP142" s="29" t="s">
        <v>2129</v>
      </c>
      <c r="DQ142" s="42" t="s">
        <v>2129</v>
      </c>
    </row>
    <row r="143" spans="1:121" x14ac:dyDescent="0.25">
      <c r="A143" s="36" t="s">
        <v>2580</v>
      </c>
      <c r="B143" s="30" t="s">
        <v>2579</v>
      </c>
      <c r="C143" s="30">
        <v>22867</v>
      </c>
      <c r="D143" s="30"/>
      <c r="E143" s="30" t="s">
        <v>14</v>
      </c>
      <c r="F143" s="30" t="s">
        <v>16</v>
      </c>
      <c r="G143" s="30" t="s">
        <v>12</v>
      </c>
      <c r="H143" s="30" t="s">
        <v>12</v>
      </c>
      <c r="I143" s="30" t="s">
        <v>2127</v>
      </c>
      <c r="J143" s="30" t="s">
        <v>2198</v>
      </c>
      <c r="K143" s="30" t="s">
        <v>2129</v>
      </c>
      <c r="L143" s="30" t="s">
        <v>2199</v>
      </c>
      <c r="M143" s="30" t="s">
        <v>2130</v>
      </c>
      <c r="N143" s="30" t="s">
        <v>16</v>
      </c>
      <c r="O143" s="30" t="s">
        <v>2150</v>
      </c>
      <c r="P143" s="30" t="s">
        <v>2198</v>
      </c>
      <c r="Q143" s="30" t="s">
        <v>2198</v>
      </c>
      <c r="R143" s="46">
        <v>46044.540277777778</v>
      </c>
      <c r="S143" s="46">
        <v>46085.396527777775</v>
      </c>
      <c r="T143" s="46">
        <v>46087.717361111114</v>
      </c>
      <c r="U143" s="46">
        <v>46056.693749999999</v>
      </c>
      <c r="V143" s="30" t="s">
        <v>3757</v>
      </c>
      <c r="W143" s="30" t="s">
        <v>2129</v>
      </c>
      <c r="X143" s="30" t="s">
        <v>2129</v>
      </c>
      <c r="Y143" s="30">
        <v>0</v>
      </c>
      <c r="Z143" s="30" t="s">
        <v>2129</v>
      </c>
      <c r="AA143" s="30" t="s">
        <v>2129</v>
      </c>
      <c r="AB143" s="30" t="s">
        <v>3758</v>
      </c>
      <c r="AC143" s="30" t="s">
        <v>2129</v>
      </c>
      <c r="AD143" s="30" t="s">
        <v>2200</v>
      </c>
      <c r="AE143" s="30" t="s">
        <v>2198</v>
      </c>
      <c r="AF143" s="30" t="s">
        <v>2129</v>
      </c>
      <c r="AG143" s="30" t="s">
        <v>2129</v>
      </c>
      <c r="AH143" s="30" t="s">
        <v>2129</v>
      </c>
      <c r="AI143" s="30" t="s">
        <v>3759</v>
      </c>
      <c r="AJ143" s="30" t="s">
        <v>3760</v>
      </c>
      <c r="AK143" s="30" t="s">
        <v>2129</v>
      </c>
      <c r="AL143" s="30" t="s">
        <v>2129</v>
      </c>
      <c r="AM143" s="30" t="s">
        <v>2129</v>
      </c>
      <c r="AN143" s="30" t="s">
        <v>2129</v>
      </c>
      <c r="AO143" s="30" t="s">
        <v>2129</v>
      </c>
      <c r="AP143" s="30" t="s">
        <v>2129</v>
      </c>
      <c r="AQ143" s="30" t="s">
        <v>2129</v>
      </c>
      <c r="AR143" s="30" t="s">
        <v>2129</v>
      </c>
      <c r="AS143" s="30" t="s">
        <v>2129</v>
      </c>
      <c r="AT143" s="30" t="s">
        <v>2129</v>
      </c>
      <c r="AU143" s="30" t="s">
        <v>2129</v>
      </c>
      <c r="AV143" s="30" t="s">
        <v>2129</v>
      </c>
      <c r="AW143" s="30" t="s">
        <v>2129</v>
      </c>
      <c r="AX143" s="30">
        <v>0</v>
      </c>
      <c r="AY143" s="30">
        <v>8100</v>
      </c>
      <c r="AZ143" s="30" t="s">
        <v>2129</v>
      </c>
      <c r="BA143" s="30" t="s">
        <v>2129</v>
      </c>
      <c r="BB143" s="30">
        <v>0</v>
      </c>
      <c r="BC143" s="30">
        <v>8100</v>
      </c>
      <c r="BD143" s="30" t="s">
        <v>2129</v>
      </c>
      <c r="BE143" s="30" t="s">
        <v>2129</v>
      </c>
      <c r="BF143" s="30" t="s">
        <v>2129</v>
      </c>
      <c r="BG143" s="30" t="s">
        <v>2129</v>
      </c>
      <c r="BH143" s="30" t="s">
        <v>2129</v>
      </c>
      <c r="BI143" s="30" t="s">
        <v>2129</v>
      </c>
      <c r="BJ143" s="30" t="s">
        <v>2129</v>
      </c>
      <c r="BK143" s="30" t="s">
        <v>3761</v>
      </c>
      <c r="BL143" s="30" t="s">
        <v>2129</v>
      </c>
      <c r="BM143" s="30" t="s">
        <v>2129</v>
      </c>
      <c r="BN143" s="30" t="s">
        <v>2129</v>
      </c>
      <c r="BO143" s="30" t="s">
        <v>2129</v>
      </c>
      <c r="BP143" s="30" t="s">
        <v>2129</v>
      </c>
      <c r="BQ143" s="30" t="s">
        <v>2129</v>
      </c>
      <c r="BR143" s="30" t="s">
        <v>2129</v>
      </c>
      <c r="BS143" s="30" t="s">
        <v>2129</v>
      </c>
      <c r="BT143" s="30" t="s">
        <v>2129</v>
      </c>
      <c r="BU143" s="30" t="s">
        <v>2129</v>
      </c>
      <c r="BV143" s="30" t="s">
        <v>2129</v>
      </c>
      <c r="BW143" s="30" t="s">
        <v>2129</v>
      </c>
      <c r="BX143" s="30" t="s">
        <v>2129</v>
      </c>
      <c r="BY143" s="30" t="s">
        <v>2129</v>
      </c>
      <c r="BZ143" s="30" t="s">
        <v>2129</v>
      </c>
      <c r="CA143" s="30" t="s">
        <v>2129</v>
      </c>
      <c r="CB143" s="30" t="s">
        <v>2129</v>
      </c>
      <c r="CC143" s="30" t="s">
        <v>2129</v>
      </c>
      <c r="CD143" s="30" t="s">
        <v>2129</v>
      </c>
      <c r="CE143" s="30" t="s">
        <v>3762</v>
      </c>
      <c r="CF143" s="30" t="s">
        <v>2723</v>
      </c>
      <c r="CG143" s="30" t="s">
        <v>2129</v>
      </c>
      <c r="CH143" s="30" t="s">
        <v>2129</v>
      </c>
      <c r="CI143" s="30" t="s">
        <v>2129</v>
      </c>
      <c r="CJ143" s="30" t="s">
        <v>2129</v>
      </c>
      <c r="CK143" s="30" t="s">
        <v>2129</v>
      </c>
      <c r="CL143" s="30" t="s">
        <v>2129</v>
      </c>
      <c r="CM143" s="30" t="s">
        <v>2129</v>
      </c>
      <c r="CN143" s="30" t="s">
        <v>2129</v>
      </c>
      <c r="CO143" s="30" t="s">
        <v>2129</v>
      </c>
      <c r="CP143" s="30" t="s">
        <v>2129</v>
      </c>
      <c r="CQ143" s="30" t="s">
        <v>2129</v>
      </c>
      <c r="CR143" s="30" t="s">
        <v>2129</v>
      </c>
      <c r="CS143" s="30">
        <v>20</v>
      </c>
      <c r="CT143" s="30" t="s">
        <v>2129</v>
      </c>
      <c r="CU143" s="30" t="s">
        <v>2129</v>
      </c>
      <c r="CV143" s="30" t="s">
        <v>3763</v>
      </c>
      <c r="CW143" s="30" t="s">
        <v>2129</v>
      </c>
      <c r="CX143" s="30" t="s">
        <v>2129</v>
      </c>
      <c r="CY143" s="30" t="s">
        <v>2129</v>
      </c>
      <c r="CZ143" s="30" t="s">
        <v>2129</v>
      </c>
      <c r="DA143" s="30" t="s">
        <v>2129</v>
      </c>
      <c r="DB143" s="30" t="s">
        <v>2129</v>
      </c>
      <c r="DC143" s="30" t="s">
        <v>2129</v>
      </c>
      <c r="DD143" s="30" t="s">
        <v>2129</v>
      </c>
      <c r="DE143" s="30" t="s">
        <v>2129</v>
      </c>
      <c r="DF143" s="30" t="s">
        <v>2129</v>
      </c>
      <c r="DG143" s="30" t="s">
        <v>2129</v>
      </c>
      <c r="DH143" s="30" t="s">
        <v>2129</v>
      </c>
      <c r="DI143" s="30" t="s">
        <v>2129</v>
      </c>
      <c r="DJ143" s="30" t="s">
        <v>2129</v>
      </c>
      <c r="DK143" s="30" t="s">
        <v>2129</v>
      </c>
      <c r="DL143" s="30" t="s">
        <v>2129</v>
      </c>
      <c r="DM143" s="30" t="s">
        <v>2129</v>
      </c>
      <c r="DN143" s="30" t="s">
        <v>2129</v>
      </c>
      <c r="DO143" s="30" t="s">
        <v>2129</v>
      </c>
      <c r="DP143" s="30" t="s">
        <v>2129</v>
      </c>
      <c r="DQ143" s="43" t="s">
        <v>2129</v>
      </c>
    </row>
    <row r="144" spans="1:121" x14ac:dyDescent="0.25">
      <c r="A144" s="39" t="s">
        <v>2572</v>
      </c>
      <c r="B144" s="29" t="s">
        <v>2571</v>
      </c>
      <c r="C144" s="29">
        <v>22862</v>
      </c>
      <c r="D144" s="29"/>
      <c r="E144" s="29" t="s">
        <v>14</v>
      </c>
      <c r="F144" s="29" t="s">
        <v>27</v>
      </c>
      <c r="G144" s="29" t="s">
        <v>12</v>
      </c>
      <c r="H144" s="29" t="s">
        <v>12</v>
      </c>
      <c r="I144" s="29" t="s">
        <v>2127</v>
      </c>
      <c r="J144" s="29" t="s">
        <v>2198</v>
      </c>
      <c r="K144" s="29" t="s">
        <v>2129</v>
      </c>
      <c r="L144" s="29" t="s">
        <v>2199</v>
      </c>
      <c r="M144" s="29" t="s">
        <v>2130</v>
      </c>
      <c r="N144" s="29" t="s">
        <v>2129</v>
      </c>
      <c r="O144" s="29" t="s">
        <v>2150</v>
      </c>
      <c r="P144" s="29" t="s">
        <v>2198</v>
      </c>
      <c r="Q144" s="29" t="s">
        <v>2198</v>
      </c>
      <c r="R144" s="45">
        <v>46043.611111111109</v>
      </c>
      <c r="S144" s="45">
        <v>46076.368055555555</v>
      </c>
      <c r="T144" s="45">
        <v>46087.717361111114</v>
      </c>
      <c r="U144" s="45"/>
      <c r="V144" s="29" t="s">
        <v>2129</v>
      </c>
      <c r="W144" s="29" t="s">
        <v>2129</v>
      </c>
      <c r="X144" s="29" t="s">
        <v>2129</v>
      </c>
      <c r="Y144" s="29">
        <v>0</v>
      </c>
      <c r="Z144" s="29" t="s">
        <v>2129</v>
      </c>
      <c r="AA144" s="29" t="s">
        <v>2129</v>
      </c>
      <c r="AB144" s="29" t="s">
        <v>2724</v>
      </c>
      <c r="AC144" s="29" t="s">
        <v>2129</v>
      </c>
      <c r="AD144" s="29" t="s">
        <v>2198</v>
      </c>
      <c r="AE144" s="29" t="s">
        <v>2129</v>
      </c>
      <c r="AF144" s="29" t="s">
        <v>2129</v>
      </c>
      <c r="AG144" s="29" t="s">
        <v>2129</v>
      </c>
      <c r="AH144" s="29" t="s">
        <v>2129</v>
      </c>
      <c r="AI144" s="29" t="s">
        <v>2725</v>
      </c>
      <c r="AJ144" s="29" t="s">
        <v>2726</v>
      </c>
      <c r="AK144" s="29" t="s">
        <v>2727</v>
      </c>
      <c r="AL144" s="29" t="s">
        <v>2129</v>
      </c>
      <c r="AM144" s="29" t="s">
        <v>2129</v>
      </c>
      <c r="AN144" s="29" t="s">
        <v>2129</v>
      </c>
      <c r="AO144" s="29" t="s">
        <v>2129</v>
      </c>
      <c r="AP144" s="29" t="s">
        <v>2129</v>
      </c>
      <c r="AQ144" s="29" t="s">
        <v>2129</v>
      </c>
      <c r="AR144" s="29" t="s">
        <v>2129</v>
      </c>
      <c r="AS144" s="29" t="s">
        <v>2129</v>
      </c>
      <c r="AT144" s="29" t="s">
        <v>2129</v>
      </c>
      <c r="AU144" s="29" t="s">
        <v>2129</v>
      </c>
      <c r="AV144" s="29" t="s">
        <v>2129</v>
      </c>
      <c r="AW144" s="29" t="s">
        <v>2129</v>
      </c>
      <c r="AX144" s="29">
        <v>0</v>
      </c>
      <c r="AY144" s="29">
        <v>54000</v>
      </c>
      <c r="AZ144" s="29" t="s">
        <v>2129</v>
      </c>
      <c r="BA144" s="29" t="s">
        <v>2129</v>
      </c>
      <c r="BB144" s="29">
        <v>0</v>
      </c>
      <c r="BC144" s="29">
        <v>54000</v>
      </c>
      <c r="BD144" s="29" t="s">
        <v>2129</v>
      </c>
      <c r="BE144" s="29" t="s">
        <v>2129</v>
      </c>
      <c r="BF144" s="29" t="s">
        <v>2129</v>
      </c>
      <c r="BG144" s="29" t="s">
        <v>2129</v>
      </c>
      <c r="BH144" s="29" t="s">
        <v>2129</v>
      </c>
      <c r="BI144" s="29" t="s">
        <v>2129</v>
      </c>
      <c r="BJ144" s="29" t="s">
        <v>2129</v>
      </c>
      <c r="BK144" s="29" t="s">
        <v>2129</v>
      </c>
      <c r="BL144" s="29" t="s">
        <v>2129</v>
      </c>
      <c r="BM144" s="29" t="s">
        <v>2129</v>
      </c>
      <c r="BN144" s="29" t="s">
        <v>2129</v>
      </c>
      <c r="BO144" s="29" t="s">
        <v>2129</v>
      </c>
      <c r="BP144" s="29" t="s">
        <v>2129</v>
      </c>
      <c r="BQ144" s="29" t="s">
        <v>2129</v>
      </c>
      <c r="BR144" s="29" t="s">
        <v>2129</v>
      </c>
      <c r="BS144" s="29" t="s">
        <v>2129</v>
      </c>
      <c r="BT144" s="29" t="s">
        <v>2129</v>
      </c>
      <c r="BU144" s="29" t="s">
        <v>2129</v>
      </c>
      <c r="BV144" s="29" t="s">
        <v>2129</v>
      </c>
      <c r="BW144" s="29" t="s">
        <v>2129</v>
      </c>
      <c r="BX144" s="29" t="s">
        <v>2129</v>
      </c>
      <c r="BY144" s="29" t="s">
        <v>2129</v>
      </c>
      <c r="BZ144" s="29" t="s">
        <v>2129</v>
      </c>
      <c r="CA144" s="29" t="s">
        <v>2129</v>
      </c>
      <c r="CB144" s="29" t="s">
        <v>2129</v>
      </c>
      <c r="CC144" s="29" t="s">
        <v>2129</v>
      </c>
      <c r="CD144" s="29" t="s">
        <v>2129</v>
      </c>
      <c r="CE144" s="29" t="s">
        <v>3764</v>
      </c>
      <c r="CF144" s="29" t="s">
        <v>3738</v>
      </c>
      <c r="CG144" s="29" t="s">
        <v>2129</v>
      </c>
      <c r="CH144" s="29" t="s">
        <v>2129</v>
      </c>
      <c r="CI144" s="29" t="s">
        <v>2129</v>
      </c>
      <c r="CJ144" s="29" t="s">
        <v>2129</v>
      </c>
      <c r="CK144" s="29" t="s">
        <v>2129</v>
      </c>
      <c r="CL144" s="29" t="s">
        <v>2129</v>
      </c>
      <c r="CM144" s="29" t="s">
        <v>2129</v>
      </c>
      <c r="CN144" s="29" t="s">
        <v>2129</v>
      </c>
      <c r="CO144" s="29" t="s">
        <v>2129</v>
      </c>
      <c r="CP144" s="29" t="s">
        <v>2129</v>
      </c>
      <c r="CQ144" s="29" t="s">
        <v>2129</v>
      </c>
      <c r="CR144" s="29" t="s">
        <v>2129</v>
      </c>
      <c r="CS144" s="29">
        <v>50</v>
      </c>
      <c r="CT144" s="29" t="s">
        <v>2129</v>
      </c>
      <c r="CU144" s="29" t="s">
        <v>2129</v>
      </c>
      <c r="CV144" s="29" t="s">
        <v>2129</v>
      </c>
      <c r="CW144" s="29" t="s">
        <v>2129</v>
      </c>
      <c r="CX144" s="29" t="s">
        <v>2129</v>
      </c>
      <c r="CY144" s="29" t="s">
        <v>2129</v>
      </c>
      <c r="CZ144" s="29" t="s">
        <v>2129</v>
      </c>
      <c r="DA144" s="29" t="s">
        <v>2129</v>
      </c>
      <c r="DB144" s="29" t="s">
        <v>2129</v>
      </c>
      <c r="DC144" s="29" t="s">
        <v>2129</v>
      </c>
      <c r="DD144" s="29" t="s">
        <v>2129</v>
      </c>
      <c r="DE144" s="29" t="s">
        <v>2129</v>
      </c>
      <c r="DF144" s="29" t="s">
        <v>2129</v>
      </c>
      <c r="DG144" s="29" t="s">
        <v>2129</v>
      </c>
      <c r="DH144" s="29" t="s">
        <v>2129</v>
      </c>
      <c r="DI144" s="29" t="s">
        <v>2129</v>
      </c>
      <c r="DJ144" s="29" t="s">
        <v>2129</v>
      </c>
      <c r="DK144" s="29" t="s">
        <v>2129</v>
      </c>
      <c r="DL144" s="29" t="s">
        <v>2129</v>
      </c>
      <c r="DM144" s="29" t="s">
        <v>2129</v>
      </c>
      <c r="DN144" s="29" t="s">
        <v>2129</v>
      </c>
      <c r="DO144" s="29" t="s">
        <v>2129</v>
      </c>
      <c r="DP144" s="29" t="s">
        <v>2129</v>
      </c>
      <c r="DQ144" s="42" t="s">
        <v>2129</v>
      </c>
    </row>
    <row r="145" spans="1:121" x14ac:dyDescent="0.25">
      <c r="A145" s="36" t="s">
        <v>2578</v>
      </c>
      <c r="B145" s="30" t="s">
        <v>2577</v>
      </c>
      <c r="C145" s="30">
        <v>22844</v>
      </c>
      <c r="D145" s="30"/>
      <c r="E145" s="30" t="s">
        <v>14</v>
      </c>
      <c r="F145" s="30" t="s">
        <v>16</v>
      </c>
      <c r="G145" s="30" t="s">
        <v>12</v>
      </c>
      <c r="H145" s="30" t="s">
        <v>12</v>
      </c>
      <c r="I145" s="30" t="s">
        <v>2127</v>
      </c>
      <c r="J145" s="30" t="s">
        <v>2198</v>
      </c>
      <c r="K145" s="30" t="s">
        <v>2129</v>
      </c>
      <c r="L145" s="30" t="s">
        <v>2199</v>
      </c>
      <c r="M145" s="30" t="s">
        <v>2130</v>
      </c>
      <c r="N145" s="30" t="s">
        <v>16</v>
      </c>
      <c r="O145" s="30" t="s">
        <v>2150</v>
      </c>
      <c r="P145" s="30" t="s">
        <v>2198</v>
      </c>
      <c r="Q145" s="30" t="s">
        <v>2198</v>
      </c>
      <c r="R145" s="46">
        <v>46037.581944444442</v>
      </c>
      <c r="S145" s="46">
        <v>46078.711111111108</v>
      </c>
      <c r="T145" s="46">
        <v>46062.665972222225</v>
      </c>
      <c r="U145" s="46">
        <v>46078.711111111108</v>
      </c>
      <c r="V145" s="30" t="s">
        <v>2129</v>
      </c>
      <c r="W145" s="30" t="s">
        <v>2129</v>
      </c>
      <c r="X145" s="30" t="s">
        <v>2129</v>
      </c>
      <c r="Y145" s="30">
        <v>0</v>
      </c>
      <c r="Z145" s="30" t="s">
        <v>2129</v>
      </c>
      <c r="AA145" s="30" t="s">
        <v>2129</v>
      </c>
      <c r="AB145" s="30" t="s">
        <v>2728</v>
      </c>
      <c r="AC145" s="30" t="s">
        <v>2129</v>
      </c>
      <c r="AD145" s="30" t="s">
        <v>2200</v>
      </c>
      <c r="AE145" s="30" t="s">
        <v>2198</v>
      </c>
      <c r="AF145" s="30" t="s">
        <v>2129</v>
      </c>
      <c r="AG145" s="30" t="s">
        <v>2129</v>
      </c>
      <c r="AH145" s="30" t="s">
        <v>2129</v>
      </c>
      <c r="AI145" s="30" t="s">
        <v>2729</v>
      </c>
      <c r="AJ145" s="30" t="s">
        <v>2129</v>
      </c>
      <c r="AK145" s="30" t="s">
        <v>2129</v>
      </c>
      <c r="AL145" s="30" t="s">
        <v>2129</v>
      </c>
      <c r="AM145" s="30" t="s">
        <v>2129</v>
      </c>
      <c r="AN145" s="30" t="s">
        <v>2129</v>
      </c>
      <c r="AO145" s="30" t="s">
        <v>2129</v>
      </c>
      <c r="AP145" s="30" t="s">
        <v>2129</v>
      </c>
      <c r="AQ145" s="30" t="s">
        <v>2129</v>
      </c>
      <c r="AR145" s="30" t="s">
        <v>2129</v>
      </c>
      <c r="AS145" s="30" t="s">
        <v>2129</v>
      </c>
      <c r="AT145" s="30" t="s">
        <v>2129</v>
      </c>
      <c r="AU145" s="30" t="s">
        <v>2129</v>
      </c>
      <c r="AV145" s="30" t="s">
        <v>2129</v>
      </c>
      <c r="AW145" s="30" t="s">
        <v>2129</v>
      </c>
      <c r="AX145" s="30">
        <v>0</v>
      </c>
      <c r="AY145" s="30">
        <v>32400</v>
      </c>
      <c r="AZ145" s="30" t="s">
        <v>2129</v>
      </c>
      <c r="BA145" s="30" t="s">
        <v>2129</v>
      </c>
      <c r="BB145" s="30">
        <v>0</v>
      </c>
      <c r="BC145" s="30">
        <v>32400</v>
      </c>
      <c r="BD145" s="30" t="s">
        <v>2129</v>
      </c>
      <c r="BE145" s="30" t="s">
        <v>2129</v>
      </c>
      <c r="BF145" s="30" t="s">
        <v>2129</v>
      </c>
      <c r="BG145" s="30" t="s">
        <v>2129</v>
      </c>
      <c r="BH145" s="30" t="s">
        <v>2129</v>
      </c>
      <c r="BI145" s="30" t="s">
        <v>2129</v>
      </c>
      <c r="BJ145" s="30" t="s">
        <v>2129</v>
      </c>
      <c r="BK145" s="30" t="s">
        <v>2129</v>
      </c>
      <c r="BL145" s="30" t="s">
        <v>2129</v>
      </c>
      <c r="BM145" s="30" t="s">
        <v>2129</v>
      </c>
      <c r="BN145" s="30" t="s">
        <v>2129</v>
      </c>
      <c r="BO145" s="30" t="s">
        <v>2129</v>
      </c>
      <c r="BP145" s="30" t="s">
        <v>2129</v>
      </c>
      <c r="BQ145" s="30" t="s">
        <v>2129</v>
      </c>
      <c r="BR145" s="30" t="s">
        <v>2129</v>
      </c>
      <c r="BS145" s="30" t="s">
        <v>2129</v>
      </c>
      <c r="BT145" s="30" t="s">
        <v>2129</v>
      </c>
      <c r="BU145" s="30" t="s">
        <v>2129</v>
      </c>
      <c r="BV145" s="30" t="s">
        <v>2129</v>
      </c>
      <c r="BW145" s="30" t="s">
        <v>2129</v>
      </c>
      <c r="BX145" s="30" t="s">
        <v>2129</v>
      </c>
      <c r="BY145" s="30" t="s">
        <v>2129</v>
      </c>
      <c r="BZ145" s="30" t="s">
        <v>2129</v>
      </c>
      <c r="CA145" s="30" t="s">
        <v>2129</v>
      </c>
      <c r="CB145" s="30" t="s">
        <v>2129</v>
      </c>
      <c r="CC145" s="30" t="s">
        <v>2129</v>
      </c>
      <c r="CD145" s="30" t="s">
        <v>2129</v>
      </c>
      <c r="CE145" s="30" t="s">
        <v>3765</v>
      </c>
      <c r="CF145" s="30" t="s">
        <v>3738</v>
      </c>
      <c r="CG145" s="30" t="s">
        <v>2129</v>
      </c>
      <c r="CH145" s="30" t="s">
        <v>2129</v>
      </c>
      <c r="CI145" s="30" t="s">
        <v>2129</v>
      </c>
      <c r="CJ145" s="30" t="s">
        <v>2129</v>
      </c>
      <c r="CK145" s="30" t="s">
        <v>2129</v>
      </c>
      <c r="CL145" s="30" t="s">
        <v>2129</v>
      </c>
      <c r="CM145" s="30" t="s">
        <v>2129</v>
      </c>
      <c r="CN145" s="30" t="s">
        <v>2129</v>
      </c>
      <c r="CO145" s="30" t="s">
        <v>2129</v>
      </c>
      <c r="CP145" s="30" t="s">
        <v>2129</v>
      </c>
      <c r="CQ145" s="30" t="s">
        <v>2129</v>
      </c>
      <c r="CR145" s="30" t="s">
        <v>2129</v>
      </c>
      <c r="CS145" s="30">
        <v>30</v>
      </c>
      <c r="CT145" s="30" t="s">
        <v>2129</v>
      </c>
      <c r="CU145" s="30" t="s">
        <v>2129</v>
      </c>
      <c r="CV145" s="30" t="s">
        <v>2730</v>
      </c>
      <c r="CW145" s="30" t="s">
        <v>2731</v>
      </c>
      <c r="CX145" s="30" t="s">
        <v>2989</v>
      </c>
      <c r="CY145" s="30" t="s">
        <v>2990</v>
      </c>
      <c r="CZ145" s="30" t="s">
        <v>2991</v>
      </c>
      <c r="DA145" s="30" t="s">
        <v>3766</v>
      </c>
      <c r="DB145" s="30" t="s">
        <v>2129</v>
      </c>
      <c r="DC145" s="30" t="s">
        <v>2129</v>
      </c>
      <c r="DD145" s="30" t="s">
        <v>2129</v>
      </c>
      <c r="DE145" s="30" t="s">
        <v>2129</v>
      </c>
      <c r="DF145" s="30" t="s">
        <v>2129</v>
      </c>
      <c r="DG145" s="30" t="s">
        <v>2129</v>
      </c>
      <c r="DH145" s="30" t="s">
        <v>2129</v>
      </c>
      <c r="DI145" s="30" t="s">
        <v>2129</v>
      </c>
      <c r="DJ145" s="30" t="s">
        <v>2129</v>
      </c>
      <c r="DK145" s="30" t="s">
        <v>2129</v>
      </c>
      <c r="DL145" s="30" t="s">
        <v>2129</v>
      </c>
      <c r="DM145" s="30" t="s">
        <v>2129</v>
      </c>
      <c r="DN145" s="30" t="s">
        <v>2129</v>
      </c>
      <c r="DO145" s="30" t="s">
        <v>2129</v>
      </c>
      <c r="DP145" s="30" t="s">
        <v>2129</v>
      </c>
      <c r="DQ145" s="43" t="s">
        <v>2129</v>
      </c>
    </row>
    <row r="146" spans="1:121" x14ac:dyDescent="0.25">
      <c r="A146" s="39" t="s">
        <v>2570</v>
      </c>
      <c r="B146" s="29" t="s">
        <v>2569</v>
      </c>
      <c r="C146" s="29">
        <v>22827</v>
      </c>
      <c r="D146" s="29"/>
      <c r="E146" s="29" t="s">
        <v>14</v>
      </c>
      <c r="F146" s="29" t="s">
        <v>27</v>
      </c>
      <c r="G146" s="29" t="s">
        <v>12</v>
      </c>
      <c r="H146" s="29" t="s">
        <v>12</v>
      </c>
      <c r="I146" s="29" t="s">
        <v>2127</v>
      </c>
      <c r="J146" s="29" t="s">
        <v>2198</v>
      </c>
      <c r="K146" s="29" t="s">
        <v>2129</v>
      </c>
      <c r="L146" s="29" t="s">
        <v>2199</v>
      </c>
      <c r="M146" s="29" t="s">
        <v>2130</v>
      </c>
      <c r="N146" s="29" t="s">
        <v>2129</v>
      </c>
      <c r="O146" s="29" t="s">
        <v>2131</v>
      </c>
      <c r="P146" s="29" t="s">
        <v>2198</v>
      </c>
      <c r="Q146" s="29" t="s">
        <v>2198</v>
      </c>
      <c r="R146" s="45">
        <v>46035.381249999999</v>
      </c>
      <c r="S146" s="45">
        <v>46076.368055555555</v>
      </c>
      <c r="T146" s="45">
        <v>46087.717361111114</v>
      </c>
      <c r="U146" s="45"/>
      <c r="V146" s="29" t="s">
        <v>2129</v>
      </c>
      <c r="W146" s="29" t="s">
        <v>2129</v>
      </c>
      <c r="X146" s="29" t="s">
        <v>2129</v>
      </c>
      <c r="Y146" s="29">
        <v>0</v>
      </c>
      <c r="Z146" s="29" t="s">
        <v>2129</v>
      </c>
      <c r="AA146" s="29" t="s">
        <v>2129</v>
      </c>
      <c r="AB146" s="29" t="s">
        <v>2642</v>
      </c>
      <c r="AC146" s="29" t="s">
        <v>2129</v>
      </c>
      <c r="AD146" s="29" t="s">
        <v>2131</v>
      </c>
      <c r="AE146" s="29" t="s">
        <v>2198</v>
      </c>
      <c r="AF146" s="29" t="s">
        <v>2129</v>
      </c>
      <c r="AG146" s="29" t="s">
        <v>2129</v>
      </c>
      <c r="AH146" s="29" t="s">
        <v>2129</v>
      </c>
      <c r="AI146" s="29" t="s">
        <v>2643</v>
      </c>
      <c r="AJ146" s="29" t="s">
        <v>2644</v>
      </c>
      <c r="AK146" s="29" t="s">
        <v>2129</v>
      </c>
      <c r="AL146" s="29" t="s">
        <v>2129</v>
      </c>
      <c r="AM146" s="29" t="s">
        <v>2129</v>
      </c>
      <c r="AN146" s="29" t="s">
        <v>2129</v>
      </c>
      <c r="AO146" s="29" t="s">
        <v>2129</v>
      </c>
      <c r="AP146" s="29" t="s">
        <v>2129</v>
      </c>
      <c r="AQ146" s="29" t="s">
        <v>2129</v>
      </c>
      <c r="AR146" s="29" t="s">
        <v>2129</v>
      </c>
      <c r="AS146" s="29" t="s">
        <v>2129</v>
      </c>
      <c r="AT146" s="29" t="s">
        <v>2129</v>
      </c>
      <c r="AU146" s="29" t="s">
        <v>2129</v>
      </c>
      <c r="AV146" s="29" t="s">
        <v>2129</v>
      </c>
      <c r="AW146" s="29" t="s">
        <v>2129</v>
      </c>
      <c r="AX146" s="29">
        <v>0</v>
      </c>
      <c r="AY146" s="29">
        <v>32400</v>
      </c>
      <c r="AZ146" s="29" t="s">
        <v>2129</v>
      </c>
      <c r="BA146" s="29" t="s">
        <v>2129</v>
      </c>
      <c r="BB146" s="29">
        <v>0</v>
      </c>
      <c r="BC146" s="29">
        <v>32400</v>
      </c>
      <c r="BD146" s="29" t="s">
        <v>2129</v>
      </c>
      <c r="BE146" s="29" t="s">
        <v>2129</v>
      </c>
      <c r="BF146" s="29" t="s">
        <v>2129</v>
      </c>
      <c r="BG146" s="29" t="s">
        <v>2129</v>
      </c>
      <c r="BH146" s="29" t="s">
        <v>2129</v>
      </c>
      <c r="BI146" s="29" t="s">
        <v>2129</v>
      </c>
      <c r="BJ146" s="29" t="s">
        <v>2129</v>
      </c>
      <c r="BK146" s="29" t="s">
        <v>2129</v>
      </c>
      <c r="BL146" s="29" t="s">
        <v>2129</v>
      </c>
      <c r="BM146" s="29" t="s">
        <v>2129</v>
      </c>
      <c r="BN146" s="29" t="s">
        <v>2129</v>
      </c>
      <c r="BO146" s="29" t="s">
        <v>2129</v>
      </c>
      <c r="BP146" s="29" t="s">
        <v>2129</v>
      </c>
      <c r="BQ146" s="29" t="s">
        <v>2129</v>
      </c>
      <c r="BR146" s="29" t="s">
        <v>2129</v>
      </c>
      <c r="BS146" s="29" t="s">
        <v>2129</v>
      </c>
      <c r="BT146" s="29" t="s">
        <v>2129</v>
      </c>
      <c r="BU146" s="29" t="s">
        <v>2129</v>
      </c>
      <c r="BV146" s="29" t="s">
        <v>2129</v>
      </c>
      <c r="BW146" s="29" t="s">
        <v>2129</v>
      </c>
      <c r="BX146" s="29" t="s">
        <v>9</v>
      </c>
      <c r="BY146" s="29" t="s">
        <v>2129</v>
      </c>
      <c r="BZ146" s="29" t="s">
        <v>2129</v>
      </c>
      <c r="CA146" s="29" t="s">
        <v>2129</v>
      </c>
      <c r="CB146" s="29" t="s">
        <v>2129</v>
      </c>
      <c r="CC146" s="29" t="s">
        <v>2129</v>
      </c>
      <c r="CD146" s="29" t="s">
        <v>2129</v>
      </c>
      <c r="CE146" s="29" t="s">
        <v>3767</v>
      </c>
      <c r="CF146" s="29" t="s">
        <v>3738</v>
      </c>
      <c r="CG146" s="29" t="s">
        <v>2129</v>
      </c>
      <c r="CH146" s="29" t="s">
        <v>2129</v>
      </c>
      <c r="CI146" s="29" t="s">
        <v>2129</v>
      </c>
      <c r="CJ146" s="29" t="s">
        <v>2129</v>
      </c>
      <c r="CK146" s="29" t="s">
        <v>2129</v>
      </c>
      <c r="CL146" s="29" t="s">
        <v>2129</v>
      </c>
      <c r="CM146" s="29" t="s">
        <v>2129</v>
      </c>
      <c r="CN146" s="29" t="s">
        <v>2129</v>
      </c>
      <c r="CO146" s="29" t="s">
        <v>2129</v>
      </c>
      <c r="CP146" s="29" t="s">
        <v>2129</v>
      </c>
      <c r="CQ146" s="29" t="s">
        <v>2129</v>
      </c>
      <c r="CR146" s="29" t="s">
        <v>2129</v>
      </c>
      <c r="CS146" s="29">
        <v>50</v>
      </c>
      <c r="CT146" s="29" t="s">
        <v>2129</v>
      </c>
      <c r="CU146" s="29" t="s">
        <v>2129</v>
      </c>
      <c r="CV146" s="29" t="s">
        <v>2645</v>
      </c>
      <c r="CW146" s="29" t="s">
        <v>2129</v>
      </c>
      <c r="CX146" s="29" t="s">
        <v>2129</v>
      </c>
      <c r="CY146" s="29" t="s">
        <v>2129</v>
      </c>
      <c r="CZ146" s="29" t="s">
        <v>2129</v>
      </c>
      <c r="DA146" s="29" t="s">
        <v>2129</v>
      </c>
      <c r="DB146" s="29" t="s">
        <v>2129</v>
      </c>
      <c r="DC146" s="29" t="s">
        <v>2129</v>
      </c>
      <c r="DD146" s="29" t="s">
        <v>2129</v>
      </c>
      <c r="DE146" s="29" t="s">
        <v>2129</v>
      </c>
      <c r="DF146" s="29" t="s">
        <v>2129</v>
      </c>
      <c r="DG146" s="29" t="s">
        <v>2129</v>
      </c>
      <c r="DH146" s="29" t="s">
        <v>2129</v>
      </c>
      <c r="DI146" s="29" t="s">
        <v>2129</v>
      </c>
      <c r="DJ146" s="29" t="s">
        <v>2129</v>
      </c>
      <c r="DK146" s="29" t="s">
        <v>2129</v>
      </c>
      <c r="DL146" s="29" t="s">
        <v>2129</v>
      </c>
      <c r="DM146" s="29" t="s">
        <v>2129</v>
      </c>
      <c r="DN146" s="29" t="s">
        <v>2129</v>
      </c>
      <c r="DO146" s="29" t="s">
        <v>2129</v>
      </c>
      <c r="DP146" s="29" t="s">
        <v>2129</v>
      </c>
      <c r="DQ146" s="42" t="s">
        <v>2129</v>
      </c>
    </row>
    <row r="147" spans="1:121" x14ac:dyDescent="0.25">
      <c r="A147" s="36" t="s">
        <v>2543</v>
      </c>
      <c r="B147" s="30" t="s">
        <v>2544</v>
      </c>
      <c r="C147" s="30">
        <v>22755</v>
      </c>
      <c r="D147" s="30"/>
      <c r="E147" s="30" t="s">
        <v>14</v>
      </c>
      <c r="F147" s="30" t="s">
        <v>10</v>
      </c>
      <c r="G147" s="30" t="s">
        <v>12</v>
      </c>
      <c r="H147" s="30" t="s">
        <v>12</v>
      </c>
      <c r="I147" s="30" t="s">
        <v>2127</v>
      </c>
      <c r="J147" s="30" t="s">
        <v>2198</v>
      </c>
      <c r="K147" s="30" t="s">
        <v>2129</v>
      </c>
      <c r="L147" s="30" t="s">
        <v>2199</v>
      </c>
      <c r="M147" s="30" t="s">
        <v>2130</v>
      </c>
      <c r="N147" s="30" t="s">
        <v>2129</v>
      </c>
      <c r="O147" s="30" t="s">
        <v>2131</v>
      </c>
      <c r="P147" s="30" t="s">
        <v>2198</v>
      </c>
      <c r="Q147" s="30" t="s">
        <v>2198</v>
      </c>
      <c r="R147" s="46">
        <v>46021.393750000003</v>
      </c>
      <c r="S147" s="46">
        <v>46076.368055555555</v>
      </c>
      <c r="T147" s="46">
        <v>46087.717361111114</v>
      </c>
      <c r="U147" s="46"/>
      <c r="V147" s="30" t="s">
        <v>2129</v>
      </c>
      <c r="W147" s="30" t="s">
        <v>2129</v>
      </c>
      <c r="X147" s="30" t="s">
        <v>2129</v>
      </c>
      <c r="Y147" s="30">
        <v>0</v>
      </c>
      <c r="Z147" s="30" t="s">
        <v>2129</v>
      </c>
      <c r="AA147" s="30" t="s">
        <v>2129</v>
      </c>
      <c r="AB147" s="30" t="s">
        <v>2732</v>
      </c>
      <c r="AC147" s="30" t="s">
        <v>2129</v>
      </c>
      <c r="AD147" s="30" t="s">
        <v>2198</v>
      </c>
      <c r="AE147" s="30" t="s">
        <v>2129</v>
      </c>
      <c r="AF147" s="30" t="s">
        <v>2129</v>
      </c>
      <c r="AG147" s="30" t="s">
        <v>2129</v>
      </c>
      <c r="AH147" s="30" t="s">
        <v>2129</v>
      </c>
      <c r="AI147" s="30" t="s">
        <v>2129</v>
      </c>
      <c r="AJ147" s="30" t="s">
        <v>2129</v>
      </c>
      <c r="AK147" s="30" t="s">
        <v>2129</v>
      </c>
      <c r="AL147" s="30" t="s">
        <v>2129</v>
      </c>
      <c r="AM147" s="30" t="s">
        <v>2129</v>
      </c>
      <c r="AN147" s="30" t="s">
        <v>2129</v>
      </c>
      <c r="AO147" s="30" t="s">
        <v>2129</v>
      </c>
      <c r="AP147" s="30" t="s">
        <v>2129</v>
      </c>
      <c r="AQ147" s="30" t="s">
        <v>2129</v>
      </c>
      <c r="AR147" s="30" t="s">
        <v>2129</v>
      </c>
      <c r="AS147" s="30" t="s">
        <v>2129</v>
      </c>
      <c r="AT147" s="30" t="s">
        <v>2129</v>
      </c>
      <c r="AU147" s="30" t="s">
        <v>2129</v>
      </c>
      <c r="AV147" s="30" t="s">
        <v>2129</v>
      </c>
      <c r="AW147" s="30" t="s">
        <v>2129</v>
      </c>
      <c r="AX147" s="30"/>
      <c r="AY147" s="30"/>
      <c r="AZ147" s="30" t="s">
        <v>2129</v>
      </c>
      <c r="BA147" s="30" t="s">
        <v>2129</v>
      </c>
      <c r="BB147" s="30"/>
      <c r="BC147" s="30"/>
      <c r="BD147" s="30" t="s">
        <v>2129</v>
      </c>
      <c r="BE147" s="30" t="s">
        <v>2129</v>
      </c>
      <c r="BF147" s="30" t="s">
        <v>2129</v>
      </c>
      <c r="BG147" s="30" t="s">
        <v>2129</v>
      </c>
      <c r="BH147" s="30" t="s">
        <v>2129</v>
      </c>
      <c r="BI147" s="30" t="s">
        <v>2129</v>
      </c>
      <c r="BJ147" s="30" t="s">
        <v>2129</v>
      </c>
      <c r="BK147" s="30" t="s">
        <v>2733</v>
      </c>
      <c r="BL147" s="30" t="s">
        <v>2129</v>
      </c>
      <c r="BM147" s="30" t="s">
        <v>2129</v>
      </c>
      <c r="BN147" s="30" t="s">
        <v>2129</v>
      </c>
      <c r="BO147" s="30" t="s">
        <v>2129</v>
      </c>
      <c r="BP147" s="30" t="s">
        <v>2129</v>
      </c>
      <c r="BQ147" s="30" t="s">
        <v>2129</v>
      </c>
      <c r="BR147" s="30" t="s">
        <v>2129</v>
      </c>
      <c r="BS147" s="30" t="s">
        <v>2129</v>
      </c>
      <c r="BT147" s="30" t="s">
        <v>2129</v>
      </c>
      <c r="BU147" s="30" t="s">
        <v>2129</v>
      </c>
      <c r="BV147" s="30" t="s">
        <v>2129</v>
      </c>
      <c r="BW147" s="30" t="s">
        <v>2129</v>
      </c>
      <c r="BX147" s="30" t="s">
        <v>2129</v>
      </c>
      <c r="BY147" s="30" t="s">
        <v>2129</v>
      </c>
      <c r="BZ147" s="30" t="s">
        <v>2129</v>
      </c>
      <c r="CA147" s="30" t="s">
        <v>2129</v>
      </c>
      <c r="CB147" s="30" t="s">
        <v>2129</v>
      </c>
      <c r="CC147" s="30" t="s">
        <v>2129</v>
      </c>
      <c r="CD147" s="30" t="s">
        <v>2129</v>
      </c>
      <c r="CE147" s="30" t="s">
        <v>3768</v>
      </c>
      <c r="CF147" s="30" t="s">
        <v>3738</v>
      </c>
      <c r="CG147" s="30" t="s">
        <v>2129</v>
      </c>
      <c r="CH147" s="30" t="s">
        <v>2129</v>
      </c>
      <c r="CI147" s="30" t="s">
        <v>2129</v>
      </c>
      <c r="CJ147" s="30" t="s">
        <v>2129</v>
      </c>
      <c r="CK147" s="30" t="s">
        <v>2129</v>
      </c>
      <c r="CL147" s="30" t="s">
        <v>2129</v>
      </c>
      <c r="CM147" s="30" t="s">
        <v>2129</v>
      </c>
      <c r="CN147" s="30" t="s">
        <v>2129</v>
      </c>
      <c r="CO147" s="30" t="s">
        <v>2129</v>
      </c>
      <c r="CP147" s="30" t="s">
        <v>2129</v>
      </c>
      <c r="CQ147" s="30" t="s">
        <v>2129</v>
      </c>
      <c r="CR147" s="30" t="s">
        <v>2129</v>
      </c>
      <c r="CS147" s="30">
        <v>50</v>
      </c>
      <c r="CT147" s="30" t="s">
        <v>2129</v>
      </c>
      <c r="CU147" s="30" t="s">
        <v>2129</v>
      </c>
      <c r="CV147" s="30" t="s">
        <v>2129</v>
      </c>
      <c r="CW147" s="30" t="s">
        <v>2129</v>
      </c>
      <c r="CX147" s="30" t="s">
        <v>2129</v>
      </c>
      <c r="CY147" s="30" t="s">
        <v>2129</v>
      </c>
      <c r="CZ147" s="30" t="s">
        <v>2129</v>
      </c>
      <c r="DA147" s="30" t="s">
        <v>2129</v>
      </c>
      <c r="DB147" s="30" t="s">
        <v>2129</v>
      </c>
      <c r="DC147" s="30" t="s">
        <v>2129</v>
      </c>
      <c r="DD147" s="30" t="s">
        <v>2129</v>
      </c>
      <c r="DE147" s="30" t="s">
        <v>2129</v>
      </c>
      <c r="DF147" s="30" t="s">
        <v>2129</v>
      </c>
      <c r="DG147" s="30" t="s">
        <v>2129</v>
      </c>
      <c r="DH147" s="30" t="s">
        <v>2129</v>
      </c>
      <c r="DI147" s="30" t="s">
        <v>2129</v>
      </c>
      <c r="DJ147" s="30" t="s">
        <v>2129</v>
      </c>
      <c r="DK147" s="30" t="s">
        <v>2129</v>
      </c>
      <c r="DL147" s="30" t="s">
        <v>2129</v>
      </c>
      <c r="DM147" s="30" t="s">
        <v>2129</v>
      </c>
      <c r="DN147" s="30" t="s">
        <v>2129</v>
      </c>
      <c r="DO147" s="30" t="s">
        <v>2129</v>
      </c>
      <c r="DP147" s="30" t="s">
        <v>2129</v>
      </c>
      <c r="DQ147" s="43" t="s">
        <v>2129</v>
      </c>
    </row>
    <row r="148" spans="1:121" x14ac:dyDescent="0.25">
      <c r="A148" s="39" t="s">
        <v>2545</v>
      </c>
      <c r="B148" s="29" t="s">
        <v>2546</v>
      </c>
      <c r="C148" s="29">
        <v>22752</v>
      </c>
      <c r="D148" s="29"/>
      <c r="E148" s="29" t="s">
        <v>14</v>
      </c>
      <c r="F148" s="29" t="s">
        <v>16</v>
      </c>
      <c r="G148" s="29" t="s">
        <v>12</v>
      </c>
      <c r="H148" s="29" t="s">
        <v>12</v>
      </c>
      <c r="I148" s="29" t="s">
        <v>2127</v>
      </c>
      <c r="J148" s="29" t="s">
        <v>2198</v>
      </c>
      <c r="K148" s="29" t="s">
        <v>2129</v>
      </c>
      <c r="L148" s="29" t="s">
        <v>2199</v>
      </c>
      <c r="M148" s="29" t="s">
        <v>2130</v>
      </c>
      <c r="N148" s="29" t="s">
        <v>16</v>
      </c>
      <c r="O148" s="29" t="s">
        <v>2150</v>
      </c>
      <c r="P148" s="29" t="s">
        <v>2198</v>
      </c>
      <c r="Q148" s="29" t="s">
        <v>2198</v>
      </c>
      <c r="R148" s="45">
        <v>46020.585416666669</v>
      </c>
      <c r="S148" s="45">
        <v>46085.397222222222</v>
      </c>
      <c r="T148" s="45">
        <v>46087.717361111114</v>
      </c>
      <c r="U148" s="45">
        <v>46050.515972222223</v>
      </c>
      <c r="V148" s="29" t="s">
        <v>3757</v>
      </c>
      <c r="W148" s="29" t="s">
        <v>2129</v>
      </c>
      <c r="X148" s="29" t="s">
        <v>2129</v>
      </c>
      <c r="Y148" s="29">
        <v>0</v>
      </c>
      <c r="Z148" s="29" t="s">
        <v>2129</v>
      </c>
      <c r="AA148" s="29" t="s">
        <v>2129</v>
      </c>
      <c r="AB148" s="29" t="s">
        <v>3769</v>
      </c>
      <c r="AC148" s="29" t="s">
        <v>2129</v>
      </c>
      <c r="AD148" s="29" t="s">
        <v>2200</v>
      </c>
      <c r="AE148" s="29" t="s">
        <v>2198</v>
      </c>
      <c r="AF148" s="29" t="s">
        <v>2129</v>
      </c>
      <c r="AG148" s="29" t="s">
        <v>2129</v>
      </c>
      <c r="AH148" s="29" t="s">
        <v>2129</v>
      </c>
      <c r="AI148" s="29" t="s">
        <v>3770</v>
      </c>
      <c r="AJ148" s="29" t="s">
        <v>3771</v>
      </c>
      <c r="AK148" s="29" t="s">
        <v>2129</v>
      </c>
      <c r="AL148" s="29" t="s">
        <v>2129</v>
      </c>
      <c r="AM148" s="29" t="s">
        <v>2129</v>
      </c>
      <c r="AN148" s="29" t="s">
        <v>2129</v>
      </c>
      <c r="AO148" s="29" t="s">
        <v>2129</v>
      </c>
      <c r="AP148" s="29" t="s">
        <v>2129</v>
      </c>
      <c r="AQ148" s="29" t="s">
        <v>2129</v>
      </c>
      <c r="AR148" s="29" t="s">
        <v>2129</v>
      </c>
      <c r="AS148" s="29" t="s">
        <v>2129</v>
      </c>
      <c r="AT148" s="29" t="s">
        <v>2129</v>
      </c>
      <c r="AU148" s="29" t="s">
        <v>2129</v>
      </c>
      <c r="AV148" s="29" t="s">
        <v>2129</v>
      </c>
      <c r="AW148" s="29" t="s">
        <v>2129</v>
      </c>
      <c r="AX148" s="29">
        <v>0</v>
      </c>
      <c r="AY148" s="29">
        <v>10800</v>
      </c>
      <c r="AZ148" s="29" t="s">
        <v>2129</v>
      </c>
      <c r="BA148" s="29" t="s">
        <v>2129</v>
      </c>
      <c r="BB148" s="29">
        <v>0</v>
      </c>
      <c r="BC148" s="29">
        <v>10800</v>
      </c>
      <c r="BD148" s="29" t="s">
        <v>2129</v>
      </c>
      <c r="BE148" s="29" t="s">
        <v>2129</v>
      </c>
      <c r="BF148" s="29" t="s">
        <v>2129</v>
      </c>
      <c r="BG148" s="29" t="s">
        <v>2129</v>
      </c>
      <c r="BH148" s="29" t="s">
        <v>2129</v>
      </c>
      <c r="BI148" s="29" t="s">
        <v>2129</v>
      </c>
      <c r="BJ148" s="29" t="s">
        <v>2129</v>
      </c>
      <c r="BK148" s="29" t="s">
        <v>2129</v>
      </c>
      <c r="BL148" s="29" t="s">
        <v>2129</v>
      </c>
      <c r="BM148" s="29" t="s">
        <v>2129</v>
      </c>
      <c r="BN148" s="29" t="s">
        <v>2129</v>
      </c>
      <c r="BO148" s="29" t="s">
        <v>2129</v>
      </c>
      <c r="BP148" s="29" t="s">
        <v>2129</v>
      </c>
      <c r="BQ148" s="29" t="s">
        <v>2129</v>
      </c>
      <c r="BR148" s="29" t="s">
        <v>2129</v>
      </c>
      <c r="BS148" s="29" t="s">
        <v>2129</v>
      </c>
      <c r="BT148" s="29" t="s">
        <v>2129</v>
      </c>
      <c r="BU148" s="29" t="s">
        <v>2129</v>
      </c>
      <c r="BV148" s="29" t="s">
        <v>2129</v>
      </c>
      <c r="BW148" s="29" t="s">
        <v>2129</v>
      </c>
      <c r="BX148" s="29" t="s">
        <v>2129</v>
      </c>
      <c r="BY148" s="29" t="s">
        <v>2129</v>
      </c>
      <c r="BZ148" s="29" t="s">
        <v>2129</v>
      </c>
      <c r="CA148" s="29" t="s">
        <v>2129</v>
      </c>
      <c r="CB148" s="29" t="s">
        <v>2129</v>
      </c>
      <c r="CC148" s="29" t="s">
        <v>2129</v>
      </c>
      <c r="CD148" s="29" t="s">
        <v>2129</v>
      </c>
      <c r="CE148" s="29" t="s">
        <v>3772</v>
      </c>
      <c r="CF148" s="29" t="s">
        <v>2723</v>
      </c>
      <c r="CG148" s="29" t="s">
        <v>2129</v>
      </c>
      <c r="CH148" s="29" t="s">
        <v>2129</v>
      </c>
      <c r="CI148" s="29" t="s">
        <v>2129</v>
      </c>
      <c r="CJ148" s="29" t="s">
        <v>2129</v>
      </c>
      <c r="CK148" s="29" t="s">
        <v>2129</v>
      </c>
      <c r="CL148" s="29" t="s">
        <v>2129</v>
      </c>
      <c r="CM148" s="29" t="s">
        <v>2129</v>
      </c>
      <c r="CN148" s="29" t="s">
        <v>2129</v>
      </c>
      <c r="CO148" s="29" t="s">
        <v>2129</v>
      </c>
      <c r="CP148" s="29" t="s">
        <v>2129</v>
      </c>
      <c r="CQ148" s="29" t="s">
        <v>2129</v>
      </c>
      <c r="CR148" s="29" t="s">
        <v>2129</v>
      </c>
      <c r="CS148" s="29">
        <v>20</v>
      </c>
      <c r="CT148" s="29" t="s">
        <v>2129</v>
      </c>
      <c r="CU148" s="29" t="s">
        <v>2129</v>
      </c>
      <c r="CV148" s="29" t="s">
        <v>3773</v>
      </c>
      <c r="CW148" s="29" t="s">
        <v>2129</v>
      </c>
      <c r="CX148" s="29" t="s">
        <v>2129</v>
      </c>
      <c r="CY148" s="29" t="s">
        <v>2129</v>
      </c>
      <c r="CZ148" s="29" t="s">
        <v>2129</v>
      </c>
      <c r="DA148" s="29" t="s">
        <v>2129</v>
      </c>
      <c r="DB148" s="29" t="s">
        <v>2129</v>
      </c>
      <c r="DC148" s="29" t="s">
        <v>2129</v>
      </c>
      <c r="DD148" s="29" t="s">
        <v>2129</v>
      </c>
      <c r="DE148" s="29" t="s">
        <v>2129</v>
      </c>
      <c r="DF148" s="29" t="s">
        <v>2129</v>
      </c>
      <c r="DG148" s="29" t="s">
        <v>2129</v>
      </c>
      <c r="DH148" s="29" t="s">
        <v>2129</v>
      </c>
      <c r="DI148" s="29" t="s">
        <v>2129</v>
      </c>
      <c r="DJ148" s="29" t="s">
        <v>2129</v>
      </c>
      <c r="DK148" s="29" t="s">
        <v>2129</v>
      </c>
      <c r="DL148" s="29" t="s">
        <v>2129</v>
      </c>
      <c r="DM148" s="29" t="s">
        <v>2129</v>
      </c>
      <c r="DN148" s="29" t="s">
        <v>2129</v>
      </c>
      <c r="DO148" s="29" t="s">
        <v>2129</v>
      </c>
      <c r="DP148" s="29" t="s">
        <v>2129</v>
      </c>
      <c r="DQ148" s="42" t="s">
        <v>2129</v>
      </c>
    </row>
    <row r="149" spans="1:121" x14ac:dyDescent="0.25">
      <c r="A149" s="36" t="s">
        <v>2795</v>
      </c>
      <c r="B149" s="30" t="s">
        <v>2789</v>
      </c>
      <c r="C149" s="30">
        <v>22739</v>
      </c>
      <c r="D149" s="30"/>
      <c r="E149" s="30" t="s">
        <v>14</v>
      </c>
      <c r="F149" s="30" t="s">
        <v>27</v>
      </c>
      <c r="G149" s="30" t="s">
        <v>12</v>
      </c>
      <c r="H149" s="30" t="s">
        <v>12</v>
      </c>
      <c r="I149" s="30" t="s">
        <v>2127</v>
      </c>
      <c r="J149" s="30" t="s">
        <v>2198</v>
      </c>
      <c r="K149" s="30" t="s">
        <v>2129</v>
      </c>
      <c r="L149" s="30" t="s">
        <v>2199</v>
      </c>
      <c r="M149" s="30" t="s">
        <v>2130</v>
      </c>
      <c r="N149" s="30" t="s">
        <v>2129</v>
      </c>
      <c r="O149" s="30" t="s">
        <v>2150</v>
      </c>
      <c r="P149" s="30" t="s">
        <v>2198</v>
      </c>
      <c r="Q149" s="30" t="s">
        <v>2198</v>
      </c>
      <c r="R149" s="46">
        <v>46017.706250000003</v>
      </c>
      <c r="S149" s="46">
        <v>46078.397916666669</v>
      </c>
      <c r="T149" s="46">
        <v>46087.717361111114</v>
      </c>
      <c r="U149" s="46"/>
      <c r="V149" s="30" t="s">
        <v>2129</v>
      </c>
      <c r="W149" s="30" t="s">
        <v>2129</v>
      </c>
      <c r="X149" s="30" t="s">
        <v>2129</v>
      </c>
      <c r="Y149" s="30">
        <v>0</v>
      </c>
      <c r="Z149" s="30" t="s">
        <v>2129</v>
      </c>
      <c r="AA149" s="30" t="s">
        <v>2129</v>
      </c>
      <c r="AB149" s="30" t="s">
        <v>3774</v>
      </c>
      <c r="AC149" s="30" t="s">
        <v>2129</v>
      </c>
      <c r="AD149" s="30" t="s">
        <v>2198</v>
      </c>
      <c r="AE149" s="30" t="s">
        <v>2129</v>
      </c>
      <c r="AF149" s="30" t="s">
        <v>2129</v>
      </c>
      <c r="AG149" s="30" t="s">
        <v>2129</v>
      </c>
      <c r="AH149" s="30" t="s">
        <v>2129</v>
      </c>
      <c r="AI149" s="30" t="s">
        <v>3775</v>
      </c>
      <c r="AJ149" s="30" t="s">
        <v>3776</v>
      </c>
      <c r="AK149" s="30" t="s">
        <v>2129</v>
      </c>
      <c r="AL149" s="30" t="s">
        <v>2129</v>
      </c>
      <c r="AM149" s="30" t="s">
        <v>2129</v>
      </c>
      <c r="AN149" s="30" t="s">
        <v>2129</v>
      </c>
      <c r="AO149" s="30" t="s">
        <v>2129</v>
      </c>
      <c r="AP149" s="30" t="s">
        <v>2129</v>
      </c>
      <c r="AQ149" s="30" t="s">
        <v>2129</v>
      </c>
      <c r="AR149" s="30" t="s">
        <v>2129</v>
      </c>
      <c r="AS149" s="30" t="s">
        <v>2129</v>
      </c>
      <c r="AT149" s="30" t="s">
        <v>2129</v>
      </c>
      <c r="AU149" s="30" t="s">
        <v>2129</v>
      </c>
      <c r="AV149" s="30" t="s">
        <v>2129</v>
      </c>
      <c r="AW149" s="30" t="s">
        <v>2129</v>
      </c>
      <c r="AX149" s="30">
        <v>0</v>
      </c>
      <c r="AY149" s="30">
        <v>21600</v>
      </c>
      <c r="AZ149" s="30" t="s">
        <v>2129</v>
      </c>
      <c r="BA149" s="30" t="s">
        <v>2129</v>
      </c>
      <c r="BB149" s="30">
        <v>0</v>
      </c>
      <c r="BC149" s="30">
        <v>21600</v>
      </c>
      <c r="BD149" s="30" t="s">
        <v>2129</v>
      </c>
      <c r="BE149" s="30" t="s">
        <v>2129</v>
      </c>
      <c r="BF149" s="30" t="s">
        <v>2129</v>
      </c>
      <c r="BG149" s="30" t="s">
        <v>2129</v>
      </c>
      <c r="BH149" s="30" t="s">
        <v>2129</v>
      </c>
      <c r="BI149" s="30" t="s">
        <v>2129</v>
      </c>
      <c r="BJ149" s="30" t="s">
        <v>2129</v>
      </c>
      <c r="BK149" s="30" t="s">
        <v>2129</v>
      </c>
      <c r="BL149" s="30" t="s">
        <v>2129</v>
      </c>
      <c r="BM149" s="30" t="s">
        <v>2129</v>
      </c>
      <c r="BN149" s="30" t="s">
        <v>2129</v>
      </c>
      <c r="BO149" s="30" t="s">
        <v>2129</v>
      </c>
      <c r="BP149" s="30" t="s">
        <v>2129</v>
      </c>
      <c r="BQ149" s="30" t="s">
        <v>2129</v>
      </c>
      <c r="BR149" s="30" t="s">
        <v>2129</v>
      </c>
      <c r="BS149" s="30" t="s">
        <v>2129</v>
      </c>
      <c r="BT149" s="30" t="s">
        <v>2129</v>
      </c>
      <c r="BU149" s="30" t="s">
        <v>2129</v>
      </c>
      <c r="BV149" s="30" t="s">
        <v>2129</v>
      </c>
      <c r="BW149" s="30" t="s">
        <v>2129</v>
      </c>
      <c r="BX149" s="30" t="s">
        <v>2129</v>
      </c>
      <c r="BY149" s="30" t="s">
        <v>2129</v>
      </c>
      <c r="BZ149" s="30" t="s">
        <v>2129</v>
      </c>
      <c r="CA149" s="30" t="s">
        <v>2129</v>
      </c>
      <c r="CB149" s="30" t="s">
        <v>2129</v>
      </c>
      <c r="CC149" s="30" t="s">
        <v>2129</v>
      </c>
      <c r="CD149" s="30" t="s">
        <v>2129</v>
      </c>
      <c r="CE149" s="30" t="s">
        <v>3777</v>
      </c>
      <c r="CF149" s="30" t="s">
        <v>3738</v>
      </c>
      <c r="CG149" s="30" t="s">
        <v>2129</v>
      </c>
      <c r="CH149" s="30" t="s">
        <v>2129</v>
      </c>
      <c r="CI149" s="30" t="s">
        <v>2129</v>
      </c>
      <c r="CJ149" s="30" t="s">
        <v>2129</v>
      </c>
      <c r="CK149" s="30" t="s">
        <v>2129</v>
      </c>
      <c r="CL149" s="30" t="s">
        <v>2129</v>
      </c>
      <c r="CM149" s="30" t="s">
        <v>2129</v>
      </c>
      <c r="CN149" s="30" t="s">
        <v>2129</v>
      </c>
      <c r="CO149" s="30" t="s">
        <v>2129</v>
      </c>
      <c r="CP149" s="30" t="s">
        <v>2129</v>
      </c>
      <c r="CQ149" s="30" t="s">
        <v>2129</v>
      </c>
      <c r="CR149" s="30" t="s">
        <v>2129</v>
      </c>
      <c r="CS149" s="30">
        <v>30</v>
      </c>
      <c r="CT149" s="30" t="s">
        <v>2129</v>
      </c>
      <c r="CU149" s="30" t="s">
        <v>2129</v>
      </c>
      <c r="CV149" s="30" t="s">
        <v>2129</v>
      </c>
      <c r="CW149" s="30" t="s">
        <v>2129</v>
      </c>
      <c r="CX149" s="30" t="s">
        <v>2129</v>
      </c>
      <c r="CY149" s="30" t="s">
        <v>2129</v>
      </c>
      <c r="CZ149" s="30" t="s">
        <v>2129</v>
      </c>
      <c r="DA149" s="30" t="s">
        <v>2129</v>
      </c>
      <c r="DB149" s="30" t="s">
        <v>2129</v>
      </c>
      <c r="DC149" s="30" t="s">
        <v>2129</v>
      </c>
      <c r="DD149" s="30" t="s">
        <v>2129</v>
      </c>
      <c r="DE149" s="30" t="s">
        <v>2129</v>
      </c>
      <c r="DF149" s="30" t="s">
        <v>2129</v>
      </c>
      <c r="DG149" s="30" t="s">
        <v>2129</v>
      </c>
      <c r="DH149" s="30" t="s">
        <v>2129</v>
      </c>
      <c r="DI149" s="30" t="s">
        <v>2129</v>
      </c>
      <c r="DJ149" s="30" t="s">
        <v>2129</v>
      </c>
      <c r="DK149" s="30" t="s">
        <v>2129</v>
      </c>
      <c r="DL149" s="30" t="s">
        <v>2129</v>
      </c>
      <c r="DM149" s="30" t="s">
        <v>2129</v>
      </c>
      <c r="DN149" s="30" t="s">
        <v>2129</v>
      </c>
      <c r="DO149" s="30" t="s">
        <v>2129</v>
      </c>
      <c r="DP149" s="30" t="s">
        <v>2129</v>
      </c>
      <c r="DQ149" s="43" t="s">
        <v>2129</v>
      </c>
    </row>
    <row r="150" spans="1:121" x14ac:dyDescent="0.25">
      <c r="A150" s="39" t="s">
        <v>2424</v>
      </c>
      <c r="B150" s="29" t="s">
        <v>2425</v>
      </c>
      <c r="C150" s="29">
        <v>22704</v>
      </c>
      <c r="D150" s="29"/>
      <c r="E150" s="29" t="s">
        <v>14</v>
      </c>
      <c r="F150" s="29" t="s">
        <v>16</v>
      </c>
      <c r="G150" s="29" t="s">
        <v>12</v>
      </c>
      <c r="H150" s="29" t="s">
        <v>12</v>
      </c>
      <c r="I150" s="29" t="s">
        <v>2127</v>
      </c>
      <c r="J150" s="29" t="s">
        <v>2198</v>
      </c>
      <c r="K150" s="29" t="s">
        <v>2129</v>
      </c>
      <c r="L150" s="29" t="s">
        <v>2199</v>
      </c>
      <c r="M150" s="29" t="s">
        <v>2130</v>
      </c>
      <c r="N150" s="29" t="s">
        <v>16</v>
      </c>
      <c r="O150" s="29" t="s">
        <v>2150</v>
      </c>
      <c r="P150" s="29" t="s">
        <v>2198</v>
      </c>
      <c r="Q150" s="29" t="s">
        <v>2198</v>
      </c>
      <c r="R150" s="45">
        <v>46015.576388888891</v>
      </c>
      <c r="S150" s="45">
        <v>46085.396527777775</v>
      </c>
      <c r="T150" s="45">
        <v>46087.717361111114</v>
      </c>
      <c r="U150" s="45">
        <v>46050.631249999999</v>
      </c>
      <c r="V150" s="29" t="s">
        <v>3757</v>
      </c>
      <c r="W150" s="29" t="s">
        <v>2129</v>
      </c>
      <c r="X150" s="29" t="s">
        <v>2129</v>
      </c>
      <c r="Y150" s="29">
        <v>0</v>
      </c>
      <c r="Z150" s="29" t="s">
        <v>2129</v>
      </c>
      <c r="AA150" s="29" t="s">
        <v>2129</v>
      </c>
      <c r="AB150" s="29" t="s">
        <v>3778</v>
      </c>
      <c r="AC150" s="29" t="s">
        <v>2129</v>
      </c>
      <c r="AD150" s="29" t="s">
        <v>2198</v>
      </c>
      <c r="AE150" s="29" t="s">
        <v>2129</v>
      </c>
      <c r="AF150" s="29" t="s">
        <v>2129</v>
      </c>
      <c r="AG150" s="29" t="s">
        <v>2129</v>
      </c>
      <c r="AH150" s="29" t="s">
        <v>2129</v>
      </c>
      <c r="AI150" s="29" t="s">
        <v>3779</v>
      </c>
      <c r="AJ150" s="29" t="s">
        <v>3780</v>
      </c>
      <c r="AK150" s="29" t="s">
        <v>2129</v>
      </c>
      <c r="AL150" s="29" t="s">
        <v>2129</v>
      </c>
      <c r="AM150" s="29" t="s">
        <v>2129</v>
      </c>
      <c r="AN150" s="29" t="s">
        <v>2129</v>
      </c>
      <c r="AO150" s="29" t="s">
        <v>2129</v>
      </c>
      <c r="AP150" s="29" t="s">
        <v>2129</v>
      </c>
      <c r="AQ150" s="29" t="s">
        <v>2129</v>
      </c>
      <c r="AR150" s="29" t="s">
        <v>2129</v>
      </c>
      <c r="AS150" s="29" t="s">
        <v>2129</v>
      </c>
      <c r="AT150" s="29" t="s">
        <v>2129</v>
      </c>
      <c r="AU150" s="29" t="s">
        <v>2129</v>
      </c>
      <c r="AV150" s="29" t="s">
        <v>2129</v>
      </c>
      <c r="AW150" s="29" t="s">
        <v>2129</v>
      </c>
      <c r="AX150" s="29">
        <v>0</v>
      </c>
      <c r="AY150" s="29">
        <v>4500</v>
      </c>
      <c r="AZ150" s="29" t="s">
        <v>2129</v>
      </c>
      <c r="BA150" s="29" t="s">
        <v>2129</v>
      </c>
      <c r="BB150" s="29">
        <v>0</v>
      </c>
      <c r="BC150" s="29">
        <v>4500</v>
      </c>
      <c r="BD150" s="29" t="s">
        <v>2129</v>
      </c>
      <c r="BE150" s="29" t="s">
        <v>2129</v>
      </c>
      <c r="BF150" s="29" t="s">
        <v>2129</v>
      </c>
      <c r="BG150" s="29" t="s">
        <v>2129</v>
      </c>
      <c r="BH150" s="29" t="s">
        <v>2129</v>
      </c>
      <c r="BI150" s="29" t="s">
        <v>2129</v>
      </c>
      <c r="BJ150" s="29" t="s">
        <v>2129</v>
      </c>
      <c r="BK150" s="29" t="s">
        <v>2129</v>
      </c>
      <c r="BL150" s="29" t="s">
        <v>2129</v>
      </c>
      <c r="BM150" s="29" t="s">
        <v>2129</v>
      </c>
      <c r="BN150" s="29" t="s">
        <v>2129</v>
      </c>
      <c r="BO150" s="29" t="s">
        <v>2129</v>
      </c>
      <c r="BP150" s="29" t="s">
        <v>2129</v>
      </c>
      <c r="BQ150" s="29" t="s">
        <v>2129</v>
      </c>
      <c r="BR150" s="29" t="s">
        <v>2129</v>
      </c>
      <c r="BS150" s="29" t="s">
        <v>2129</v>
      </c>
      <c r="BT150" s="29" t="s">
        <v>2129</v>
      </c>
      <c r="BU150" s="29" t="s">
        <v>2129</v>
      </c>
      <c r="BV150" s="29" t="s">
        <v>2129</v>
      </c>
      <c r="BW150" s="29" t="s">
        <v>2129</v>
      </c>
      <c r="BX150" s="29" t="s">
        <v>2129</v>
      </c>
      <c r="BY150" s="29" t="s">
        <v>2129</v>
      </c>
      <c r="BZ150" s="29" t="s">
        <v>2129</v>
      </c>
      <c r="CA150" s="29" t="s">
        <v>2129</v>
      </c>
      <c r="CB150" s="29" t="s">
        <v>2129</v>
      </c>
      <c r="CC150" s="29" t="s">
        <v>2129</v>
      </c>
      <c r="CD150" s="29" t="s">
        <v>2129</v>
      </c>
      <c r="CE150" s="29" t="s">
        <v>3781</v>
      </c>
      <c r="CF150" s="29" t="s">
        <v>2723</v>
      </c>
      <c r="CG150" s="29" t="s">
        <v>2129</v>
      </c>
      <c r="CH150" s="29" t="s">
        <v>2129</v>
      </c>
      <c r="CI150" s="29" t="s">
        <v>2129</v>
      </c>
      <c r="CJ150" s="29" t="s">
        <v>2129</v>
      </c>
      <c r="CK150" s="29" t="s">
        <v>2129</v>
      </c>
      <c r="CL150" s="29" t="s">
        <v>2129</v>
      </c>
      <c r="CM150" s="29" t="s">
        <v>2129</v>
      </c>
      <c r="CN150" s="29" t="s">
        <v>2129</v>
      </c>
      <c r="CO150" s="29" t="s">
        <v>2129</v>
      </c>
      <c r="CP150" s="29" t="s">
        <v>2129</v>
      </c>
      <c r="CQ150" s="29" t="s">
        <v>2129</v>
      </c>
      <c r="CR150" s="29" t="s">
        <v>2129</v>
      </c>
      <c r="CS150" s="29">
        <v>20</v>
      </c>
      <c r="CT150" s="29" t="s">
        <v>2129</v>
      </c>
      <c r="CU150" s="29" t="s">
        <v>2129</v>
      </c>
      <c r="CV150" s="29" t="s">
        <v>2129</v>
      </c>
      <c r="CW150" s="29" t="s">
        <v>2129</v>
      </c>
      <c r="CX150" s="29" t="s">
        <v>2129</v>
      </c>
      <c r="CY150" s="29" t="s">
        <v>2129</v>
      </c>
      <c r="CZ150" s="29" t="s">
        <v>2129</v>
      </c>
      <c r="DA150" s="29" t="s">
        <v>2129</v>
      </c>
      <c r="DB150" s="29" t="s">
        <v>2129</v>
      </c>
      <c r="DC150" s="29" t="s">
        <v>2129</v>
      </c>
      <c r="DD150" s="29" t="s">
        <v>2129</v>
      </c>
      <c r="DE150" s="29" t="s">
        <v>2129</v>
      </c>
      <c r="DF150" s="29" t="s">
        <v>2129</v>
      </c>
      <c r="DG150" s="29" t="s">
        <v>2129</v>
      </c>
      <c r="DH150" s="29" t="s">
        <v>2129</v>
      </c>
      <c r="DI150" s="29" t="s">
        <v>2129</v>
      </c>
      <c r="DJ150" s="29" t="s">
        <v>2129</v>
      </c>
      <c r="DK150" s="29" t="s">
        <v>2129</v>
      </c>
      <c r="DL150" s="29" t="s">
        <v>2129</v>
      </c>
      <c r="DM150" s="29" t="s">
        <v>2129</v>
      </c>
      <c r="DN150" s="29" t="s">
        <v>2129</v>
      </c>
      <c r="DO150" s="29" t="s">
        <v>2129</v>
      </c>
      <c r="DP150" s="29" t="s">
        <v>2129</v>
      </c>
      <c r="DQ150" s="42" t="s">
        <v>2129</v>
      </c>
    </row>
    <row r="151" spans="1:121" x14ac:dyDescent="0.25">
      <c r="A151" s="36" t="s">
        <v>2646</v>
      </c>
      <c r="B151" s="30" t="s">
        <v>2428</v>
      </c>
      <c r="C151" s="30">
        <v>22697</v>
      </c>
      <c r="D151" s="30"/>
      <c r="E151" s="30" t="s">
        <v>14</v>
      </c>
      <c r="F151" s="30" t="s">
        <v>27</v>
      </c>
      <c r="G151" s="30" t="s">
        <v>12</v>
      </c>
      <c r="H151" s="30" t="s">
        <v>12</v>
      </c>
      <c r="I151" s="30" t="s">
        <v>2127</v>
      </c>
      <c r="J151" s="30" t="s">
        <v>2198</v>
      </c>
      <c r="K151" s="30" t="s">
        <v>2129</v>
      </c>
      <c r="L151" s="30" t="s">
        <v>2199</v>
      </c>
      <c r="M151" s="30" t="s">
        <v>2130</v>
      </c>
      <c r="N151" s="30" t="s">
        <v>2129</v>
      </c>
      <c r="O151" s="30" t="s">
        <v>2131</v>
      </c>
      <c r="P151" s="30" t="s">
        <v>2198</v>
      </c>
      <c r="Q151" s="30" t="s">
        <v>2198</v>
      </c>
      <c r="R151" s="46">
        <v>46015.429861111108</v>
      </c>
      <c r="S151" s="46">
        <v>46076.368055555555</v>
      </c>
      <c r="T151" s="46">
        <v>46087.717361111114</v>
      </c>
      <c r="U151" s="46"/>
      <c r="V151" s="30" t="s">
        <v>2129</v>
      </c>
      <c r="W151" s="30" t="s">
        <v>2129</v>
      </c>
      <c r="X151" s="30" t="s">
        <v>2129</v>
      </c>
      <c r="Y151" s="30">
        <v>0</v>
      </c>
      <c r="Z151" s="30" t="s">
        <v>2129</v>
      </c>
      <c r="AA151" s="30" t="s">
        <v>2129</v>
      </c>
      <c r="AB151" s="30" t="s">
        <v>2647</v>
      </c>
      <c r="AC151" s="30" t="s">
        <v>2129</v>
      </c>
      <c r="AD151" s="30" t="s">
        <v>2131</v>
      </c>
      <c r="AE151" s="30" t="s">
        <v>2198</v>
      </c>
      <c r="AF151" s="30" t="s">
        <v>2129</v>
      </c>
      <c r="AG151" s="30" t="s">
        <v>2129</v>
      </c>
      <c r="AH151" s="30" t="s">
        <v>2129</v>
      </c>
      <c r="AI151" s="30" t="s">
        <v>2648</v>
      </c>
      <c r="AJ151" s="30" t="s">
        <v>2129</v>
      </c>
      <c r="AK151" s="30" t="s">
        <v>2129</v>
      </c>
      <c r="AL151" s="30" t="s">
        <v>2129</v>
      </c>
      <c r="AM151" s="30" t="s">
        <v>2129</v>
      </c>
      <c r="AN151" s="30" t="s">
        <v>2129</v>
      </c>
      <c r="AO151" s="30" t="s">
        <v>2129</v>
      </c>
      <c r="AP151" s="30" t="s">
        <v>2129</v>
      </c>
      <c r="AQ151" s="30" t="s">
        <v>2129</v>
      </c>
      <c r="AR151" s="30" t="s">
        <v>2129</v>
      </c>
      <c r="AS151" s="30" t="s">
        <v>2129</v>
      </c>
      <c r="AT151" s="30" t="s">
        <v>2129</v>
      </c>
      <c r="AU151" s="30" t="s">
        <v>2129</v>
      </c>
      <c r="AV151" s="30" t="s">
        <v>2129</v>
      </c>
      <c r="AW151" s="30" t="s">
        <v>2129</v>
      </c>
      <c r="AX151" s="30">
        <v>0</v>
      </c>
      <c r="AY151" s="30">
        <v>25200</v>
      </c>
      <c r="AZ151" s="30" t="s">
        <v>2129</v>
      </c>
      <c r="BA151" s="30" t="s">
        <v>2129</v>
      </c>
      <c r="BB151" s="30">
        <v>0</v>
      </c>
      <c r="BC151" s="30">
        <v>25200</v>
      </c>
      <c r="BD151" s="30" t="s">
        <v>2129</v>
      </c>
      <c r="BE151" s="30" t="s">
        <v>2129</v>
      </c>
      <c r="BF151" s="30" t="s">
        <v>2129</v>
      </c>
      <c r="BG151" s="30" t="s">
        <v>2129</v>
      </c>
      <c r="BH151" s="30" t="s">
        <v>2129</v>
      </c>
      <c r="BI151" s="30" t="s">
        <v>2129</v>
      </c>
      <c r="BJ151" s="30" t="s">
        <v>2129</v>
      </c>
      <c r="BK151" s="30" t="s">
        <v>2129</v>
      </c>
      <c r="BL151" s="30" t="s">
        <v>2129</v>
      </c>
      <c r="BM151" s="30" t="s">
        <v>2129</v>
      </c>
      <c r="BN151" s="30" t="s">
        <v>2129</v>
      </c>
      <c r="BO151" s="30" t="s">
        <v>2129</v>
      </c>
      <c r="BP151" s="30" t="s">
        <v>2129</v>
      </c>
      <c r="BQ151" s="30" t="s">
        <v>2129</v>
      </c>
      <c r="BR151" s="30" t="s">
        <v>2129</v>
      </c>
      <c r="BS151" s="30" t="s">
        <v>2129</v>
      </c>
      <c r="BT151" s="30" t="s">
        <v>2129</v>
      </c>
      <c r="BU151" s="30" t="s">
        <v>2129</v>
      </c>
      <c r="BV151" s="30" t="s">
        <v>2129</v>
      </c>
      <c r="BW151" s="30" t="s">
        <v>2129</v>
      </c>
      <c r="BX151" s="30" t="s">
        <v>9</v>
      </c>
      <c r="BY151" s="30" t="s">
        <v>2129</v>
      </c>
      <c r="BZ151" s="30" t="s">
        <v>2129</v>
      </c>
      <c r="CA151" s="30" t="s">
        <v>2129</v>
      </c>
      <c r="CB151" s="30" t="s">
        <v>2129</v>
      </c>
      <c r="CC151" s="30" t="s">
        <v>2129</v>
      </c>
      <c r="CD151" s="30" t="s">
        <v>2129</v>
      </c>
      <c r="CE151" s="30" t="s">
        <v>3782</v>
      </c>
      <c r="CF151" s="30" t="s">
        <v>3738</v>
      </c>
      <c r="CG151" s="30" t="s">
        <v>2129</v>
      </c>
      <c r="CH151" s="30" t="s">
        <v>2129</v>
      </c>
      <c r="CI151" s="30" t="s">
        <v>2129</v>
      </c>
      <c r="CJ151" s="30" t="s">
        <v>2129</v>
      </c>
      <c r="CK151" s="30" t="s">
        <v>2129</v>
      </c>
      <c r="CL151" s="30" t="s">
        <v>2129</v>
      </c>
      <c r="CM151" s="30" t="s">
        <v>2129</v>
      </c>
      <c r="CN151" s="30" t="s">
        <v>2129</v>
      </c>
      <c r="CO151" s="30" t="s">
        <v>2129</v>
      </c>
      <c r="CP151" s="30" t="s">
        <v>2129</v>
      </c>
      <c r="CQ151" s="30" t="s">
        <v>2129</v>
      </c>
      <c r="CR151" s="30" t="s">
        <v>2129</v>
      </c>
      <c r="CS151" s="30">
        <v>30</v>
      </c>
      <c r="CT151" s="30" t="s">
        <v>2129</v>
      </c>
      <c r="CU151" s="30" t="s">
        <v>2129</v>
      </c>
      <c r="CV151" s="30" t="s">
        <v>2649</v>
      </c>
      <c r="CW151" s="30" t="s">
        <v>2129</v>
      </c>
      <c r="CX151" s="30" t="s">
        <v>2129</v>
      </c>
      <c r="CY151" s="30" t="s">
        <v>2129</v>
      </c>
      <c r="CZ151" s="30" t="s">
        <v>2129</v>
      </c>
      <c r="DA151" s="30" t="s">
        <v>2129</v>
      </c>
      <c r="DB151" s="30" t="s">
        <v>2129</v>
      </c>
      <c r="DC151" s="30" t="s">
        <v>2129</v>
      </c>
      <c r="DD151" s="30" t="s">
        <v>2129</v>
      </c>
      <c r="DE151" s="30" t="s">
        <v>2129</v>
      </c>
      <c r="DF151" s="30" t="s">
        <v>2129</v>
      </c>
      <c r="DG151" s="30" t="s">
        <v>2129</v>
      </c>
      <c r="DH151" s="30" t="s">
        <v>2129</v>
      </c>
      <c r="DI151" s="30" t="s">
        <v>2129</v>
      </c>
      <c r="DJ151" s="30" t="s">
        <v>2129</v>
      </c>
      <c r="DK151" s="30" t="s">
        <v>2129</v>
      </c>
      <c r="DL151" s="30" t="s">
        <v>2129</v>
      </c>
      <c r="DM151" s="30" t="s">
        <v>2129</v>
      </c>
      <c r="DN151" s="30" t="s">
        <v>2129</v>
      </c>
      <c r="DO151" s="30" t="s">
        <v>2129</v>
      </c>
      <c r="DP151" s="30" t="s">
        <v>2129</v>
      </c>
      <c r="DQ151" s="43" t="s">
        <v>2129</v>
      </c>
    </row>
    <row r="152" spans="1:121" x14ac:dyDescent="0.25">
      <c r="A152" s="39" t="s">
        <v>2429</v>
      </c>
      <c r="B152" s="29" t="s">
        <v>2430</v>
      </c>
      <c r="C152" s="29">
        <v>22695</v>
      </c>
      <c r="D152" s="29"/>
      <c r="E152" s="29" t="s">
        <v>14</v>
      </c>
      <c r="F152" s="29" t="s">
        <v>16</v>
      </c>
      <c r="G152" s="29" t="s">
        <v>12</v>
      </c>
      <c r="H152" s="29" t="s">
        <v>12</v>
      </c>
      <c r="I152" s="29" t="s">
        <v>2127</v>
      </c>
      <c r="J152" s="29" t="s">
        <v>2198</v>
      </c>
      <c r="K152" s="29" t="s">
        <v>2129</v>
      </c>
      <c r="L152" s="29" t="s">
        <v>2199</v>
      </c>
      <c r="M152" s="29" t="s">
        <v>2130</v>
      </c>
      <c r="N152" s="29" t="s">
        <v>16</v>
      </c>
      <c r="O152" s="29" t="s">
        <v>2150</v>
      </c>
      <c r="P152" s="29" t="s">
        <v>2198</v>
      </c>
      <c r="Q152" s="29" t="s">
        <v>2198</v>
      </c>
      <c r="R152" s="45">
        <v>46015.373611111114</v>
      </c>
      <c r="S152" s="45">
        <v>46085.396527777775</v>
      </c>
      <c r="T152" s="45">
        <v>46087.717361111114</v>
      </c>
      <c r="U152" s="45">
        <v>46043.671527777777</v>
      </c>
      <c r="V152" s="29" t="s">
        <v>3757</v>
      </c>
      <c r="W152" s="29" t="s">
        <v>2129</v>
      </c>
      <c r="X152" s="29" t="s">
        <v>2129</v>
      </c>
      <c r="Y152" s="29">
        <v>0</v>
      </c>
      <c r="Z152" s="29" t="s">
        <v>2129</v>
      </c>
      <c r="AA152" s="29" t="s">
        <v>2129</v>
      </c>
      <c r="AB152" s="29" t="s">
        <v>3783</v>
      </c>
      <c r="AC152" s="29" t="s">
        <v>2129</v>
      </c>
      <c r="AD152" s="29" t="s">
        <v>2200</v>
      </c>
      <c r="AE152" s="29" t="s">
        <v>2198</v>
      </c>
      <c r="AF152" s="29" t="s">
        <v>2129</v>
      </c>
      <c r="AG152" s="29" t="s">
        <v>2129</v>
      </c>
      <c r="AH152" s="29" t="s">
        <v>2129</v>
      </c>
      <c r="AI152" s="29" t="s">
        <v>3784</v>
      </c>
      <c r="AJ152" s="29" t="s">
        <v>3785</v>
      </c>
      <c r="AK152" s="29" t="s">
        <v>2129</v>
      </c>
      <c r="AL152" s="29" t="s">
        <v>2129</v>
      </c>
      <c r="AM152" s="29" t="s">
        <v>2129</v>
      </c>
      <c r="AN152" s="29" t="s">
        <v>2129</v>
      </c>
      <c r="AO152" s="29" t="s">
        <v>2129</v>
      </c>
      <c r="AP152" s="29" t="s">
        <v>2129</v>
      </c>
      <c r="AQ152" s="29" t="s">
        <v>2129</v>
      </c>
      <c r="AR152" s="29" t="s">
        <v>2129</v>
      </c>
      <c r="AS152" s="29" t="s">
        <v>2129</v>
      </c>
      <c r="AT152" s="29" t="s">
        <v>2129</v>
      </c>
      <c r="AU152" s="29" t="s">
        <v>2129</v>
      </c>
      <c r="AV152" s="29" t="s">
        <v>2129</v>
      </c>
      <c r="AW152" s="29" t="s">
        <v>2129</v>
      </c>
      <c r="AX152" s="29">
        <v>0</v>
      </c>
      <c r="AY152" s="29">
        <v>165600</v>
      </c>
      <c r="AZ152" s="29" t="s">
        <v>2129</v>
      </c>
      <c r="BA152" s="29" t="s">
        <v>2129</v>
      </c>
      <c r="BB152" s="29">
        <v>0</v>
      </c>
      <c r="BC152" s="29">
        <v>165600</v>
      </c>
      <c r="BD152" s="29" t="s">
        <v>2129</v>
      </c>
      <c r="BE152" s="29" t="s">
        <v>2129</v>
      </c>
      <c r="BF152" s="29" t="s">
        <v>2129</v>
      </c>
      <c r="BG152" s="29" t="s">
        <v>2129</v>
      </c>
      <c r="BH152" s="29" t="s">
        <v>2129</v>
      </c>
      <c r="BI152" s="29" t="s">
        <v>2129</v>
      </c>
      <c r="BJ152" s="29" t="s">
        <v>2129</v>
      </c>
      <c r="BK152" s="29" t="s">
        <v>2129</v>
      </c>
      <c r="BL152" s="29" t="s">
        <v>2129</v>
      </c>
      <c r="BM152" s="29" t="s">
        <v>2129</v>
      </c>
      <c r="BN152" s="29" t="s">
        <v>2129</v>
      </c>
      <c r="BO152" s="29" t="s">
        <v>2129</v>
      </c>
      <c r="BP152" s="29" t="s">
        <v>2129</v>
      </c>
      <c r="BQ152" s="29" t="s">
        <v>2129</v>
      </c>
      <c r="BR152" s="29" t="s">
        <v>2129</v>
      </c>
      <c r="BS152" s="29" t="s">
        <v>2129</v>
      </c>
      <c r="BT152" s="29" t="s">
        <v>2129</v>
      </c>
      <c r="BU152" s="29" t="s">
        <v>2129</v>
      </c>
      <c r="BV152" s="29" t="s">
        <v>2129</v>
      </c>
      <c r="BW152" s="29" t="s">
        <v>2129</v>
      </c>
      <c r="BX152" s="29" t="s">
        <v>2129</v>
      </c>
      <c r="BY152" s="29" t="s">
        <v>2129</v>
      </c>
      <c r="BZ152" s="29" t="s">
        <v>2129</v>
      </c>
      <c r="CA152" s="29" t="s">
        <v>2129</v>
      </c>
      <c r="CB152" s="29" t="s">
        <v>2129</v>
      </c>
      <c r="CC152" s="29" t="s">
        <v>2129</v>
      </c>
      <c r="CD152" s="29" t="s">
        <v>2129</v>
      </c>
      <c r="CE152" s="29" t="s">
        <v>3786</v>
      </c>
      <c r="CF152" s="29" t="s">
        <v>3787</v>
      </c>
      <c r="CG152" s="29" t="s">
        <v>2129</v>
      </c>
      <c r="CH152" s="29" t="s">
        <v>2129</v>
      </c>
      <c r="CI152" s="29" t="s">
        <v>2129</v>
      </c>
      <c r="CJ152" s="29" t="s">
        <v>2129</v>
      </c>
      <c r="CK152" s="29" t="s">
        <v>2129</v>
      </c>
      <c r="CL152" s="29" t="s">
        <v>2129</v>
      </c>
      <c r="CM152" s="29" t="s">
        <v>2129</v>
      </c>
      <c r="CN152" s="29" t="s">
        <v>2129</v>
      </c>
      <c r="CO152" s="29" t="s">
        <v>2129</v>
      </c>
      <c r="CP152" s="29" t="s">
        <v>2129</v>
      </c>
      <c r="CQ152" s="29" t="s">
        <v>2129</v>
      </c>
      <c r="CR152" s="29" t="s">
        <v>2129</v>
      </c>
      <c r="CS152" s="29">
        <v>20</v>
      </c>
      <c r="CT152" s="29" t="s">
        <v>2129</v>
      </c>
      <c r="CU152" s="29" t="s">
        <v>2129</v>
      </c>
      <c r="CV152" s="29" t="s">
        <v>3788</v>
      </c>
      <c r="CW152" s="29" t="s">
        <v>2129</v>
      </c>
      <c r="CX152" s="29" t="s">
        <v>2129</v>
      </c>
      <c r="CY152" s="29" t="s">
        <v>2129</v>
      </c>
      <c r="CZ152" s="29" t="s">
        <v>2129</v>
      </c>
      <c r="DA152" s="29" t="s">
        <v>2129</v>
      </c>
      <c r="DB152" s="29" t="s">
        <v>2129</v>
      </c>
      <c r="DC152" s="29" t="s">
        <v>2129</v>
      </c>
      <c r="DD152" s="29" t="s">
        <v>2129</v>
      </c>
      <c r="DE152" s="29" t="s">
        <v>2129</v>
      </c>
      <c r="DF152" s="29" t="s">
        <v>2129</v>
      </c>
      <c r="DG152" s="29" t="s">
        <v>2129</v>
      </c>
      <c r="DH152" s="29" t="s">
        <v>2129</v>
      </c>
      <c r="DI152" s="29" t="s">
        <v>2129</v>
      </c>
      <c r="DJ152" s="29" t="s">
        <v>2129</v>
      </c>
      <c r="DK152" s="29" t="s">
        <v>2129</v>
      </c>
      <c r="DL152" s="29" t="s">
        <v>2129</v>
      </c>
      <c r="DM152" s="29" t="s">
        <v>2129</v>
      </c>
      <c r="DN152" s="29" t="s">
        <v>2129</v>
      </c>
      <c r="DO152" s="29" t="s">
        <v>2129</v>
      </c>
      <c r="DP152" s="29" t="s">
        <v>2129</v>
      </c>
      <c r="DQ152" s="42" t="s">
        <v>2129</v>
      </c>
    </row>
    <row r="153" spans="1:121" x14ac:dyDescent="0.25">
      <c r="A153" s="36" t="s">
        <v>2472</v>
      </c>
      <c r="B153" s="30" t="s">
        <v>2431</v>
      </c>
      <c r="C153" s="30">
        <v>22683</v>
      </c>
      <c r="D153" s="30"/>
      <c r="E153" s="30" t="s">
        <v>14</v>
      </c>
      <c r="F153" s="30" t="s">
        <v>27</v>
      </c>
      <c r="G153" s="30" t="s">
        <v>12</v>
      </c>
      <c r="H153" s="30" t="s">
        <v>12</v>
      </c>
      <c r="I153" s="30" t="s">
        <v>2127</v>
      </c>
      <c r="J153" s="30" t="s">
        <v>2198</v>
      </c>
      <c r="K153" s="30" t="s">
        <v>2129</v>
      </c>
      <c r="L153" s="30" t="s">
        <v>2199</v>
      </c>
      <c r="M153" s="30" t="s">
        <v>2130</v>
      </c>
      <c r="N153" s="30" t="s">
        <v>2129</v>
      </c>
      <c r="O153" s="30" t="s">
        <v>2150</v>
      </c>
      <c r="P153" s="30" t="s">
        <v>2198</v>
      </c>
      <c r="Q153" s="30" t="s">
        <v>2198</v>
      </c>
      <c r="R153" s="46">
        <v>46013.538888888892</v>
      </c>
      <c r="S153" s="46">
        <v>46076.574305555558</v>
      </c>
      <c r="T153" s="46">
        <v>46087.717361111114</v>
      </c>
      <c r="U153" s="46"/>
      <c r="V153" s="30" t="s">
        <v>2129</v>
      </c>
      <c r="W153" s="30" t="s">
        <v>2129</v>
      </c>
      <c r="X153" s="30" t="s">
        <v>2129</v>
      </c>
      <c r="Y153" s="30">
        <v>0</v>
      </c>
      <c r="Z153" s="30" t="s">
        <v>2129</v>
      </c>
      <c r="AA153" s="30" t="s">
        <v>2129</v>
      </c>
      <c r="AB153" s="30" t="s">
        <v>3789</v>
      </c>
      <c r="AC153" s="30" t="s">
        <v>2129</v>
      </c>
      <c r="AD153" s="30" t="s">
        <v>2200</v>
      </c>
      <c r="AE153" s="30" t="s">
        <v>2150</v>
      </c>
      <c r="AF153" s="30" t="s">
        <v>2198</v>
      </c>
      <c r="AG153" s="30" t="s">
        <v>2129</v>
      </c>
      <c r="AH153" s="30" t="s">
        <v>2129</v>
      </c>
      <c r="AI153" s="30" t="s">
        <v>3790</v>
      </c>
      <c r="AJ153" s="30" t="s">
        <v>3791</v>
      </c>
      <c r="AK153" s="30" t="s">
        <v>3792</v>
      </c>
      <c r="AL153" s="30" t="s">
        <v>2129</v>
      </c>
      <c r="AM153" s="30" t="s">
        <v>2129</v>
      </c>
      <c r="AN153" s="30" t="s">
        <v>2129</v>
      </c>
      <c r="AO153" s="30" t="s">
        <v>2129</v>
      </c>
      <c r="AP153" s="30" t="s">
        <v>2129</v>
      </c>
      <c r="AQ153" s="30" t="s">
        <v>2129</v>
      </c>
      <c r="AR153" s="30" t="s">
        <v>2129</v>
      </c>
      <c r="AS153" s="30" t="s">
        <v>2129</v>
      </c>
      <c r="AT153" s="30" t="s">
        <v>2129</v>
      </c>
      <c r="AU153" s="30" t="s">
        <v>2129</v>
      </c>
      <c r="AV153" s="30" t="s">
        <v>2129</v>
      </c>
      <c r="AW153" s="30" t="s">
        <v>2129</v>
      </c>
      <c r="AX153" s="30">
        <v>0</v>
      </c>
      <c r="AY153" s="30">
        <v>57600</v>
      </c>
      <c r="AZ153" s="30" t="s">
        <v>2129</v>
      </c>
      <c r="BA153" s="30" t="s">
        <v>2129</v>
      </c>
      <c r="BB153" s="30">
        <v>0</v>
      </c>
      <c r="BC153" s="30">
        <v>57600</v>
      </c>
      <c r="BD153" s="30" t="s">
        <v>2129</v>
      </c>
      <c r="BE153" s="30" t="s">
        <v>2129</v>
      </c>
      <c r="BF153" s="30" t="s">
        <v>2129</v>
      </c>
      <c r="BG153" s="30" t="s">
        <v>2147</v>
      </c>
      <c r="BH153" s="30" t="s">
        <v>2129</v>
      </c>
      <c r="BI153" s="30" t="s">
        <v>2129</v>
      </c>
      <c r="BJ153" s="30" t="s">
        <v>2129</v>
      </c>
      <c r="BK153" s="30" t="s">
        <v>2129</v>
      </c>
      <c r="BL153" s="30" t="s">
        <v>2129</v>
      </c>
      <c r="BM153" s="30" t="s">
        <v>2129</v>
      </c>
      <c r="BN153" s="30" t="s">
        <v>2129</v>
      </c>
      <c r="BO153" s="30" t="s">
        <v>2129</v>
      </c>
      <c r="BP153" s="30" t="s">
        <v>2129</v>
      </c>
      <c r="BQ153" s="30" t="s">
        <v>2129</v>
      </c>
      <c r="BR153" s="30" t="s">
        <v>2129</v>
      </c>
      <c r="BS153" s="30" t="s">
        <v>2129</v>
      </c>
      <c r="BT153" s="30" t="s">
        <v>2129</v>
      </c>
      <c r="BU153" s="30" t="s">
        <v>2129</v>
      </c>
      <c r="BV153" s="30" t="s">
        <v>2129</v>
      </c>
      <c r="BW153" s="30" t="s">
        <v>2129</v>
      </c>
      <c r="BX153" s="30" t="s">
        <v>2129</v>
      </c>
      <c r="BY153" s="30" t="s">
        <v>2129</v>
      </c>
      <c r="BZ153" s="30" t="s">
        <v>2129</v>
      </c>
      <c r="CA153" s="30" t="s">
        <v>2129</v>
      </c>
      <c r="CB153" s="30" t="s">
        <v>2129</v>
      </c>
      <c r="CC153" s="30" t="s">
        <v>2129</v>
      </c>
      <c r="CD153" s="30" t="s">
        <v>2129</v>
      </c>
      <c r="CE153" s="30" t="s">
        <v>3793</v>
      </c>
      <c r="CF153" s="30" t="s">
        <v>3738</v>
      </c>
      <c r="CG153" s="30" t="s">
        <v>2129</v>
      </c>
      <c r="CH153" s="30" t="s">
        <v>2129</v>
      </c>
      <c r="CI153" s="30" t="s">
        <v>2129</v>
      </c>
      <c r="CJ153" s="30" t="s">
        <v>2129</v>
      </c>
      <c r="CK153" s="30" t="s">
        <v>2129</v>
      </c>
      <c r="CL153" s="30" t="s">
        <v>2129</v>
      </c>
      <c r="CM153" s="30" t="s">
        <v>2129</v>
      </c>
      <c r="CN153" s="30" t="s">
        <v>2129</v>
      </c>
      <c r="CO153" s="30" t="s">
        <v>2129</v>
      </c>
      <c r="CP153" s="30" t="s">
        <v>2129</v>
      </c>
      <c r="CQ153" s="30" t="s">
        <v>2129</v>
      </c>
      <c r="CR153" s="30" t="s">
        <v>2129</v>
      </c>
      <c r="CS153" s="30">
        <v>30</v>
      </c>
      <c r="CT153" s="30" t="s">
        <v>2129</v>
      </c>
      <c r="CU153" s="30" t="s">
        <v>2129</v>
      </c>
      <c r="CV153" s="30" t="s">
        <v>3794</v>
      </c>
      <c r="CW153" s="30" t="s">
        <v>3795</v>
      </c>
      <c r="CX153" s="30" t="s">
        <v>3796</v>
      </c>
      <c r="CY153" s="30" t="s">
        <v>3797</v>
      </c>
      <c r="CZ153" s="30" t="s">
        <v>3798</v>
      </c>
      <c r="DA153" s="30" t="s">
        <v>3799</v>
      </c>
      <c r="DB153" s="30" t="s">
        <v>3800</v>
      </c>
      <c r="DC153" s="30" t="s">
        <v>3801</v>
      </c>
      <c r="DD153" s="30" t="s">
        <v>3802</v>
      </c>
      <c r="DE153" s="30" t="s">
        <v>3803</v>
      </c>
      <c r="DF153" s="30" t="s">
        <v>3804</v>
      </c>
      <c r="DG153" s="30" t="s">
        <v>3805</v>
      </c>
      <c r="DH153" s="30" t="s">
        <v>3806</v>
      </c>
      <c r="DI153" s="30" t="s">
        <v>3807</v>
      </c>
      <c r="DJ153" s="30" t="s">
        <v>2129</v>
      </c>
      <c r="DK153" s="30" t="s">
        <v>2129</v>
      </c>
      <c r="DL153" s="30" t="s">
        <v>2129</v>
      </c>
      <c r="DM153" s="30" t="s">
        <v>2129</v>
      </c>
      <c r="DN153" s="30" t="s">
        <v>2129</v>
      </c>
      <c r="DO153" s="30" t="s">
        <v>2129</v>
      </c>
      <c r="DP153" s="30" t="s">
        <v>2129</v>
      </c>
      <c r="DQ153" s="43" t="s">
        <v>2129</v>
      </c>
    </row>
    <row r="154" spans="1:121" x14ac:dyDescent="0.25">
      <c r="A154" s="39" t="s">
        <v>2432</v>
      </c>
      <c r="B154" s="29" t="s">
        <v>2433</v>
      </c>
      <c r="C154" s="29">
        <v>22673</v>
      </c>
      <c r="D154" s="29"/>
      <c r="E154" s="29" t="s">
        <v>14</v>
      </c>
      <c r="F154" s="29" t="s">
        <v>27</v>
      </c>
      <c r="G154" s="29" t="s">
        <v>12</v>
      </c>
      <c r="H154" s="29" t="s">
        <v>12</v>
      </c>
      <c r="I154" s="29" t="s">
        <v>2127</v>
      </c>
      <c r="J154" s="29" t="s">
        <v>2198</v>
      </c>
      <c r="K154" s="29" t="s">
        <v>2129</v>
      </c>
      <c r="L154" s="29" t="s">
        <v>2199</v>
      </c>
      <c r="M154" s="29" t="s">
        <v>2130</v>
      </c>
      <c r="N154" s="29" t="s">
        <v>2129</v>
      </c>
      <c r="O154" s="29" t="s">
        <v>2198</v>
      </c>
      <c r="P154" s="29" t="s">
        <v>2198</v>
      </c>
      <c r="Q154" s="29" t="s">
        <v>2198</v>
      </c>
      <c r="R154" s="45">
        <v>46007.686805555553</v>
      </c>
      <c r="S154" s="45">
        <v>46076.368055555555</v>
      </c>
      <c r="T154" s="45">
        <v>46064.451388888891</v>
      </c>
      <c r="U154" s="45"/>
      <c r="V154" s="29" t="s">
        <v>2129</v>
      </c>
      <c r="W154" s="29" t="s">
        <v>2129</v>
      </c>
      <c r="X154" s="29" t="s">
        <v>2129</v>
      </c>
      <c r="Y154" s="29">
        <v>0</v>
      </c>
      <c r="Z154" s="29" t="s">
        <v>2129</v>
      </c>
      <c r="AA154" s="29" t="s">
        <v>2129</v>
      </c>
      <c r="AB154" s="29" t="s">
        <v>2434</v>
      </c>
      <c r="AC154" s="29" t="s">
        <v>2129</v>
      </c>
      <c r="AD154" s="29" t="s">
        <v>2200</v>
      </c>
      <c r="AE154" s="29" t="s">
        <v>2198</v>
      </c>
      <c r="AF154" s="29" t="s">
        <v>2129</v>
      </c>
      <c r="AG154" s="29" t="s">
        <v>2129</v>
      </c>
      <c r="AH154" s="29" t="s">
        <v>2129</v>
      </c>
      <c r="AI154" s="29" t="s">
        <v>2650</v>
      </c>
      <c r="AJ154" s="29" t="s">
        <v>2129</v>
      </c>
      <c r="AK154" s="29" t="s">
        <v>2129</v>
      </c>
      <c r="AL154" s="29" t="s">
        <v>2129</v>
      </c>
      <c r="AM154" s="29" t="s">
        <v>2129</v>
      </c>
      <c r="AN154" s="29" t="s">
        <v>2129</v>
      </c>
      <c r="AO154" s="29" t="s">
        <v>2129</v>
      </c>
      <c r="AP154" s="29" t="s">
        <v>2129</v>
      </c>
      <c r="AQ154" s="29" t="s">
        <v>2129</v>
      </c>
      <c r="AR154" s="29" t="s">
        <v>2129</v>
      </c>
      <c r="AS154" s="29" t="s">
        <v>2129</v>
      </c>
      <c r="AT154" s="29" t="s">
        <v>2129</v>
      </c>
      <c r="AU154" s="29" t="s">
        <v>2129</v>
      </c>
      <c r="AV154" s="29" t="s">
        <v>2129</v>
      </c>
      <c r="AW154" s="29" t="s">
        <v>2129</v>
      </c>
      <c r="AX154" s="29">
        <v>437400</v>
      </c>
      <c r="AY154" s="29">
        <v>48600</v>
      </c>
      <c r="AZ154" s="29" t="s">
        <v>2129</v>
      </c>
      <c r="BA154" s="29" t="s">
        <v>2129</v>
      </c>
      <c r="BB154" s="29">
        <v>437400</v>
      </c>
      <c r="BC154" s="29">
        <v>48600</v>
      </c>
      <c r="BD154" s="29" t="s">
        <v>2129</v>
      </c>
      <c r="BE154" s="29" t="s">
        <v>2129</v>
      </c>
      <c r="BF154" s="29" t="s">
        <v>2129</v>
      </c>
      <c r="BG154" s="29" t="s">
        <v>2129</v>
      </c>
      <c r="BH154" s="29" t="s">
        <v>2129</v>
      </c>
      <c r="BI154" s="29" t="s">
        <v>2129</v>
      </c>
      <c r="BJ154" s="29" t="s">
        <v>2129</v>
      </c>
      <c r="BK154" s="29" t="s">
        <v>2129</v>
      </c>
      <c r="BL154" s="29" t="s">
        <v>2129</v>
      </c>
      <c r="BM154" s="29" t="s">
        <v>2129</v>
      </c>
      <c r="BN154" s="29" t="s">
        <v>2129</v>
      </c>
      <c r="BO154" s="29" t="s">
        <v>2129</v>
      </c>
      <c r="BP154" s="29" t="s">
        <v>2129</v>
      </c>
      <c r="BQ154" s="29" t="s">
        <v>2129</v>
      </c>
      <c r="BR154" s="29" t="s">
        <v>2129</v>
      </c>
      <c r="BS154" s="29" t="s">
        <v>2129</v>
      </c>
      <c r="BT154" s="29" t="s">
        <v>2129</v>
      </c>
      <c r="BU154" s="29" t="s">
        <v>2129</v>
      </c>
      <c r="BV154" s="29" t="s">
        <v>2129</v>
      </c>
      <c r="BW154" s="29" t="s">
        <v>2129</v>
      </c>
      <c r="BX154" s="29" t="s">
        <v>1696</v>
      </c>
      <c r="BY154" s="29" t="s">
        <v>2129</v>
      </c>
      <c r="BZ154" s="29" t="s">
        <v>2129</v>
      </c>
      <c r="CA154" s="29" t="s">
        <v>2129</v>
      </c>
      <c r="CB154" s="29" t="s">
        <v>2129</v>
      </c>
      <c r="CC154" s="29" t="s">
        <v>2129</v>
      </c>
      <c r="CD154" s="29" t="s">
        <v>2129</v>
      </c>
      <c r="CE154" s="29" t="s">
        <v>3808</v>
      </c>
      <c r="CF154" s="29" t="s">
        <v>3738</v>
      </c>
      <c r="CG154" s="29" t="s">
        <v>2129</v>
      </c>
      <c r="CH154" s="29" t="s">
        <v>2129</v>
      </c>
      <c r="CI154" s="29" t="s">
        <v>2129</v>
      </c>
      <c r="CJ154" s="29" t="s">
        <v>2129</v>
      </c>
      <c r="CK154" s="29" t="s">
        <v>2129</v>
      </c>
      <c r="CL154" s="29" t="s">
        <v>2129</v>
      </c>
      <c r="CM154" s="29" t="s">
        <v>2129</v>
      </c>
      <c r="CN154" s="29" t="s">
        <v>2129</v>
      </c>
      <c r="CO154" s="29" t="s">
        <v>2129</v>
      </c>
      <c r="CP154" s="29" t="s">
        <v>2129</v>
      </c>
      <c r="CQ154" s="29" t="s">
        <v>2129</v>
      </c>
      <c r="CR154" s="29" t="s">
        <v>2129</v>
      </c>
      <c r="CS154" s="29">
        <v>50</v>
      </c>
      <c r="CT154" s="29" t="s">
        <v>2129</v>
      </c>
      <c r="CU154" s="29" t="s">
        <v>2129</v>
      </c>
      <c r="CV154" s="29" t="s">
        <v>2651</v>
      </c>
      <c r="CW154" s="29" t="s">
        <v>2129</v>
      </c>
      <c r="CX154" s="29" t="s">
        <v>2129</v>
      </c>
      <c r="CY154" s="29" t="s">
        <v>2129</v>
      </c>
      <c r="CZ154" s="29" t="s">
        <v>2129</v>
      </c>
      <c r="DA154" s="29" t="s">
        <v>2129</v>
      </c>
      <c r="DB154" s="29" t="s">
        <v>2129</v>
      </c>
      <c r="DC154" s="29" t="s">
        <v>2129</v>
      </c>
      <c r="DD154" s="29" t="s">
        <v>2129</v>
      </c>
      <c r="DE154" s="29" t="s">
        <v>2129</v>
      </c>
      <c r="DF154" s="29" t="s">
        <v>2129</v>
      </c>
      <c r="DG154" s="29" t="s">
        <v>2129</v>
      </c>
      <c r="DH154" s="29" t="s">
        <v>2129</v>
      </c>
      <c r="DI154" s="29" t="s">
        <v>2129</v>
      </c>
      <c r="DJ154" s="29" t="s">
        <v>2129</v>
      </c>
      <c r="DK154" s="29" t="s">
        <v>2129</v>
      </c>
      <c r="DL154" s="29" t="s">
        <v>2129</v>
      </c>
      <c r="DM154" s="29" t="s">
        <v>2129</v>
      </c>
      <c r="DN154" s="29" t="s">
        <v>2129</v>
      </c>
      <c r="DO154" s="29" t="s">
        <v>2129</v>
      </c>
      <c r="DP154" s="29" t="s">
        <v>2129</v>
      </c>
      <c r="DQ154" s="42" t="s">
        <v>2129</v>
      </c>
    </row>
    <row r="155" spans="1:121" x14ac:dyDescent="0.25">
      <c r="A155" s="36" t="s">
        <v>2702</v>
      </c>
      <c r="B155" s="30" t="s">
        <v>2697</v>
      </c>
      <c r="C155" s="30">
        <v>22672</v>
      </c>
      <c r="D155" s="30"/>
      <c r="E155" s="30" t="s">
        <v>14</v>
      </c>
      <c r="F155" s="30" t="s">
        <v>27</v>
      </c>
      <c r="G155" s="30" t="s">
        <v>12</v>
      </c>
      <c r="H155" s="30" t="s">
        <v>12</v>
      </c>
      <c r="I155" s="30" t="s">
        <v>2127</v>
      </c>
      <c r="J155" s="30" t="s">
        <v>2198</v>
      </c>
      <c r="K155" s="30" t="s">
        <v>2129</v>
      </c>
      <c r="L155" s="30" t="s">
        <v>2199</v>
      </c>
      <c r="M155" s="30" t="s">
        <v>2130</v>
      </c>
      <c r="N155" s="30" t="s">
        <v>2129</v>
      </c>
      <c r="O155" s="30" t="s">
        <v>2150</v>
      </c>
      <c r="P155" s="30" t="s">
        <v>2198</v>
      </c>
      <c r="Q155" s="30" t="s">
        <v>2198</v>
      </c>
      <c r="R155" s="46">
        <v>46007.55</v>
      </c>
      <c r="S155" s="46">
        <v>46076.368055555555</v>
      </c>
      <c r="T155" s="46">
        <v>46087.717361111114</v>
      </c>
      <c r="U155" s="46"/>
      <c r="V155" s="30" t="s">
        <v>2129</v>
      </c>
      <c r="W155" s="30" t="s">
        <v>2129</v>
      </c>
      <c r="X155" s="30" t="s">
        <v>2129</v>
      </c>
      <c r="Y155" s="30">
        <v>0</v>
      </c>
      <c r="Z155" s="30" t="s">
        <v>2129</v>
      </c>
      <c r="AA155" s="30" t="s">
        <v>2129</v>
      </c>
      <c r="AB155" s="30" t="s">
        <v>3809</v>
      </c>
      <c r="AC155" s="30" t="s">
        <v>2129</v>
      </c>
      <c r="AD155" s="30" t="s">
        <v>2200</v>
      </c>
      <c r="AE155" s="30" t="s">
        <v>2198</v>
      </c>
      <c r="AF155" s="30" t="s">
        <v>2129</v>
      </c>
      <c r="AG155" s="30" t="s">
        <v>2129</v>
      </c>
      <c r="AH155" s="30" t="s">
        <v>2129</v>
      </c>
      <c r="AI155" s="30" t="s">
        <v>2129</v>
      </c>
      <c r="AJ155" s="30" t="s">
        <v>2129</v>
      </c>
      <c r="AK155" s="30" t="s">
        <v>2129</v>
      </c>
      <c r="AL155" s="30" t="s">
        <v>2129</v>
      </c>
      <c r="AM155" s="30" t="s">
        <v>2129</v>
      </c>
      <c r="AN155" s="30" t="s">
        <v>2129</v>
      </c>
      <c r="AO155" s="30" t="s">
        <v>2129</v>
      </c>
      <c r="AP155" s="30" t="s">
        <v>2129</v>
      </c>
      <c r="AQ155" s="30" t="s">
        <v>2129</v>
      </c>
      <c r="AR155" s="30" t="s">
        <v>2129</v>
      </c>
      <c r="AS155" s="30" t="s">
        <v>2129</v>
      </c>
      <c r="AT155" s="30" t="s">
        <v>2129</v>
      </c>
      <c r="AU155" s="30" t="s">
        <v>2129</v>
      </c>
      <c r="AV155" s="30" t="s">
        <v>2129</v>
      </c>
      <c r="AW155" s="30" t="s">
        <v>2129</v>
      </c>
      <c r="AX155" s="30"/>
      <c r="AY155" s="30"/>
      <c r="AZ155" s="30" t="s">
        <v>2129</v>
      </c>
      <c r="BA155" s="30" t="s">
        <v>2129</v>
      </c>
      <c r="BB155" s="30"/>
      <c r="BC155" s="30"/>
      <c r="BD155" s="30" t="s">
        <v>2129</v>
      </c>
      <c r="BE155" s="30" t="s">
        <v>2129</v>
      </c>
      <c r="BF155" s="30" t="s">
        <v>2129</v>
      </c>
      <c r="BG155" s="30" t="s">
        <v>2129</v>
      </c>
      <c r="BH155" s="30" t="s">
        <v>2129</v>
      </c>
      <c r="BI155" s="30" t="s">
        <v>2129</v>
      </c>
      <c r="BJ155" s="30" t="s">
        <v>2129</v>
      </c>
      <c r="BK155" s="30" t="s">
        <v>2129</v>
      </c>
      <c r="BL155" s="30" t="s">
        <v>2129</v>
      </c>
      <c r="BM155" s="30" t="s">
        <v>2129</v>
      </c>
      <c r="BN155" s="30" t="s">
        <v>2129</v>
      </c>
      <c r="BO155" s="30" t="s">
        <v>2129</v>
      </c>
      <c r="BP155" s="30" t="s">
        <v>2129</v>
      </c>
      <c r="BQ155" s="30" t="s">
        <v>2129</v>
      </c>
      <c r="BR155" s="30" t="s">
        <v>2129</v>
      </c>
      <c r="BS155" s="30" t="s">
        <v>2129</v>
      </c>
      <c r="BT155" s="30" t="s">
        <v>2129</v>
      </c>
      <c r="BU155" s="30" t="s">
        <v>2129</v>
      </c>
      <c r="BV155" s="30" t="s">
        <v>2129</v>
      </c>
      <c r="BW155" s="30" t="s">
        <v>2129</v>
      </c>
      <c r="BX155" s="30" t="s">
        <v>1696</v>
      </c>
      <c r="BY155" s="30" t="s">
        <v>2129</v>
      </c>
      <c r="BZ155" s="30" t="s">
        <v>2129</v>
      </c>
      <c r="CA155" s="30" t="s">
        <v>2129</v>
      </c>
      <c r="CB155" s="30" t="s">
        <v>2129</v>
      </c>
      <c r="CC155" s="30" t="s">
        <v>2129</v>
      </c>
      <c r="CD155" s="30" t="s">
        <v>2129</v>
      </c>
      <c r="CE155" s="30" t="s">
        <v>3810</v>
      </c>
      <c r="CF155" s="30" t="s">
        <v>3738</v>
      </c>
      <c r="CG155" s="30" t="s">
        <v>2129</v>
      </c>
      <c r="CH155" s="30" t="s">
        <v>2129</v>
      </c>
      <c r="CI155" s="30" t="s">
        <v>2129</v>
      </c>
      <c r="CJ155" s="30" t="s">
        <v>2129</v>
      </c>
      <c r="CK155" s="30" t="s">
        <v>2129</v>
      </c>
      <c r="CL155" s="30" t="s">
        <v>2129</v>
      </c>
      <c r="CM155" s="30" t="s">
        <v>2129</v>
      </c>
      <c r="CN155" s="30" t="s">
        <v>2129</v>
      </c>
      <c r="CO155" s="30" t="s">
        <v>2129</v>
      </c>
      <c r="CP155" s="30" t="s">
        <v>2129</v>
      </c>
      <c r="CQ155" s="30" t="s">
        <v>2129</v>
      </c>
      <c r="CR155" s="30" t="s">
        <v>2129</v>
      </c>
      <c r="CS155" s="30">
        <v>20</v>
      </c>
      <c r="CT155" s="30" t="s">
        <v>2129</v>
      </c>
      <c r="CU155" s="30" t="s">
        <v>2129</v>
      </c>
      <c r="CV155" s="30" t="s">
        <v>3811</v>
      </c>
      <c r="CW155" s="30" t="s">
        <v>2129</v>
      </c>
      <c r="CX155" s="30" t="s">
        <v>2129</v>
      </c>
      <c r="CY155" s="30" t="s">
        <v>2129</v>
      </c>
      <c r="CZ155" s="30" t="s">
        <v>2129</v>
      </c>
      <c r="DA155" s="30" t="s">
        <v>2129</v>
      </c>
      <c r="DB155" s="30" t="s">
        <v>2129</v>
      </c>
      <c r="DC155" s="30" t="s">
        <v>2129</v>
      </c>
      <c r="DD155" s="30" t="s">
        <v>2129</v>
      </c>
      <c r="DE155" s="30" t="s">
        <v>2129</v>
      </c>
      <c r="DF155" s="30" t="s">
        <v>2129</v>
      </c>
      <c r="DG155" s="30" t="s">
        <v>2129</v>
      </c>
      <c r="DH155" s="30" t="s">
        <v>2129</v>
      </c>
      <c r="DI155" s="30" t="s">
        <v>2129</v>
      </c>
      <c r="DJ155" s="30" t="s">
        <v>2129</v>
      </c>
      <c r="DK155" s="30" t="s">
        <v>2129</v>
      </c>
      <c r="DL155" s="30" t="s">
        <v>2129</v>
      </c>
      <c r="DM155" s="30" t="s">
        <v>2129</v>
      </c>
      <c r="DN155" s="30" t="s">
        <v>2129</v>
      </c>
      <c r="DO155" s="30" t="s">
        <v>2129</v>
      </c>
      <c r="DP155" s="30" t="s">
        <v>2129</v>
      </c>
      <c r="DQ155" s="43" t="s">
        <v>2129</v>
      </c>
    </row>
    <row r="156" spans="1:121" x14ac:dyDescent="0.25">
      <c r="A156" s="39" t="s">
        <v>2549</v>
      </c>
      <c r="B156" s="29" t="s">
        <v>2550</v>
      </c>
      <c r="C156" s="29">
        <v>22632</v>
      </c>
      <c r="D156" s="29"/>
      <c r="E156" s="29" t="s">
        <v>14</v>
      </c>
      <c r="F156" s="29" t="s">
        <v>27</v>
      </c>
      <c r="G156" s="29" t="s">
        <v>12</v>
      </c>
      <c r="H156" s="29" t="s">
        <v>12</v>
      </c>
      <c r="I156" s="29" t="s">
        <v>2127</v>
      </c>
      <c r="J156" s="29" t="s">
        <v>2198</v>
      </c>
      <c r="K156" s="29" t="s">
        <v>2129</v>
      </c>
      <c r="L156" s="29" t="s">
        <v>2199</v>
      </c>
      <c r="M156" s="29" t="s">
        <v>2130</v>
      </c>
      <c r="N156" s="29" t="s">
        <v>2129</v>
      </c>
      <c r="O156" s="29" t="s">
        <v>2150</v>
      </c>
      <c r="P156" s="29" t="s">
        <v>2198</v>
      </c>
      <c r="Q156" s="29" t="s">
        <v>2198</v>
      </c>
      <c r="R156" s="45">
        <v>46002.363194444442</v>
      </c>
      <c r="S156" s="45">
        <v>46077.634027777778</v>
      </c>
      <c r="T156" s="45">
        <v>46087.717361111114</v>
      </c>
      <c r="U156" s="45"/>
      <c r="V156" s="29" t="s">
        <v>2129</v>
      </c>
      <c r="W156" s="29" t="s">
        <v>2129</v>
      </c>
      <c r="X156" s="29" t="s">
        <v>2129</v>
      </c>
      <c r="Y156" s="29">
        <v>0</v>
      </c>
      <c r="Z156" s="29" t="s">
        <v>2129</v>
      </c>
      <c r="AA156" s="29" t="s">
        <v>2129</v>
      </c>
      <c r="AB156" s="29" t="s">
        <v>2992</v>
      </c>
      <c r="AC156" s="29" t="s">
        <v>2129</v>
      </c>
      <c r="AD156" s="29" t="s">
        <v>2200</v>
      </c>
      <c r="AE156" s="29" t="s">
        <v>2198</v>
      </c>
      <c r="AF156" s="29" t="s">
        <v>2129</v>
      </c>
      <c r="AG156" s="29" t="s">
        <v>2129</v>
      </c>
      <c r="AH156" s="29" t="s">
        <v>2129</v>
      </c>
      <c r="AI156" s="29" t="s">
        <v>2129</v>
      </c>
      <c r="AJ156" s="29" t="s">
        <v>2129</v>
      </c>
      <c r="AK156" s="29" t="s">
        <v>2129</v>
      </c>
      <c r="AL156" s="29" t="s">
        <v>2129</v>
      </c>
      <c r="AM156" s="29" t="s">
        <v>2129</v>
      </c>
      <c r="AN156" s="29" t="s">
        <v>2129</v>
      </c>
      <c r="AO156" s="29" t="s">
        <v>2129</v>
      </c>
      <c r="AP156" s="29" t="s">
        <v>2129</v>
      </c>
      <c r="AQ156" s="29" t="s">
        <v>2129</v>
      </c>
      <c r="AR156" s="29" t="s">
        <v>2129</v>
      </c>
      <c r="AS156" s="29" t="s">
        <v>2129</v>
      </c>
      <c r="AT156" s="29" t="s">
        <v>2129</v>
      </c>
      <c r="AU156" s="29" t="s">
        <v>2129</v>
      </c>
      <c r="AV156" s="29" t="s">
        <v>2129</v>
      </c>
      <c r="AW156" s="29" t="s">
        <v>2129</v>
      </c>
      <c r="AX156" s="29"/>
      <c r="AY156" s="29"/>
      <c r="AZ156" s="29" t="s">
        <v>2129</v>
      </c>
      <c r="BA156" s="29" t="s">
        <v>2129</v>
      </c>
      <c r="BB156" s="29"/>
      <c r="BC156" s="29"/>
      <c r="BD156" s="29" t="s">
        <v>2129</v>
      </c>
      <c r="BE156" s="29" t="s">
        <v>2129</v>
      </c>
      <c r="BF156" s="29" t="s">
        <v>2129</v>
      </c>
      <c r="BG156" s="29" t="s">
        <v>2129</v>
      </c>
      <c r="BH156" s="29" t="s">
        <v>2129</v>
      </c>
      <c r="BI156" s="29" t="s">
        <v>2129</v>
      </c>
      <c r="BJ156" s="29" t="s">
        <v>2129</v>
      </c>
      <c r="BK156" s="29" t="s">
        <v>2129</v>
      </c>
      <c r="BL156" s="29" t="s">
        <v>2129</v>
      </c>
      <c r="BM156" s="29" t="s">
        <v>2129</v>
      </c>
      <c r="BN156" s="29" t="s">
        <v>2129</v>
      </c>
      <c r="BO156" s="29" t="s">
        <v>2129</v>
      </c>
      <c r="BP156" s="29" t="s">
        <v>2129</v>
      </c>
      <c r="BQ156" s="29" t="s">
        <v>2129</v>
      </c>
      <c r="BR156" s="29" t="s">
        <v>2129</v>
      </c>
      <c r="BS156" s="29" t="s">
        <v>2129</v>
      </c>
      <c r="BT156" s="29" t="s">
        <v>2129</v>
      </c>
      <c r="BU156" s="29" t="s">
        <v>2129</v>
      </c>
      <c r="BV156" s="29" t="s">
        <v>2129</v>
      </c>
      <c r="BW156" s="29" t="s">
        <v>2129</v>
      </c>
      <c r="BX156" s="29" t="s">
        <v>2129</v>
      </c>
      <c r="BY156" s="29" t="s">
        <v>2129</v>
      </c>
      <c r="BZ156" s="29" t="s">
        <v>2129</v>
      </c>
      <c r="CA156" s="29" t="s">
        <v>2129</v>
      </c>
      <c r="CB156" s="29" t="s">
        <v>2129</v>
      </c>
      <c r="CC156" s="29" t="s">
        <v>2129</v>
      </c>
      <c r="CD156" s="29" t="s">
        <v>2129</v>
      </c>
      <c r="CE156" s="29" t="s">
        <v>3812</v>
      </c>
      <c r="CF156" s="29" t="s">
        <v>3738</v>
      </c>
      <c r="CG156" s="29" t="s">
        <v>2129</v>
      </c>
      <c r="CH156" s="29" t="s">
        <v>2129</v>
      </c>
      <c r="CI156" s="29" t="s">
        <v>2129</v>
      </c>
      <c r="CJ156" s="29" t="s">
        <v>2129</v>
      </c>
      <c r="CK156" s="29" t="s">
        <v>2129</v>
      </c>
      <c r="CL156" s="29" t="s">
        <v>2129</v>
      </c>
      <c r="CM156" s="29" t="s">
        <v>2129</v>
      </c>
      <c r="CN156" s="29" t="s">
        <v>2129</v>
      </c>
      <c r="CO156" s="29" t="s">
        <v>2129</v>
      </c>
      <c r="CP156" s="29" t="s">
        <v>2129</v>
      </c>
      <c r="CQ156" s="29" t="s">
        <v>2129</v>
      </c>
      <c r="CR156" s="29" t="s">
        <v>2129</v>
      </c>
      <c r="CS156" s="29">
        <v>30</v>
      </c>
      <c r="CT156" s="29" t="s">
        <v>2129</v>
      </c>
      <c r="CU156" s="29" t="s">
        <v>2129</v>
      </c>
      <c r="CV156" s="29" t="s">
        <v>2993</v>
      </c>
      <c r="CW156" s="29" t="s">
        <v>2994</v>
      </c>
      <c r="CX156" s="29" t="s">
        <v>3813</v>
      </c>
      <c r="CY156" s="29" t="s">
        <v>2129</v>
      </c>
      <c r="CZ156" s="29" t="s">
        <v>2129</v>
      </c>
      <c r="DA156" s="29" t="s">
        <v>2129</v>
      </c>
      <c r="DB156" s="29" t="s">
        <v>2129</v>
      </c>
      <c r="DC156" s="29" t="s">
        <v>2129</v>
      </c>
      <c r="DD156" s="29" t="s">
        <v>2129</v>
      </c>
      <c r="DE156" s="29" t="s">
        <v>2129</v>
      </c>
      <c r="DF156" s="29" t="s">
        <v>2129</v>
      </c>
      <c r="DG156" s="29" t="s">
        <v>2129</v>
      </c>
      <c r="DH156" s="29" t="s">
        <v>2129</v>
      </c>
      <c r="DI156" s="29" t="s">
        <v>2129</v>
      </c>
      <c r="DJ156" s="29" t="s">
        <v>2129</v>
      </c>
      <c r="DK156" s="29" t="s">
        <v>2129</v>
      </c>
      <c r="DL156" s="29" t="s">
        <v>2129</v>
      </c>
      <c r="DM156" s="29" t="s">
        <v>2129</v>
      </c>
      <c r="DN156" s="29" t="s">
        <v>2129</v>
      </c>
      <c r="DO156" s="29" t="s">
        <v>2129</v>
      </c>
      <c r="DP156" s="29" t="s">
        <v>2129</v>
      </c>
      <c r="DQ156" s="42" t="s">
        <v>2129</v>
      </c>
    </row>
    <row r="157" spans="1:121" x14ac:dyDescent="0.25">
      <c r="A157" s="36" t="s">
        <v>2297</v>
      </c>
      <c r="B157" s="30" t="s">
        <v>2296</v>
      </c>
      <c r="C157" s="30">
        <v>22609</v>
      </c>
      <c r="D157" s="30"/>
      <c r="E157" s="30" t="s">
        <v>14</v>
      </c>
      <c r="F157" s="30" t="s">
        <v>27</v>
      </c>
      <c r="G157" s="30" t="s">
        <v>12</v>
      </c>
      <c r="H157" s="30" t="s">
        <v>12</v>
      </c>
      <c r="I157" s="30" t="s">
        <v>2127</v>
      </c>
      <c r="J157" s="30" t="s">
        <v>2198</v>
      </c>
      <c r="K157" s="30" t="s">
        <v>2129</v>
      </c>
      <c r="L157" s="30" t="s">
        <v>2199</v>
      </c>
      <c r="M157" s="30" t="s">
        <v>2130</v>
      </c>
      <c r="N157" s="30" t="s">
        <v>2129</v>
      </c>
      <c r="O157" s="30" t="s">
        <v>2198</v>
      </c>
      <c r="P157" s="30" t="s">
        <v>2198</v>
      </c>
      <c r="Q157" s="30" t="s">
        <v>2198</v>
      </c>
      <c r="R157" s="46">
        <v>45996.401388888888</v>
      </c>
      <c r="S157" s="46">
        <v>46076.368055555555</v>
      </c>
      <c r="T157" s="46">
        <v>46087.717361111114</v>
      </c>
      <c r="U157" s="46"/>
      <c r="V157" s="30" t="s">
        <v>2129</v>
      </c>
      <c r="W157" s="30" t="s">
        <v>2129</v>
      </c>
      <c r="X157" s="30" t="s">
        <v>2129</v>
      </c>
      <c r="Y157" s="30">
        <v>0</v>
      </c>
      <c r="Z157" s="30" t="s">
        <v>2129</v>
      </c>
      <c r="AA157" s="30" t="s">
        <v>2129</v>
      </c>
      <c r="AB157" s="30" t="s">
        <v>2321</v>
      </c>
      <c r="AC157" s="30" t="s">
        <v>2129</v>
      </c>
      <c r="AD157" s="30" t="s">
        <v>2200</v>
      </c>
      <c r="AE157" s="30" t="s">
        <v>2198</v>
      </c>
      <c r="AF157" s="30" t="s">
        <v>2129</v>
      </c>
      <c r="AG157" s="30" t="s">
        <v>2129</v>
      </c>
      <c r="AH157" s="30" t="s">
        <v>2129</v>
      </c>
      <c r="AI157" s="30" t="s">
        <v>2322</v>
      </c>
      <c r="AJ157" s="30" t="s">
        <v>2129</v>
      </c>
      <c r="AK157" s="30" t="s">
        <v>2129</v>
      </c>
      <c r="AL157" s="30" t="s">
        <v>2129</v>
      </c>
      <c r="AM157" s="30" t="s">
        <v>2129</v>
      </c>
      <c r="AN157" s="30" t="s">
        <v>2129</v>
      </c>
      <c r="AO157" s="30" t="s">
        <v>2129</v>
      </c>
      <c r="AP157" s="30" t="s">
        <v>2129</v>
      </c>
      <c r="AQ157" s="30" t="s">
        <v>2129</v>
      </c>
      <c r="AR157" s="30" t="s">
        <v>2129</v>
      </c>
      <c r="AS157" s="30" t="s">
        <v>2129</v>
      </c>
      <c r="AT157" s="30" t="s">
        <v>2129</v>
      </c>
      <c r="AU157" s="30" t="s">
        <v>2129</v>
      </c>
      <c r="AV157" s="30" t="s">
        <v>2129</v>
      </c>
      <c r="AW157" s="30" t="s">
        <v>2129</v>
      </c>
      <c r="AX157" s="30">
        <v>0</v>
      </c>
      <c r="AY157" s="30">
        <v>1800</v>
      </c>
      <c r="AZ157" s="30" t="s">
        <v>2129</v>
      </c>
      <c r="BA157" s="30" t="s">
        <v>2129</v>
      </c>
      <c r="BB157" s="30">
        <v>0</v>
      </c>
      <c r="BC157" s="30">
        <v>1800</v>
      </c>
      <c r="BD157" s="30" t="s">
        <v>2129</v>
      </c>
      <c r="BE157" s="30" t="s">
        <v>2129</v>
      </c>
      <c r="BF157" s="30" t="s">
        <v>2129</v>
      </c>
      <c r="BG157" s="30" t="s">
        <v>2129</v>
      </c>
      <c r="BH157" s="30" t="s">
        <v>2129</v>
      </c>
      <c r="BI157" s="30" t="s">
        <v>2129</v>
      </c>
      <c r="BJ157" s="30" t="s">
        <v>2129</v>
      </c>
      <c r="BK157" s="30" t="s">
        <v>2129</v>
      </c>
      <c r="BL157" s="30" t="s">
        <v>2129</v>
      </c>
      <c r="BM157" s="30" t="s">
        <v>2129</v>
      </c>
      <c r="BN157" s="30" t="s">
        <v>2129</v>
      </c>
      <c r="BO157" s="30" t="s">
        <v>2129</v>
      </c>
      <c r="BP157" s="30" t="s">
        <v>2129</v>
      </c>
      <c r="BQ157" s="30" t="s">
        <v>2129</v>
      </c>
      <c r="BR157" s="30" t="s">
        <v>2129</v>
      </c>
      <c r="BS157" s="30" t="s">
        <v>2129</v>
      </c>
      <c r="BT157" s="30" t="s">
        <v>2129</v>
      </c>
      <c r="BU157" s="30" t="s">
        <v>2129</v>
      </c>
      <c r="BV157" s="30" t="s">
        <v>2129</v>
      </c>
      <c r="BW157" s="30" t="s">
        <v>2129</v>
      </c>
      <c r="BX157" s="30" t="s">
        <v>2129</v>
      </c>
      <c r="BY157" s="30" t="s">
        <v>2129</v>
      </c>
      <c r="BZ157" s="30" t="s">
        <v>2129</v>
      </c>
      <c r="CA157" s="30" t="s">
        <v>2129</v>
      </c>
      <c r="CB157" s="30" t="s">
        <v>2129</v>
      </c>
      <c r="CC157" s="30" t="s">
        <v>2129</v>
      </c>
      <c r="CD157" s="30" t="s">
        <v>2129</v>
      </c>
      <c r="CE157" s="30" t="s">
        <v>3814</v>
      </c>
      <c r="CF157" s="30" t="s">
        <v>3738</v>
      </c>
      <c r="CG157" s="30" t="s">
        <v>2129</v>
      </c>
      <c r="CH157" s="30" t="s">
        <v>2129</v>
      </c>
      <c r="CI157" s="30" t="s">
        <v>2129</v>
      </c>
      <c r="CJ157" s="30" t="s">
        <v>2129</v>
      </c>
      <c r="CK157" s="30" t="s">
        <v>2129</v>
      </c>
      <c r="CL157" s="30" t="s">
        <v>2129</v>
      </c>
      <c r="CM157" s="30" t="s">
        <v>2129</v>
      </c>
      <c r="CN157" s="30" t="s">
        <v>2129</v>
      </c>
      <c r="CO157" s="30" t="s">
        <v>2129</v>
      </c>
      <c r="CP157" s="30" t="s">
        <v>2129</v>
      </c>
      <c r="CQ157" s="30" t="s">
        <v>2129</v>
      </c>
      <c r="CR157" s="30" t="s">
        <v>2129</v>
      </c>
      <c r="CS157" s="30">
        <v>10</v>
      </c>
      <c r="CT157" s="30" t="s">
        <v>2129</v>
      </c>
      <c r="CU157" s="30" t="s">
        <v>2129</v>
      </c>
      <c r="CV157" s="30" t="s">
        <v>2323</v>
      </c>
      <c r="CW157" s="30" t="s">
        <v>2129</v>
      </c>
      <c r="CX157" s="30" t="s">
        <v>2129</v>
      </c>
      <c r="CY157" s="30" t="s">
        <v>2129</v>
      </c>
      <c r="CZ157" s="30" t="s">
        <v>2129</v>
      </c>
      <c r="DA157" s="30" t="s">
        <v>2129</v>
      </c>
      <c r="DB157" s="30" t="s">
        <v>2129</v>
      </c>
      <c r="DC157" s="30" t="s">
        <v>2129</v>
      </c>
      <c r="DD157" s="30" t="s">
        <v>2129</v>
      </c>
      <c r="DE157" s="30" t="s">
        <v>2129</v>
      </c>
      <c r="DF157" s="30" t="s">
        <v>2129</v>
      </c>
      <c r="DG157" s="30" t="s">
        <v>2129</v>
      </c>
      <c r="DH157" s="30" t="s">
        <v>2129</v>
      </c>
      <c r="DI157" s="30" t="s">
        <v>2129</v>
      </c>
      <c r="DJ157" s="30" t="s">
        <v>2129</v>
      </c>
      <c r="DK157" s="30" t="s">
        <v>2129</v>
      </c>
      <c r="DL157" s="30" t="s">
        <v>2129</v>
      </c>
      <c r="DM157" s="30" t="s">
        <v>2129</v>
      </c>
      <c r="DN157" s="30" t="s">
        <v>2129</v>
      </c>
      <c r="DO157" s="30" t="s">
        <v>2129</v>
      </c>
      <c r="DP157" s="30" t="s">
        <v>2129</v>
      </c>
      <c r="DQ157" s="43" t="s">
        <v>2129</v>
      </c>
    </row>
    <row r="158" spans="1:121" x14ac:dyDescent="0.25">
      <c r="A158" s="39" t="s">
        <v>2206</v>
      </c>
      <c r="B158" s="29" t="s">
        <v>2207</v>
      </c>
      <c r="C158" s="29">
        <v>22521</v>
      </c>
      <c r="D158" s="29"/>
      <c r="E158" s="29" t="s">
        <v>14</v>
      </c>
      <c r="F158" s="29" t="s">
        <v>27</v>
      </c>
      <c r="G158" s="29" t="s">
        <v>12</v>
      </c>
      <c r="H158" s="29" t="s">
        <v>12</v>
      </c>
      <c r="I158" s="29" t="s">
        <v>2127</v>
      </c>
      <c r="J158" s="29" t="s">
        <v>2198</v>
      </c>
      <c r="K158" s="29" t="s">
        <v>2129</v>
      </c>
      <c r="L158" s="29" t="s">
        <v>2199</v>
      </c>
      <c r="M158" s="29" t="s">
        <v>2130</v>
      </c>
      <c r="N158" s="29" t="s">
        <v>2129</v>
      </c>
      <c r="O158" s="29" t="s">
        <v>2150</v>
      </c>
      <c r="P158" s="29" t="s">
        <v>2198</v>
      </c>
      <c r="Q158" s="29" t="s">
        <v>2198</v>
      </c>
      <c r="R158" s="45">
        <v>45981.620833333334</v>
      </c>
      <c r="S158" s="45">
        <v>46083.515277777777</v>
      </c>
      <c r="T158" s="45">
        <v>46087.717361111114</v>
      </c>
      <c r="U158" s="45"/>
      <c r="V158" s="29" t="s">
        <v>2129</v>
      </c>
      <c r="W158" s="29" t="s">
        <v>2129</v>
      </c>
      <c r="X158" s="29" t="s">
        <v>2129</v>
      </c>
      <c r="Y158" s="29">
        <v>0</v>
      </c>
      <c r="Z158" s="29" t="s">
        <v>2129</v>
      </c>
      <c r="AA158" s="29" t="s">
        <v>2129</v>
      </c>
      <c r="AB158" s="29" t="s">
        <v>3815</v>
      </c>
      <c r="AC158" s="29" t="s">
        <v>2129</v>
      </c>
      <c r="AD158" s="29" t="s">
        <v>2198</v>
      </c>
      <c r="AE158" s="29" t="s">
        <v>2129</v>
      </c>
      <c r="AF158" s="29" t="s">
        <v>2129</v>
      </c>
      <c r="AG158" s="29" t="s">
        <v>2129</v>
      </c>
      <c r="AH158" s="29" t="s">
        <v>2129</v>
      </c>
      <c r="AI158" s="29" t="s">
        <v>2652</v>
      </c>
      <c r="AJ158" s="29" t="s">
        <v>2653</v>
      </c>
      <c r="AK158" s="29" t="s">
        <v>3816</v>
      </c>
      <c r="AL158" s="29" t="s">
        <v>2129</v>
      </c>
      <c r="AM158" s="29" t="s">
        <v>2129</v>
      </c>
      <c r="AN158" s="29" t="s">
        <v>2129</v>
      </c>
      <c r="AO158" s="29" t="s">
        <v>2129</v>
      </c>
      <c r="AP158" s="29" t="s">
        <v>2129</v>
      </c>
      <c r="AQ158" s="29" t="s">
        <v>2129</v>
      </c>
      <c r="AR158" s="29" t="s">
        <v>2129</v>
      </c>
      <c r="AS158" s="29" t="s">
        <v>2129</v>
      </c>
      <c r="AT158" s="29" t="s">
        <v>2129</v>
      </c>
      <c r="AU158" s="29" t="s">
        <v>2129</v>
      </c>
      <c r="AV158" s="29" t="s">
        <v>2129</v>
      </c>
      <c r="AW158" s="29" t="s">
        <v>2129</v>
      </c>
      <c r="AX158" s="29">
        <v>0</v>
      </c>
      <c r="AY158" s="29">
        <v>39600</v>
      </c>
      <c r="AZ158" s="29" t="s">
        <v>2129</v>
      </c>
      <c r="BA158" s="29" t="s">
        <v>2129</v>
      </c>
      <c r="BB158" s="29">
        <v>0</v>
      </c>
      <c r="BC158" s="29">
        <v>39600</v>
      </c>
      <c r="BD158" s="29" t="s">
        <v>2129</v>
      </c>
      <c r="BE158" s="29" t="s">
        <v>2129</v>
      </c>
      <c r="BF158" s="29" t="s">
        <v>2129</v>
      </c>
      <c r="BG158" s="29" t="s">
        <v>2129</v>
      </c>
      <c r="BH158" s="29" t="s">
        <v>2129</v>
      </c>
      <c r="BI158" s="29" t="s">
        <v>2129</v>
      </c>
      <c r="BJ158" s="29" t="s">
        <v>2129</v>
      </c>
      <c r="BK158" s="29" t="s">
        <v>2129</v>
      </c>
      <c r="BL158" s="29" t="s">
        <v>2129</v>
      </c>
      <c r="BM158" s="29" t="s">
        <v>2129</v>
      </c>
      <c r="BN158" s="29" t="s">
        <v>2129</v>
      </c>
      <c r="BO158" s="29" t="s">
        <v>2129</v>
      </c>
      <c r="BP158" s="29" t="s">
        <v>2129</v>
      </c>
      <c r="BQ158" s="29" t="s">
        <v>2129</v>
      </c>
      <c r="BR158" s="29" t="s">
        <v>2129</v>
      </c>
      <c r="BS158" s="29" t="s">
        <v>2129</v>
      </c>
      <c r="BT158" s="29" t="s">
        <v>2129</v>
      </c>
      <c r="BU158" s="29" t="s">
        <v>2129</v>
      </c>
      <c r="BV158" s="29" t="s">
        <v>2129</v>
      </c>
      <c r="BW158" s="29" t="s">
        <v>2129</v>
      </c>
      <c r="BX158" s="29" t="s">
        <v>2205</v>
      </c>
      <c r="BY158" s="29" t="s">
        <v>2129</v>
      </c>
      <c r="BZ158" s="29" t="s">
        <v>2129</v>
      </c>
      <c r="CA158" s="29" t="s">
        <v>2129</v>
      </c>
      <c r="CB158" s="29" t="s">
        <v>2129</v>
      </c>
      <c r="CC158" s="29" t="s">
        <v>2129</v>
      </c>
      <c r="CD158" s="29" t="s">
        <v>2129</v>
      </c>
      <c r="CE158" s="29" t="s">
        <v>3817</v>
      </c>
      <c r="CF158" s="29" t="s">
        <v>3738</v>
      </c>
      <c r="CG158" s="29" t="s">
        <v>2129</v>
      </c>
      <c r="CH158" s="29" t="s">
        <v>2129</v>
      </c>
      <c r="CI158" s="29" t="s">
        <v>2129</v>
      </c>
      <c r="CJ158" s="29" t="s">
        <v>2129</v>
      </c>
      <c r="CK158" s="29" t="s">
        <v>2129</v>
      </c>
      <c r="CL158" s="29" t="s">
        <v>2129</v>
      </c>
      <c r="CM158" s="29" t="s">
        <v>2129</v>
      </c>
      <c r="CN158" s="29" t="s">
        <v>2129</v>
      </c>
      <c r="CO158" s="29" t="s">
        <v>2129</v>
      </c>
      <c r="CP158" s="29" t="s">
        <v>2129</v>
      </c>
      <c r="CQ158" s="29" t="s">
        <v>2129</v>
      </c>
      <c r="CR158" s="29" t="s">
        <v>2129</v>
      </c>
      <c r="CS158" s="29">
        <v>30</v>
      </c>
      <c r="CT158" s="29" t="s">
        <v>2129</v>
      </c>
      <c r="CU158" s="29" t="s">
        <v>2129</v>
      </c>
      <c r="CV158" s="29" t="s">
        <v>2129</v>
      </c>
      <c r="CW158" s="29" t="s">
        <v>2129</v>
      </c>
      <c r="CX158" s="29" t="s">
        <v>2129</v>
      </c>
      <c r="CY158" s="29" t="s">
        <v>2129</v>
      </c>
      <c r="CZ158" s="29" t="s">
        <v>2129</v>
      </c>
      <c r="DA158" s="29" t="s">
        <v>2129</v>
      </c>
      <c r="DB158" s="29" t="s">
        <v>2129</v>
      </c>
      <c r="DC158" s="29" t="s">
        <v>2129</v>
      </c>
      <c r="DD158" s="29" t="s">
        <v>2129</v>
      </c>
      <c r="DE158" s="29" t="s">
        <v>2129</v>
      </c>
      <c r="DF158" s="29" t="s">
        <v>2129</v>
      </c>
      <c r="DG158" s="29" t="s">
        <v>2129</v>
      </c>
      <c r="DH158" s="29" t="s">
        <v>2129</v>
      </c>
      <c r="DI158" s="29" t="s">
        <v>2129</v>
      </c>
      <c r="DJ158" s="29" t="s">
        <v>2129</v>
      </c>
      <c r="DK158" s="29" t="s">
        <v>2129</v>
      </c>
      <c r="DL158" s="29" t="s">
        <v>2129</v>
      </c>
      <c r="DM158" s="29" t="s">
        <v>2129</v>
      </c>
      <c r="DN158" s="29" t="s">
        <v>2129</v>
      </c>
      <c r="DO158" s="29" t="s">
        <v>2129</v>
      </c>
      <c r="DP158" s="29" t="s">
        <v>2129</v>
      </c>
      <c r="DQ158" s="42" t="s">
        <v>2129</v>
      </c>
    </row>
    <row r="159" spans="1:121" x14ac:dyDescent="0.25">
      <c r="A159" s="36" t="s">
        <v>2208</v>
      </c>
      <c r="B159" s="30" t="s">
        <v>2209</v>
      </c>
      <c r="C159" s="30">
        <v>22520</v>
      </c>
      <c r="D159" s="30"/>
      <c r="E159" s="30" t="s">
        <v>14</v>
      </c>
      <c r="F159" s="30" t="s">
        <v>28</v>
      </c>
      <c r="G159" s="30" t="s">
        <v>12</v>
      </c>
      <c r="H159" s="30" t="s">
        <v>12</v>
      </c>
      <c r="I159" s="30" t="s">
        <v>2127</v>
      </c>
      <c r="J159" s="30" t="s">
        <v>2198</v>
      </c>
      <c r="K159" s="30" t="s">
        <v>2129</v>
      </c>
      <c r="L159" s="30" t="s">
        <v>2199</v>
      </c>
      <c r="M159" s="30" t="s">
        <v>2130</v>
      </c>
      <c r="N159" s="30" t="s">
        <v>2129</v>
      </c>
      <c r="O159" s="30" t="s">
        <v>2150</v>
      </c>
      <c r="P159" s="30" t="s">
        <v>2198</v>
      </c>
      <c r="Q159" s="30" t="s">
        <v>2198</v>
      </c>
      <c r="R159" s="46">
        <v>45981.620833333334</v>
      </c>
      <c r="S159" s="46">
        <v>46085.472222222219</v>
      </c>
      <c r="T159" s="46">
        <v>46087.717361111114</v>
      </c>
      <c r="U159" s="46"/>
      <c r="V159" s="30" t="s">
        <v>2129</v>
      </c>
      <c r="W159" s="30" t="s">
        <v>2129</v>
      </c>
      <c r="X159" s="30" t="s">
        <v>2129</v>
      </c>
      <c r="Y159" s="30">
        <v>0</v>
      </c>
      <c r="Z159" s="30" t="s">
        <v>2129</v>
      </c>
      <c r="AA159" s="30" t="s">
        <v>2129</v>
      </c>
      <c r="AB159" s="30" t="s">
        <v>2551</v>
      </c>
      <c r="AC159" s="30" t="s">
        <v>2129</v>
      </c>
      <c r="AD159" s="30" t="s">
        <v>2131</v>
      </c>
      <c r="AE159" s="30" t="s">
        <v>2150</v>
      </c>
      <c r="AF159" s="30" t="s">
        <v>2198</v>
      </c>
      <c r="AG159" s="30" t="s">
        <v>2129</v>
      </c>
      <c r="AH159" s="30" t="s">
        <v>2129</v>
      </c>
      <c r="AI159" s="30" t="s">
        <v>2435</v>
      </c>
      <c r="AJ159" s="30" t="s">
        <v>2436</v>
      </c>
      <c r="AK159" s="30" t="s">
        <v>2552</v>
      </c>
      <c r="AL159" s="30" t="s">
        <v>2553</v>
      </c>
      <c r="AM159" s="30" t="s">
        <v>2554</v>
      </c>
      <c r="AN159" s="30" t="s">
        <v>2555</v>
      </c>
      <c r="AO159" s="30" t="s">
        <v>2654</v>
      </c>
      <c r="AP159" s="30" t="s">
        <v>2129</v>
      </c>
      <c r="AQ159" s="30" t="s">
        <v>2129</v>
      </c>
      <c r="AR159" s="30" t="s">
        <v>2129</v>
      </c>
      <c r="AS159" s="30" t="s">
        <v>2129</v>
      </c>
      <c r="AT159" s="30" t="s">
        <v>2129</v>
      </c>
      <c r="AU159" s="30" t="s">
        <v>2129</v>
      </c>
      <c r="AV159" s="30" t="s">
        <v>2129</v>
      </c>
      <c r="AW159" s="30" t="s">
        <v>2129</v>
      </c>
      <c r="AX159" s="30">
        <v>0</v>
      </c>
      <c r="AY159" s="30">
        <v>30600</v>
      </c>
      <c r="AZ159" s="30" t="s">
        <v>2129</v>
      </c>
      <c r="BA159" s="30" t="s">
        <v>2129</v>
      </c>
      <c r="BB159" s="30">
        <v>0</v>
      </c>
      <c r="BC159" s="30">
        <v>30600</v>
      </c>
      <c r="BD159" s="30" t="s">
        <v>2129</v>
      </c>
      <c r="BE159" s="30" t="s">
        <v>2129</v>
      </c>
      <c r="BF159" s="30" t="s">
        <v>2129</v>
      </c>
      <c r="BG159" s="30" t="s">
        <v>2129</v>
      </c>
      <c r="BH159" s="30" t="s">
        <v>2129</v>
      </c>
      <c r="BI159" s="30" t="s">
        <v>2129</v>
      </c>
      <c r="BJ159" s="30" t="s">
        <v>2129</v>
      </c>
      <c r="BK159" s="30" t="s">
        <v>2556</v>
      </c>
      <c r="BL159" s="30" t="s">
        <v>2129</v>
      </c>
      <c r="BM159" s="30" t="s">
        <v>2129</v>
      </c>
      <c r="BN159" s="30" t="s">
        <v>2129</v>
      </c>
      <c r="BO159" s="30" t="s">
        <v>2129</v>
      </c>
      <c r="BP159" s="30" t="s">
        <v>2129</v>
      </c>
      <c r="BQ159" s="30" t="s">
        <v>2129</v>
      </c>
      <c r="BR159" s="30" t="s">
        <v>2129</v>
      </c>
      <c r="BS159" s="30" t="s">
        <v>2129</v>
      </c>
      <c r="BT159" s="30" t="s">
        <v>2129</v>
      </c>
      <c r="BU159" s="30" t="s">
        <v>2129</v>
      </c>
      <c r="BV159" s="30" t="s">
        <v>2129</v>
      </c>
      <c r="BW159" s="30" t="s">
        <v>2129</v>
      </c>
      <c r="BX159" s="30" t="s">
        <v>2205</v>
      </c>
      <c r="BY159" s="30" t="s">
        <v>2129</v>
      </c>
      <c r="BZ159" s="30" t="s">
        <v>2129</v>
      </c>
      <c r="CA159" s="30" t="s">
        <v>2129</v>
      </c>
      <c r="CB159" s="30" t="s">
        <v>2129</v>
      </c>
      <c r="CC159" s="30" t="s">
        <v>2129</v>
      </c>
      <c r="CD159" s="30" t="s">
        <v>2129</v>
      </c>
      <c r="CE159" s="30" t="s">
        <v>3818</v>
      </c>
      <c r="CF159" s="30" t="s">
        <v>3738</v>
      </c>
      <c r="CG159" s="30" t="s">
        <v>2129</v>
      </c>
      <c r="CH159" s="30" t="s">
        <v>2129</v>
      </c>
      <c r="CI159" s="30" t="s">
        <v>2129</v>
      </c>
      <c r="CJ159" s="30" t="s">
        <v>2129</v>
      </c>
      <c r="CK159" s="30" t="s">
        <v>2129</v>
      </c>
      <c r="CL159" s="30" t="s">
        <v>2129</v>
      </c>
      <c r="CM159" s="30" t="s">
        <v>2129</v>
      </c>
      <c r="CN159" s="30" t="s">
        <v>2129</v>
      </c>
      <c r="CO159" s="30" t="s">
        <v>2129</v>
      </c>
      <c r="CP159" s="30" t="s">
        <v>2129</v>
      </c>
      <c r="CQ159" s="30" t="s">
        <v>2129</v>
      </c>
      <c r="CR159" s="30" t="s">
        <v>2129</v>
      </c>
      <c r="CS159" s="30">
        <v>20</v>
      </c>
      <c r="CT159" s="30" t="s">
        <v>2129</v>
      </c>
      <c r="CU159" s="30" t="s">
        <v>2129</v>
      </c>
      <c r="CV159" s="30" t="s">
        <v>2437</v>
      </c>
      <c r="CW159" s="30" t="s">
        <v>2438</v>
      </c>
      <c r="CX159" s="30" t="s">
        <v>2439</v>
      </c>
      <c r="CY159" s="30" t="s">
        <v>2557</v>
      </c>
      <c r="CZ159" s="30" t="s">
        <v>2558</v>
      </c>
      <c r="DA159" s="30" t="s">
        <v>2559</v>
      </c>
      <c r="DB159" s="30" t="s">
        <v>2655</v>
      </c>
      <c r="DC159" s="30" t="s">
        <v>3819</v>
      </c>
      <c r="DD159" s="30" t="s">
        <v>2129</v>
      </c>
      <c r="DE159" s="30" t="s">
        <v>2129</v>
      </c>
      <c r="DF159" s="30" t="s">
        <v>2129</v>
      </c>
      <c r="DG159" s="30" t="s">
        <v>2129</v>
      </c>
      <c r="DH159" s="30" t="s">
        <v>2129</v>
      </c>
      <c r="DI159" s="30" t="s">
        <v>2129</v>
      </c>
      <c r="DJ159" s="30" t="s">
        <v>2129</v>
      </c>
      <c r="DK159" s="30" t="s">
        <v>2129</v>
      </c>
      <c r="DL159" s="30" t="s">
        <v>2129</v>
      </c>
      <c r="DM159" s="30" t="s">
        <v>2129</v>
      </c>
      <c r="DN159" s="30" t="s">
        <v>2129</v>
      </c>
      <c r="DO159" s="30" t="s">
        <v>2129</v>
      </c>
      <c r="DP159" s="30" t="s">
        <v>2129</v>
      </c>
      <c r="DQ159" s="43" t="s">
        <v>2129</v>
      </c>
    </row>
    <row r="160" spans="1:121" x14ac:dyDescent="0.25">
      <c r="A160" s="39" t="s">
        <v>1775</v>
      </c>
      <c r="B160" s="29" t="s">
        <v>1774</v>
      </c>
      <c r="C160" s="29">
        <v>22437</v>
      </c>
      <c r="D160" s="29"/>
      <c r="E160" s="29" t="s">
        <v>14</v>
      </c>
      <c r="F160" s="29" t="s">
        <v>16</v>
      </c>
      <c r="G160" s="29" t="s">
        <v>12</v>
      </c>
      <c r="H160" s="29" t="s">
        <v>12</v>
      </c>
      <c r="I160" s="29" t="s">
        <v>2127</v>
      </c>
      <c r="J160" s="29" t="s">
        <v>2198</v>
      </c>
      <c r="K160" s="29" t="s">
        <v>2129</v>
      </c>
      <c r="L160" s="29" t="s">
        <v>2199</v>
      </c>
      <c r="M160" s="29" t="s">
        <v>2130</v>
      </c>
      <c r="N160" s="29" t="s">
        <v>16</v>
      </c>
      <c r="O160" s="29" t="s">
        <v>2150</v>
      </c>
      <c r="P160" s="29" t="s">
        <v>2198</v>
      </c>
      <c r="Q160" s="29" t="s">
        <v>2198</v>
      </c>
      <c r="R160" s="45">
        <v>45965.647916666669</v>
      </c>
      <c r="S160" s="45">
        <v>46077.675000000003</v>
      </c>
      <c r="T160" s="45">
        <v>46087.717361111114</v>
      </c>
      <c r="U160" s="45">
        <v>46077.674305555556</v>
      </c>
      <c r="V160" s="29" t="s">
        <v>2129</v>
      </c>
      <c r="W160" s="29" t="s">
        <v>2129</v>
      </c>
      <c r="X160" s="29" t="s">
        <v>2129</v>
      </c>
      <c r="Y160" s="29">
        <v>0</v>
      </c>
      <c r="Z160" s="29" t="s">
        <v>2129</v>
      </c>
      <c r="AA160" s="29" t="s">
        <v>2129</v>
      </c>
      <c r="AB160" s="29" t="s">
        <v>2995</v>
      </c>
      <c r="AC160" s="29" t="s">
        <v>2129</v>
      </c>
      <c r="AD160" s="29" t="s">
        <v>2200</v>
      </c>
      <c r="AE160" s="29" t="s">
        <v>2150</v>
      </c>
      <c r="AF160" s="29" t="s">
        <v>2198</v>
      </c>
      <c r="AG160" s="29" t="s">
        <v>2129</v>
      </c>
      <c r="AH160" s="29" t="s">
        <v>2129</v>
      </c>
      <c r="AI160" s="29" t="s">
        <v>3820</v>
      </c>
      <c r="AJ160" s="29" t="s">
        <v>3821</v>
      </c>
      <c r="AK160" s="29" t="s">
        <v>2129</v>
      </c>
      <c r="AL160" s="29" t="s">
        <v>2129</v>
      </c>
      <c r="AM160" s="29" t="s">
        <v>2129</v>
      </c>
      <c r="AN160" s="29" t="s">
        <v>2129</v>
      </c>
      <c r="AO160" s="29" t="s">
        <v>2129</v>
      </c>
      <c r="AP160" s="29" t="s">
        <v>2129</v>
      </c>
      <c r="AQ160" s="29" t="s">
        <v>2129</v>
      </c>
      <c r="AR160" s="29" t="s">
        <v>2129</v>
      </c>
      <c r="AS160" s="29" t="s">
        <v>2129</v>
      </c>
      <c r="AT160" s="29" t="s">
        <v>2129</v>
      </c>
      <c r="AU160" s="29" t="s">
        <v>2129</v>
      </c>
      <c r="AV160" s="29" t="s">
        <v>2129</v>
      </c>
      <c r="AW160" s="29" t="s">
        <v>2129</v>
      </c>
      <c r="AX160" s="29">
        <v>0</v>
      </c>
      <c r="AY160" s="29">
        <v>14400</v>
      </c>
      <c r="AZ160" s="29" t="s">
        <v>2129</v>
      </c>
      <c r="BA160" s="29" t="s">
        <v>2129</v>
      </c>
      <c r="BB160" s="29">
        <v>0</v>
      </c>
      <c r="BC160" s="29">
        <v>14400</v>
      </c>
      <c r="BD160" s="29" t="s">
        <v>2129</v>
      </c>
      <c r="BE160" s="29" t="s">
        <v>2129</v>
      </c>
      <c r="BF160" s="29" t="s">
        <v>2129</v>
      </c>
      <c r="BG160" s="29" t="s">
        <v>2129</v>
      </c>
      <c r="BH160" s="29" t="s">
        <v>2129</v>
      </c>
      <c r="BI160" s="29" t="s">
        <v>2129</v>
      </c>
      <c r="BJ160" s="29" t="s">
        <v>2129</v>
      </c>
      <c r="BK160" s="29" t="s">
        <v>2129</v>
      </c>
      <c r="BL160" s="29" t="s">
        <v>2129</v>
      </c>
      <c r="BM160" s="29" t="s">
        <v>2129</v>
      </c>
      <c r="BN160" s="29" t="s">
        <v>2129</v>
      </c>
      <c r="BO160" s="29" t="s">
        <v>2129</v>
      </c>
      <c r="BP160" s="29" t="s">
        <v>2129</v>
      </c>
      <c r="BQ160" s="29" t="s">
        <v>2129</v>
      </c>
      <c r="BR160" s="29" t="s">
        <v>2129</v>
      </c>
      <c r="BS160" s="29" t="s">
        <v>2129</v>
      </c>
      <c r="BT160" s="29" t="s">
        <v>2129</v>
      </c>
      <c r="BU160" s="29" t="s">
        <v>2129</v>
      </c>
      <c r="BV160" s="29" t="s">
        <v>2129</v>
      </c>
      <c r="BW160" s="29" t="s">
        <v>2129</v>
      </c>
      <c r="BX160" s="29" t="s">
        <v>2129</v>
      </c>
      <c r="BY160" s="29" t="s">
        <v>2129</v>
      </c>
      <c r="BZ160" s="29" t="s">
        <v>2129</v>
      </c>
      <c r="CA160" s="29" t="s">
        <v>2129</v>
      </c>
      <c r="CB160" s="29" t="s">
        <v>2129</v>
      </c>
      <c r="CC160" s="29" t="s">
        <v>2129</v>
      </c>
      <c r="CD160" s="29" t="s">
        <v>2129</v>
      </c>
      <c r="CE160" s="29" t="s">
        <v>3822</v>
      </c>
      <c r="CF160" s="29" t="s">
        <v>3738</v>
      </c>
      <c r="CG160" s="29" t="s">
        <v>2129</v>
      </c>
      <c r="CH160" s="29" t="s">
        <v>2129</v>
      </c>
      <c r="CI160" s="29" t="s">
        <v>2129</v>
      </c>
      <c r="CJ160" s="29" t="s">
        <v>2129</v>
      </c>
      <c r="CK160" s="29" t="s">
        <v>2129</v>
      </c>
      <c r="CL160" s="29" t="s">
        <v>2129</v>
      </c>
      <c r="CM160" s="29" t="s">
        <v>2129</v>
      </c>
      <c r="CN160" s="29" t="s">
        <v>2129</v>
      </c>
      <c r="CO160" s="29" t="s">
        <v>2129</v>
      </c>
      <c r="CP160" s="29" t="s">
        <v>2129</v>
      </c>
      <c r="CQ160" s="29" t="s">
        <v>2129</v>
      </c>
      <c r="CR160" s="29" t="s">
        <v>2129</v>
      </c>
      <c r="CS160" s="29">
        <v>30</v>
      </c>
      <c r="CT160" s="29" t="s">
        <v>2129</v>
      </c>
      <c r="CU160" s="29" t="s">
        <v>2129</v>
      </c>
      <c r="CV160" s="29" t="s">
        <v>2996</v>
      </c>
      <c r="CW160" s="29" t="s">
        <v>3823</v>
      </c>
      <c r="CX160" s="29" t="s">
        <v>3824</v>
      </c>
      <c r="CY160" s="29" t="s">
        <v>2129</v>
      </c>
      <c r="CZ160" s="29" t="s">
        <v>2129</v>
      </c>
      <c r="DA160" s="29" t="s">
        <v>2129</v>
      </c>
      <c r="DB160" s="29" t="s">
        <v>2129</v>
      </c>
      <c r="DC160" s="29" t="s">
        <v>2129</v>
      </c>
      <c r="DD160" s="29" t="s">
        <v>2129</v>
      </c>
      <c r="DE160" s="29" t="s">
        <v>2129</v>
      </c>
      <c r="DF160" s="29" t="s">
        <v>2129</v>
      </c>
      <c r="DG160" s="29" t="s">
        <v>2129</v>
      </c>
      <c r="DH160" s="29" t="s">
        <v>2129</v>
      </c>
      <c r="DI160" s="29" t="s">
        <v>2129</v>
      </c>
      <c r="DJ160" s="29" t="s">
        <v>2129</v>
      </c>
      <c r="DK160" s="29" t="s">
        <v>2129</v>
      </c>
      <c r="DL160" s="29" t="s">
        <v>2129</v>
      </c>
      <c r="DM160" s="29" t="s">
        <v>2129</v>
      </c>
      <c r="DN160" s="29" t="s">
        <v>2129</v>
      </c>
      <c r="DO160" s="29" t="s">
        <v>2129</v>
      </c>
      <c r="DP160" s="29" t="s">
        <v>2129</v>
      </c>
      <c r="DQ160" s="42" t="s">
        <v>2129</v>
      </c>
    </row>
    <row r="161" spans="1:121" x14ac:dyDescent="0.25">
      <c r="A161" s="36" t="s">
        <v>1808</v>
      </c>
      <c r="B161" s="30" t="s">
        <v>1807</v>
      </c>
      <c r="C161" s="30">
        <v>22141</v>
      </c>
      <c r="D161" s="30"/>
      <c r="E161" s="30" t="s">
        <v>14</v>
      </c>
      <c r="F161" s="30" t="s">
        <v>27</v>
      </c>
      <c r="G161" s="30" t="s">
        <v>12</v>
      </c>
      <c r="H161" s="30" t="s">
        <v>12</v>
      </c>
      <c r="I161" s="30" t="s">
        <v>2127</v>
      </c>
      <c r="J161" s="30" t="s">
        <v>2198</v>
      </c>
      <c r="K161" s="30" t="s">
        <v>2129</v>
      </c>
      <c r="L161" s="30" t="s">
        <v>2199</v>
      </c>
      <c r="M161" s="30" t="s">
        <v>2130</v>
      </c>
      <c r="N161" s="30" t="s">
        <v>2129</v>
      </c>
      <c r="O161" s="30" t="s">
        <v>2150</v>
      </c>
      <c r="P161" s="30" t="s">
        <v>2198</v>
      </c>
      <c r="Q161" s="30" t="s">
        <v>2198</v>
      </c>
      <c r="R161" s="46">
        <v>45904.48541666667</v>
      </c>
      <c r="S161" s="46">
        <v>46076.368055555555</v>
      </c>
      <c r="T161" s="46">
        <v>46087.717361111114</v>
      </c>
      <c r="U161" s="46"/>
      <c r="V161" s="30" t="s">
        <v>2129</v>
      </c>
      <c r="W161" s="30" t="s">
        <v>2129</v>
      </c>
      <c r="X161" s="30" t="s">
        <v>2129</v>
      </c>
      <c r="Y161" s="30">
        <v>0</v>
      </c>
      <c r="Z161" s="30" t="s">
        <v>2129</v>
      </c>
      <c r="AA161" s="30" t="s">
        <v>2129</v>
      </c>
      <c r="AB161" s="30" t="s">
        <v>2216</v>
      </c>
      <c r="AC161" s="30" t="s">
        <v>2129</v>
      </c>
      <c r="AD161" s="30" t="s">
        <v>2131</v>
      </c>
      <c r="AE161" s="30" t="s">
        <v>2198</v>
      </c>
      <c r="AF161" s="30" t="s">
        <v>2129</v>
      </c>
      <c r="AG161" s="30" t="s">
        <v>2129</v>
      </c>
      <c r="AH161" s="30" t="s">
        <v>2129</v>
      </c>
      <c r="AI161" s="30" t="s">
        <v>2217</v>
      </c>
      <c r="AJ161" s="30" t="s">
        <v>2218</v>
      </c>
      <c r="AK161" s="30" t="s">
        <v>2129</v>
      </c>
      <c r="AL161" s="30" t="s">
        <v>2129</v>
      </c>
      <c r="AM161" s="30" t="s">
        <v>2129</v>
      </c>
      <c r="AN161" s="30" t="s">
        <v>2129</v>
      </c>
      <c r="AO161" s="30" t="s">
        <v>2129</v>
      </c>
      <c r="AP161" s="30" t="s">
        <v>2129</v>
      </c>
      <c r="AQ161" s="30" t="s">
        <v>2129</v>
      </c>
      <c r="AR161" s="30" t="s">
        <v>2129</v>
      </c>
      <c r="AS161" s="30" t="s">
        <v>2129</v>
      </c>
      <c r="AT161" s="30" t="s">
        <v>2129</v>
      </c>
      <c r="AU161" s="30" t="s">
        <v>2129</v>
      </c>
      <c r="AV161" s="30" t="s">
        <v>2129</v>
      </c>
      <c r="AW161" s="30" t="s">
        <v>2129</v>
      </c>
      <c r="AX161" s="30">
        <v>0</v>
      </c>
      <c r="AY161" s="30">
        <v>18000</v>
      </c>
      <c r="AZ161" s="30" t="s">
        <v>2129</v>
      </c>
      <c r="BA161" s="30" t="s">
        <v>2129</v>
      </c>
      <c r="BB161" s="30">
        <v>0</v>
      </c>
      <c r="BC161" s="30">
        <v>18000</v>
      </c>
      <c r="BD161" s="30" t="s">
        <v>2129</v>
      </c>
      <c r="BE161" s="30" t="s">
        <v>2129</v>
      </c>
      <c r="BF161" s="30" t="s">
        <v>2129</v>
      </c>
      <c r="BG161" s="30" t="s">
        <v>2129</v>
      </c>
      <c r="BH161" s="30" t="s">
        <v>2129</v>
      </c>
      <c r="BI161" s="30" t="s">
        <v>2129</v>
      </c>
      <c r="BJ161" s="30" t="s">
        <v>2129</v>
      </c>
      <c r="BK161" s="30" t="s">
        <v>2219</v>
      </c>
      <c r="BL161" s="30" t="s">
        <v>2220</v>
      </c>
      <c r="BM161" s="30" t="s">
        <v>2221</v>
      </c>
      <c r="BN161" s="30" t="s">
        <v>2129</v>
      </c>
      <c r="BO161" s="30" t="s">
        <v>2129</v>
      </c>
      <c r="BP161" s="30" t="s">
        <v>2129</v>
      </c>
      <c r="BQ161" s="30" t="s">
        <v>2129</v>
      </c>
      <c r="BR161" s="30" t="s">
        <v>2129</v>
      </c>
      <c r="BS161" s="30" t="s">
        <v>2129</v>
      </c>
      <c r="BT161" s="30" t="s">
        <v>2129</v>
      </c>
      <c r="BU161" s="30" t="s">
        <v>2129</v>
      </c>
      <c r="BV161" s="30" t="s">
        <v>2129</v>
      </c>
      <c r="BW161" s="30" t="s">
        <v>2129</v>
      </c>
      <c r="BX161" s="30" t="s">
        <v>2129</v>
      </c>
      <c r="BY161" s="30" t="s">
        <v>2129</v>
      </c>
      <c r="BZ161" s="30" t="s">
        <v>2129</v>
      </c>
      <c r="CA161" s="30" t="s">
        <v>2129</v>
      </c>
      <c r="CB161" s="30" t="s">
        <v>2129</v>
      </c>
      <c r="CC161" s="30" t="s">
        <v>2129</v>
      </c>
      <c r="CD161" s="30" t="s">
        <v>2129</v>
      </c>
      <c r="CE161" s="30" t="s">
        <v>3825</v>
      </c>
      <c r="CF161" s="30" t="s">
        <v>3738</v>
      </c>
      <c r="CG161" s="30" t="s">
        <v>2129</v>
      </c>
      <c r="CH161" s="30" t="s">
        <v>2129</v>
      </c>
      <c r="CI161" s="30" t="s">
        <v>2129</v>
      </c>
      <c r="CJ161" s="30" t="s">
        <v>2129</v>
      </c>
      <c r="CK161" s="30" t="s">
        <v>2129</v>
      </c>
      <c r="CL161" s="30" t="s">
        <v>2129</v>
      </c>
      <c r="CM161" s="30" t="s">
        <v>2129</v>
      </c>
      <c r="CN161" s="30" t="s">
        <v>2129</v>
      </c>
      <c r="CO161" s="30" t="s">
        <v>2129</v>
      </c>
      <c r="CP161" s="30" t="s">
        <v>2129</v>
      </c>
      <c r="CQ161" s="30" t="s">
        <v>2129</v>
      </c>
      <c r="CR161" s="30" t="s">
        <v>2129</v>
      </c>
      <c r="CS161" s="30">
        <v>20</v>
      </c>
      <c r="CT161" s="30" t="s">
        <v>2129</v>
      </c>
      <c r="CU161" s="30" t="s">
        <v>2129</v>
      </c>
      <c r="CV161" s="30" t="s">
        <v>2222</v>
      </c>
      <c r="CW161" s="30" t="s">
        <v>2223</v>
      </c>
      <c r="CX161" s="30" t="s">
        <v>2224</v>
      </c>
      <c r="CY161" s="30" t="s">
        <v>2225</v>
      </c>
      <c r="CZ161" s="30" t="s">
        <v>2129</v>
      </c>
      <c r="DA161" s="30" t="s">
        <v>2129</v>
      </c>
      <c r="DB161" s="30" t="s">
        <v>2129</v>
      </c>
      <c r="DC161" s="30" t="s">
        <v>2129</v>
      </c>
      <c r="DD161" s="30" t="s">
        <v>2129</v>
      </c>
      <c r="DE161" s="30" t="s">
        <v>2129</v>
      </c>
      <c r="DF161" s="30" t="s">
        <v>2129</v>
      </c>
      <c r="DG161" s="30" t="s">
        <v>2129</v>
      </c>
      <c r="DH161" s="30" t="s">
        <v>2129</v>
      </c>
      <c r="DI161" s="30" t="s">
        <v>2129</v>
      </c>
      <c r="DJ161" s="30" t="s">
        <v>2129</v>
      </c>
      <c r="DK161" s="30" t="s">
        <v>2129</v>
      </c>
      <c r="DL161" s="30" t="s">
        <v>2129</v>
      </c>
      <c r="DM161" s="30" t="s">
        <v>2129</v>
      </c>
      <c r="DN161" s="30" t="s">
        <v>2129</v>
      </c>
      <c r="DO161" s="30" t="s">
        <v>2129</v>
      </c>
      <c r="DP161" s="30" t="s">
        <v>2129</v>
      </c>
      <c r="DQ161" s="43" t="s">
        <v>2129</v>
      </c>
    </row>
    <row r="162" spans="1:121" x14ac:dyDescent="0.25">
      <c r="A162" s="39" t="s">
        <v>1096</v>
      </c>
      <c r="B162" s="29" t="s">
        <v>1095</v>
      </c>
      <c r="C162" s="29">
        <v>21824</v>
      </c>
      <c r="D162" s="29"/>
      <c r="E162" s="29" t="s">
        <v>14</v>
      </c>
      <c r="F162" s="29" t="s">
        <v>27</v>
      </c>
      <c r="G162" s="29" t="s">
        <v>12</v>
      </c>
      <c r="H162" s="29" t="s">
        <v>12</v>
      </c>
      <c r="I162" s="29" t="s">
        <v>2127</v>
      </c>
      <c r="J162" s="29" t="s">
        <v>2198</v>
      </c>
      <c r="K162" s="29" t="s">
        <v>2129</v>
      </c>
      <c r="L162" s="29" t="s">
        <v>2199</v>
      </c>
      <c r="M162" s="29" t="s">
        <v>2130</v>
      </c>
      <c r="N162" s="29" t="s">
        <v>2129</v>
      </c>
      <c r="O162" s="29" t="s">
        <v>2150</v>
      </c>
      <c r="P162" s="29" t="s">
        <v>2198</v>
      </c>
      <c r="Q162" s="29" t="s">
        <v>2198</v>
      </c>
      <c r="R162" s="45">
        <v>45847.464583333334</v>
      </c>
      <c r="S162" s="45">
        <v>46076.368055555555</v>
      </c>
      <c r="T162" s="45">
        <v>46087.717361111114</v>
      </c>
      <c r="U162" s="45"/>
      <c r="V162" s="29" t="s">
        <v>2226</v>
      </c>
      <c r="W162" s="29" t="s">
        <v>2129</v>
      </c>
      <c r="X162" s="29" t="s">
        <v>2129</v>
      </c>
      <c r="Y162" s="29">
        <v>0</v>
      </c>
      <c r="Z162" s="29" t="s">
        <v>2129</v>
      </c>
      <c r="AA162" s="29" t="s">
        <v>2129</v>
      </c>
      <c r="AB162" s="29" t="s">
        <v>2227</v>
      </c>
      <c r="AC162" s="29" t="s">
        <v>2129</v>
      </c>
      <c r="AD162" s="29" t="s">
        <v>2200</v>
      </c>
      <c r="AE162" s="29" t="s">
        <v>2198</v>
      </c>
      <c r="AF162" s="29" t="s">
        <v>2129</v>
      </c>
      <c r="AG162" s="29" t="s">
        <v>2129</v>
      </c>
      <c r="AH162" s="29" t="s">
        <v>2129</v>
      </c>
      <c r="AI162" s="29" t="s">
        <v>2228</v>
      </c>
      <c r="AJ162" s="29" t="s">
        <v>2229</v>
      </c>
      <c r="AK162" s="29" t="s">
        <v>2230</v>
      </c>
      <c r="AL162" s="29" t="s">
        <v>2129</v>
      </c>
      <c r="AM162" s="29" t="s">
        <v>2129</v>
      </c>
      <c r="AN162" s="29" t="s">
        <v>2129</v>
      </c>
      <c r="AO162" s="29" t="s">
        <v>2129</v>
      </c>
      <c r="AP162" s="29" t="s">
        <v>2129</v>
      </c>
      <c r="AQ162" s="29" t="s">
        <v>2129</v>
      </c>
      <c r="AR162" s="29" t="s">
        <v>2129</v>
      </c>
      <c r="AS162" s="29" t="s">
        <v>2129</v>
      </c>
      <c r="AT162" s="29" t="s">
        <v>2129</v>
      </c>
      <c r="AU162" s="29" t="s">
        <v>2129</v>
      </c>
      <c r="AV162" s="29" t="s">
        <v>2129</v>
      </c>
      <c r="AW162" s="29" t="s">
        <v>2129</v>
      </c>
      <c r="AX162" s="29">
        <v>0</v>
      </c>
      <c r="AY162" s="29">
        <v>129600</v>
      </c>
      <c r="AZ162" s="29" t="s">
        <v>2129</v>
      </c>
      <c r="BA162" s="29" t="s">
        <v>2129</v>
      </c>
      <c r="BB162" s="29">
        <v>0</v>
      </c>
      <c r="BC162" s="29">
        <v>129600</v>
      </c>
      <c r="BD162" s="29" t="s">
        <v>2129</v>
      </c>
      <c r="BE162" s="29" t="s">
        <v>2129</v>
      </c>
      <c r="BF162" s="29" t="s">
        <v>2129</v>
      </c>
      <c r="BG162" s="29" t="s">
        <v>2129</v>
      </c>
      <c r="BH162" s="29" t="s">
        <v>2129</v>
      </c>
      <c r="BI162" s="29" t="s">
        <v>2129</v>
      </c>
      <c r="BJ162" s="29" t="s">
        <v>2129</v>
      </c>
      <c r="BK162" s="29" t="s">
        <v>2231</v>
      </c>
      <c r="BL162" s="29" t="s">
        <v>2129</v>
      </c>
      <c r="BM162" s="29" t="s">
        <v>2129</v>
      </c>
      <c r="BN162" s="29" t="s">
        <v>2129</v>
      </c>
      <c r="BO162" s="29" t="s">
        <v>2129</v>
      </c>
      <c r="BP162" s="29" t="s">
        <v>2129</v>
      </c>
      <c r="BQ162" s="29" t="s">
        <v>2129</v>
      </c>
      <c r="BR162" s="29" t="s">
        <v>2129</v>
      </c>
      <c r="BS162" s="29" t="s">
        <v>2129</v>
      </c>
      <c r="BT162" s="29" t="s">
        <v>2129</v>
      </c>
      <c r="BU162" s="29" t="s">
        <v>2129</v>
      </c>
      <c r="BV162" s="29" t="s">
        <v>2129</v>
      </c>
      <c r="BW162" s="29" t="s">
        <v>2129</v>
      </c>
      <c r="BX162" s="29" t="s">
        <v>2129</v>
      </c>
      <c r="BY162" s="29" t="s">
        <v>2129</v>
      </c>
      <c r="BZ162" s="29" t="s">
        <v>2129</v>
      </c>
      <c r="CA162" s="29" t="s">
        <v>2129</v>
      </c>
      <c r="CB162" s="29" t="s">
        <v>2129</v>
      </c>
      <c r="CC162" s="29" t="s">
        <v>2129</v>
      </c>
      <c r="CD162" s="29" t="s">
        <v>2129</v>
      </c>
      <c r="CE162" s="29" t="s">
        <v>3826</v>
      </c>
      <c r="CF162" s="29" t="s">
        <v>3738</v>
      </c>
      <c r="CG162" s="29" t="s">
        <v>2129</v>
      </c>
      <c r="CH162" s="29" t="s">
        <v>2129</v>
      </c>
      <c r="CI162" s="29" t="s">
        <v>2129</v>
      </c>
      <c r="CJ162" s="29" t="s">
        <v>2129</v>
      </c>
      <c r="CK162" s="29" t="s">
        <v>2129</v>
      </c>
      <c r="CL162" s="29" t="s">
        <v>2129</v>
      </c>
      <c r="CM162" s="29" t="s">
        <v>2129</v>
      </c>
      <c r="CN162" s="29" t="s">
        <v>2129</v>
      </c>
      <c r="CO162" s="29" t="s">
        <v>2129</v>
      </c>
      <c r="CP162" s="29" t="s">
        <v>2129</v>
      </c>
      <c r="CQ162" s="29" t="s">
        <v>2129</v>
      </c>
      <c r="CR162" s="29" t="s">
        <v>2129</v>
      </c>
      <c r="CS162" s="29">
        <v>30</v>
      </c>
      <c r="CT162" s="29" t="s">
        <v>2129</v>
      </c>
      <c r="CU162" s="29" t="s">
        <v>2129</v>
      </c>
      <c r="CV162" s="29" t="s">
        <v>2232</v>
      </c>
      <c r="CW162" s="29" t="s">
        <v>2129</v>
      </c>
      <c r="CX162" s="29" t="s">
        <v>2129</v>
      </c>
      <c r="CY162" s="29" t="s">
        <v>2129</v>
      </c>
      <c r="CZ162" s="29" t="s">
        <v>2129</v>
      </c>
      <c r="DA162" s="29" t="s">
        <v>2129</v>
      </c>
      <c r="DB162" s="29" t="s">
        <v>2129</v>
      </c>
      <c r="DC162" s="29" t="s">
        <v>2129</v>
      </c>
      <c r="DD162" s="29" t="s">
        <v>2129</v>
      </c>
      <c r="DE162" s="29" t="s">
        <v>2129</v>
      </c>
      <c r="DF162" s="29" t="s">
        <v>2129</v>
      </c>
      <c r="DG162" s="29" t="s">
        <v>2129</v>
      </c>
      <c r="DH162" s="29" t="s">
        <v>2129</v>
      </c>
      <c r="DI162" s="29" t="s">
        <v>2129</v>
      </c>
      <c r="DJ162" s="29" t="s">
        <v>2129</v>
      </c>
      <c r="DK162" s="29" t="s">
        <v>2129</v>
      </c>
      <c r="DL162" s="29" t="s">
        <v>2129</v>
      </c>
      <c r="DM162" s="29" t="s">
        <v>2129</v>
      </c>
      <c r="DN162" s="29" t="s">
        <v>2129</v>
      </c>
      <c r="DO162" s="29" t="s">
        <v>2129</v>
      </c>
      <c r="DP162" s="29" t="s">
        <v>2129</v>
      </c>
      <c r="DQ162" s="42" t="s">
        <v>2129</v>
      </c>
    </row>
    <row r="163" spans="1:121" x14ac:dyDescent="0.25">
      <c r="A163" s="36" t="s">
        <v>1987</v>
      </c>
      <c r="B163" s="30" t="s">
        <v>1004</v>
      </c>
      <c r="C163" s="30">
        <v>21725</v>
      </c>
      <c r="D163" s="30"/>
      <c r="E163" s="30" t="s">
        <v>14</v>
      </c>
      <c r="F163" s="30" t="s">
        <v>28</v>
      </c>
      <c r="G163" s="30" t="s">
        <v>12</v>
      </c>
      <c r="H163" s="30" t="s">
        <v>12</v>
      </c>
      <c r="I163" s="30" t="s">
        <v>2127</v>
      </c>
      <c r="J163" s="30" t="s">
        <v>2198</v>
      </c>
      <c r="K163" s="30" t="s">
        <v>2129</v>
      </c>
      <c r="L163" s="30" t="s">
        <v>2199</v>
      </c>
      <c r="M163" s="30" t="s">
        <v>2130</v>
      </c>
      <c r="N163" s="30" t="s">
        <v>2129</v>
      </c>
      <c r="O163" s="30" t="s">
        <v>2198</v>
      </c>
      <c r="P163" s="30" t="s">
        <v>2152</v>
      </c>
      <c r="Q163" s="30" t="s">
        <v>2152</v>
      </c>
      <c r="R163" s="46">
        <v>45832.611805555556</v>
      </c>
      <c r="S163" s="46">
        <v>46076.368055555555</v>
      </c>
      <c r="T163" s="46">
        <v>46087.717361111114</v>
      </c>
      <c r="U163" s="46"/>
      <c r="V163" s="30" t="s">
        <v>2233</v>
      </c>
      <c r="W163" s="30" t="s">
        <v>2129</v>
      </c>
      <c r="X163" s="30" t="s">
        <v>2129</v>
      </c>
      <c r="Y163" s="30">
        <v>0</v>
      </c>
      <c r="Z163" s="30" t="s">
        <v>2129</v>
      </c>
      <c r="AA163" s="30" t="s">
        <v>2129</v>
      </c>
      <c r="AB163" s="30" t="s">
        <v>2234</v>
      </c>
      <c r="AC163" s="30" t="s">
        <v>2129</v>
      </c>
      <c r="AD163" s="30" t="s">
        <v>2131</v>
      </c>
      <c r="AE163" s="30" t="s">
        <v>2150</v>
      </c>
      <c r="AF163" s="30" t="s">
        <v>2152</v>
      </c>
      <c r="AG163" s="30" t="s">
        <v>2198</v>
      </c>
      <c r="AH163" s="30" t="s">
        <v>2129</v>
      </c>
      <c r="AI163" s="30" t="s">
        <v>2235</v>
      </c>
      <c r="AJ163" s="30" t="s">
        <v>2236</v>
      </c>
      <c r="AK163" s="30" t="s">
        <v>2442</v>
      </c>
      <c r="AL163" s="30" t="s">
        <v>2129</v>
      </c>
      <c r="AM163" s="30" t="s">
        <v>2129</v>
      </c>
      <c r="AN163" s="30" t="s">
        <v>2129</v>
      </c>
      <c r="AO163" s="30" t="s">
        <v>2129</v>
      </c>
      <c r="AP163" s="30" t="s">
        <v>2129</v>
      </c>
      <c r="AQ163" s="30" t="s">
        <v>2129</v>
      </c>
      <c r="AR163" s="30" t="s">
        <v>2129</v>
      </c>
      <c r="AS163" s="30" t="s">
        <v>2129</v>
      </c>
      <c r="AT163" s="30" t="s">
        <v>2129</v>
      </c>
      <c r="AU163" s="30" t="s">
        <v>2129</v>
      </c>
      <c r="AV163" s="30" t="s">
        <v>2129</v>
      </c>
      <c r="AW163" s="30" t="s">
        <v>2129</v>
      </c>
      <c r="AX163" s="30">
        <v>0</v>
      </c>
      <c r="AY163" s="30">
        <v>9000</v>
      </c>
      <c r="AZ163" s="30" t="s">
        <v>2129</v>
      </c>
      <c r="BA163" s="30" t="s">
        <v>2129</v>
      </c>
      <c r="BB163" s="30">
        <v>0</v>
      </c>
      <c r="BC163" s="30">
        <v>52200</v>
      </c>
      <c r="BD163" s="30" t="s">
        <v>2129</v>
      </c>
      <c r="BE163" s="30" t="s">
        <v>2129</v>
      </c>
      <c r="BF163" s="30" t="s">
        <v>2129</v>
      </c>
      <c r="BG163" s="30" t="s">
        <v>2129</v>
      </c>
      <c r="BH163" s="30" t="s">
        <v>2129</v>
      </c>
      <c r="BI163" s="30" t="s">
        <v>2129</v>
      </c>
      <c r="BJ163" s="30" t="s">
        <v>2129</v>
      </c>
      <c r="BK163" s="30" t="s">
        <v>2129</v>
      </c>
      <c r="BL163" s="30" t="s">
        <v>2129</v>
      </c>
      <c r="BM163" s="30" t="s">
        <v>2129</v>
      </c>
      <c r="BN163" s="30" t="s">
        <v>2129</v>
      </c>
      <c r="BO163" s="30" t="s">
        <v>2129</v>
      </c>
      <c r="BP163" s="30" t="s">
        <v>2129</v>
      </c>
      <c r="BQ163" s="30" t="s">
        <v>2129</v>
      </c>
      <c r="BR163" s="30" t="s">
        <v>2129</v>
      </c>
      <c r="BS163" s="30" t="s">
        <v>2129</v>
      </c>
      <c r="BT163" s="30" t="s">
        <v>2129</v>
      </c>
      <c r="BU163" s="30" t="s">
        <v>2129</v>
      </c>
      <c r="BV163" s="30" t="s">
        <v>2129</v>
      </c>
      <c r="BW163" s="30" t="s">
        <v>2129</v>
      </c>
      <c r="BX163" s="30" t="s">
        <v>2129</v>
      </c>
      <c r="BY163" s="30" t="s">
        <v>2129</v>
      </c>
      <c r="BZ163" s="30" t="s">
        <v>2129</v>
      </c>
      <c r="CA163" s="30" t="s">
        <v>2129</v>
      </c>
      <c r="CB163" s="30" t="s">
        <v>2129</v>
      </c>
      <c r="CC163" s="30" t="s">
        <v>2129</v>
      </c>
      <c r="CD163" s="30" t="s">
        <v>2129</v>
      </c>
      <c r="CE163" s="30" t="s">
        <v>3827</v>
      </c>
      <c r="CF163" s="30" t="s">
        <v>3738</v>
      </c>
      <c r="CG163" s="30" t="s">
        <v>2129</v>
      </c>
      <c r="CH163" s="30" t="s">
        <v>2129</v>
      </c>
      <c r="CI163" s="30" t="s">
        <v>2129</v>
      </c>
      <c r="CJ163" s="30" t="s">
        <v>2129</v>
      </c>
      <c r="CK163" s="30" t="s">
        <v>2129</v>
      </c>
      <c r="CL163" s="30" t="s">
        <v>2129</v>
      </c>
      <c r="CM163" s="30" t="s">
        <v>2129</v>
      </c>
      <c r="CN163" s="30" t="s">
        <v>2129</v>
      </c>
      <c r="CO163" s="30" t="s">
        <v>2129</v>
      </c>
      <c r="CP163" s="30" t="s">
        <v>2129</v>
      </c>
      <c r="CQ163" s="30" t="s">
        <v>2129</v>
      </c>
      <c r="CR163" s="30" t="s">
        <v>2129</v>
      </c>
      <c r="CS163" s="30">
        <v>50</v>
      </c>
      <c r="CT163" s="30" t="s">
        <v>2129</v>
      </c>
      <c r="CU163" s="30" t="s">
        <v>2129</v>
      </c>
      <c r="CV163" s="30" t="s">
        <v>2237</v>
      </c>
      <c r="CW163" s="30" t="s">
        <v>2238</v>
      </c>
      <c r="CX163" s="30" t="s">
        <v>2443</v>
      </c>
      <c r="CY163" s="30" t="s">
        <v>2239</v>
      </c>
      <c r="CZ163" s="30" t="s">
        <v>2444</v>
      </c>
      <c r="DA163" s="30" t="s">
        <v>2445</v>
      </c>
      <c r="DB163" s="30" t="s">
        <v>2129</v>
      </c>
      <c r="DC163" s="30" t="s">
        <v>2129</v>
      </c>
      <c r="DD163" s="30" t="s">
        <v>2129</v>
      </c>
      <c r="DE163" s="30" t="s">
        <v>2129</v>
      </c>
      <c r="DF163" s="30" t="s">
        <v>2129</v>
      </c>
      <c r="DG163" s="30" t="s">
        <v>2129</v>
      </c>
      <c r="DH163" s="30" t="s">
        <v>2129</v>
      </c>
      <c r="DI163" s="30" t="s">
        <v>2129</v>
      </c>
      <c r="DJ163" s="30" t="s">
        <v>2129</v>
      </c>
      <c r="DK163" s="30" t="s">
        <v>2129</v>
      </c>
      <c r="DL163" s="30" t="s">
        <v>2129</v>
      </c>
      <c r="DM163" s="30" t="s">
        <v>2129</v>
      </c>
      <c r="DN163" s="30" t="s">
        <v>2129</v>
      </c>
      <c r="DO163" s="30" t="s">
        <v>2129</v>
      </c>
      <c r="DP163" s="30" t="s">
        <v>2129</v>
      </c>
      <c r="DQ163" s="43" t="s">
        <v>2129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E25376-730F-4AD6-A2DE-42E27E579F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özet</vt:lpstr>
      <vt:lpstr>Ürün İş Listesi</vt:lpstr>
      <vt:lpstr>Devam Eden Sprint</vt:lpstr>
      <vt:lpstr>Gelecek Sprint</vt:lpstr>
      <vt:lpstr>Türkkep Jira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Zeynep Oran</dc:creator>
  <cp:lastModifiedBy>Aykut Kutlusan</cp:lastModifiedBy>
  <dcterms:created xsi:type="dcterms:W3CDTF">2025-11-27T09:10:36Z</dcterms:created>
  <dcterms:modified xsi:type="dcterms:W3CDTF">2026-03-06T16:56:46Z</dcterms:modified>
</cp:coreProperties>
</file>